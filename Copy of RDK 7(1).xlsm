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3.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mc:AlternateContent xmlns:mc="http://schemas.openxmlformats.org/markup-compatibility/2006">
    <mc:Choice Requires="x15">
      <x15ac:absPath xmlns:x15ac="http://schemas.microsoft.com/office/spreadsheetml/2010/11/ac" url="C:\Users\HP\Desktop\"/>
    </mc:Choice>
  </mc:AlternateContent>
  <xr:revisionPtr revIDLastSave="0" documentId="8_{F4A54B51-3197-4667-8AEC-ACD158DEF68A}" xr6:coauthVersionLast="47" xr6:coauthVersionMax="47" xr10:uidLastSave="{00000000-0000-0000-0000-000000000000}"/>
  <bookViews>
    <workbookView xWindow="-120" yWindow="-120" windowWidth="20730" windowHeight="11040" firstSheet="1" activeTab="5" xr2:uid="{00000000-000D-0000-FFFF-FFFF00000000}"/>
  </bookViews>
  <sheets>
    <sheet name="Sheet7" sheetId="30" state="hidden" r:id="rId1"/>
    <sheet name="COMBINED LIST" sheetId="25" r:id="rId2"/>
    <sheet name="Sheet4" sheetId="36" r:id="rId3"/>
    <sheet name="DASHBOARD" sheetId="28" r:id="rId4"/>
    <sheet name="SELLING PRICE" sheetId="3" r:id="rId5"/>
    <sheet name="ITEM LIST" sheetId="4" r:id="rId6"/>
    <sheet name="SUB RECIPE LIST" sheetId="5" r:id="rId7"/>
    <sheet name="NORTH INDIAN" sheetId="9" r:id="rId8"/>
    <sheet name="SOUTH INDIAN" sheetId="8" r:id="rId9"/>
    <sheet name="GRILL SPECIAL" sheetId="7" r:id="rId10"/>
    <sheet name="BREADS" sheetId="10" r:id="rId11"/>
    <sheet name="CHINESE" sheetId="11" r:id="rId12"/>
    <sheet name="SPECIALS" sheetId="12" r:id="rId13"/>
    <sheet name="DRINKS" sheetId="13" r:id="rId14"/>
    <sheet name="CHAAT" sheetId="14" r:id="rId15"/>
    <sheet name="SWEETS" sheetId="15" r:id="rId16"/>
    <sheet name="NAMKEENS" sheetId="31" r:id="rId17"/>
    <sheet name="KULFI" sheetId="16" r:id="rId18"/>
  </sheets>
  <definedNames>
    <definedName name="ExternalData_1" localSheetId="1" hidden="1">'COMBINED LIST'!$A$1:$E$1174</definedName>
    <definedName name="Slicer_Category">#N/A</definedName>
    <definedName name="Slicer_Dish1">#N/A</definedName>
  </definedNames>
  <calcPr calcId="191029"/>
  <pivotCaches>
    <pivotCache cacheId="0" r:id="rId19"/>
  </pivotCaches>
  <extLs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M411" i="4" l="1"/>
  <c r="M164" i="4"/>
  <c r="M163" i="4"/>
  <c r="D495" i="5" l="1"/>
  <c r="E495" i="5"/>
  <c r="M408" i="4"/>
  <c r="D494" i="5" s="1"/>
  <c r="E178" i="11"/>
  <c r="E147" i="11"/>
  <c r="E128" i="11"/>
  <c r="E117" i="11"/>
  <c r="M407" i="4"/>
  <c r="M409" i="4"/>
  <c r="E163" i="11" s="1"/>
  <c r="M410" i="4"/>
  <c r="D266" i="5" s="1"/>
  <c r="M412" i="4"/>
  <c r="M413" i="4"/>
  <c r="D233" i="5" s="1"/>
  <c r="M414" i="4"/>
  <c r="E79" i="11"/>
  <c r="E95" i="11" l="1"/>
  <c r="E111" i="11"/>
  <c r="D499" i="5"/>
  <c r="D161" i="5"/>
  <c r="D158" i="5"/>
  <c r="D487" i="5"/>
  <c r="E89" i="14"/>
  <c r="E90" i="14"/>
  <c r="E88" i="14"/>
  <c r="E269" i="5"/>
  <c r="D269" i="5"/>
  <c r="E473" i="5"/>
  <c r="D473" i="5"/>
  <c r="E3" i="16"/>
  <c r="E454" i="5"/>
  <c r="E469" i="5"/>
  <c r="D454" i="5"/>
  <c r="D457" i="5"/>
  <c r="D469" i="5"/>
  <c r="M406" i="4"/>
  <c r="M402" i="4"/>
  <c r="M403" i="4"/>
  <c r="M404" i="4"/>
  <c r="M405" i="4"/>
  <c r="D450" i="5" s="1"/>
  <c r="D444" i="5"/>
  <c r="D440" i="5" l="1"/>
  <c r="E440" i="5"/>
  <c r="E140" i="9"/>
  <c r="E133" i="9"/>
  <c r="D437" i="5"/>
  <c r="E424" i="5"/>
  <c r="E444" i="5"/>
  <c r="D424" i="5"/>
  <c r="E126" i="9"/>
  <c r="D404" i="5"/>
  <c r="D394" i="5"/>
  <c r="E19" i="16"/>
  <c r="E10" i="16"/>
  <c r="E17" i="16"/>
  <c r="D215" i="5" l="1"/>
  <c r="D220" i="5"/>
  <c r="E27" i="16"/>
  <c r="E321" i="5"/>
  <c r="E339" i="5"/>
  <c r="E357" i="5"/>
  <c r="E375" i="5"/>
  <c r="E394" i="5"/>
  <c r="E404" i="5"/>
  <c r="D375" i="5"/>
  <c r="D382" i="5"/>
  <c r="D383" i="5"/>
  <c r="D321" i="5"/>
  <c r="D327" i="5"/>
  <c r="D328" i="5"/>
  <c r="D339" i="5"/>
  <c r="D345" i="5"/>
  <c r="D346" i="5"/>
  <c r="D357" i="5"/>
  <c r="D363" i="5"/>
  <c r="D364" i="5"/>
  <c r="E190" i="7"/>
  <c r="E200" i="7"/>
  <c r="E70" i="13"/>
  <c r="E71" i="13"/>
  <c r="E92" i="11"/>
  <c r="E50" i="8"/>
  <c r="E44" i="8"/>
  <c r="E171" i="7"/>
  <c r="M401" i="4"/>
  <c r="E54" i="13" s="1"/>
  <c r="E50" i="13"/>
  <c r="E55" i="13"/>
  <c r="E58" i="13"/>
  <c r="E315" i="5"/>
  <c r="D315" i="5"/>
  <c r="D316" i="5"/>
  <c r="C28" i="30"/>
  <c r="C27" i="30"/>
  <c r="E15" i="31"/>
  <c r="E19" i="31"/>
  <c r="E23" i="31"/>
  <c r="E27" i="31"/>
  <c r="E31" i="31"/>
  <c r="E13" i="31"/>
  <c r="C2" i="30"/>
  <c r="G2" i="30" s="1"/>
  <c r="C1" i="30"/>
  <c r="E38" i="16"/>
  <c r="E37" i="16"/>
  <c r="E36" i="16"/>
  <c r="E35" i="16"/>
  <c r="E34" i="16"/>
  <c r="E214" i="15"/>
  <c r="E210" i="15"/>
  <c r="E200" i="15"/>
  <c r="E188" i="15"/>
  <c r="E177" i="15"/>
  <c r="E168" i="15"/>
  <c r="E164" i="15"/>
  <c r="E156" i="15"/>
  <c r="E155" i="15"/>
  <c r="E151" i="15"/>
  <c r="E143" i="15"/>
  <c r="E134" i="15"/>
  <c r="E133" i="15"/>
  <c r="E124" i="15"/>
  <c r="E123" i="15"/>
  <c r="E115" i="15"/>
  <c r="E106" i="15"/>
  <c r="E98" i="15"/>
  <c r="E89" i="15"/>
  <c r="E79" i="15"/>
  <c r="E73" i="15"/>
  <c r="E70" i="15"/>
  <c r="E69" i="15"/>
  <c r="E59" i="15"/>
  <c r="E56" i="15"/>
  <c r="E46" i="15"/>
  <c r="E45" i="15"/>
  <c r="E41" i="15"/>
  <c r="E35" i="15"/>
  <c r="E34" i="15"/>
  <c r="E29" i="15"/>
  <c r="E23" i="15"/>
  <c r="E17" i="15"/>
  <c r="E13" i="15"/>
  <c r="E8" i="15"/>
  <c r="E84" i="14"/>
  <c r="E75" i="14"/>
  <c r="E66" i="14"/>
  <c r="E64" i="14"/>
  <c r="E63" i="14"/>
  <c r="E60" i="14"/>
  <c r="E52" i="14"/>
  <c r="E44" i="14"/>
  <c r="E37" i="14"/>
  <c r="E25" i="14"/>
  <c r="E12" i="14"/>
  <c r="E62" i="13"/>
  <c r="E61" i="13"/>
  <c r="E45" i="13"/>
  <c r="E39" i="13"/>
  <c r="E38" i="13"/>
  <c r="E32" i="13"/>
  <c r="E26" i="13"/>
  <c r="E20" i="13"/>
  <c r="E14" i="13"/>
  <c r="E8" i="13"/>
  <c r="E43" i="12"/>
  <c r="E36" i="12"/>
  <c r="E31" i="12"/>
  <c r="E28" i="12"/>
  <c r="E24" i="12"/>
  <c r="E19" i="12"/>
  <c r="E14" i="12"/>
  <c r="E8" i="12"/>
  <c r="E182" i="11"/>
  <c r="E180" i="11"/>
  <c r="E168" i="11"/>
  <c r="E165" i="11"/>
  <c r="E149" i="11"/>
  <c r="E136" i="11"/>
  <c r="E133" i="11"/>
  <c r="E120" i="11"/>
  <c r="E118" i="11"/>
  <c r="E116" i="11"/>
  <c r="E109" i="11"/>
  <c r="E77" i="11"/>
  <c r="E61" i="11"/>
  <c r="E44" i="11"/>
  <c r="E30" i="11"/>
  <c r="E18" i="11"/>
  <c r="E16" i="11"/>
  <c r="E13" i="11"/>
  <c r="E54" i="10"/>
  <c r="E49" i="10"/>
  <c r="E40" i="10"/>
  <c r="E35" i="10"/>
  <c r="E26" i="10"/>
  <c r="E20" i="10"/>
  <c r="E15" i="10"/>
  <c r="E10" i="10"/>
  <c r="E6" i="10"/>
  <c r="E145" i="9"/>
  <c r="E141" i="9"/>
  <c r="E115" i="9"/>
  <c r="E112" i="9"/>
  <c r="E111" i="9"/>
  <c r="E108" i="9"/>
  <c r="E100" i="9"/>
  <c r="E80" i="9"/>
  <c r="E71" i="9"/>
  <c r="E70" i="9"/>
  <c r="E67" i="9"/>
  <c r="E58" i="9"/>
  <c r="E55" i="9"/>
  <c r="E42" i="9"/>
  <c r="E33" i="9"/>
  <c r="E23" i="9"/>
  <c r="E8" i="9"/>
  <c r="E58" i="8"/>
  <c r="E39" i="8"/>
  <c r="E32" i="8"/>
  <c r="E27" i="8"/>
  <c r="E22" i="8"/>
  <c r="E8" i="8"/>
  <c r="E177" i="7"/>
  <c r="E160" i="7"/>
  <c r="E159" i="7"/>
  <c r="E152" i="7"/>
  <c r="E141" i="7"/>
  <c r="E140" i="7"/>
  <c r="E133" i="7"/>
  <c r="E122" i="7"/>
  <c r="E121" i="7"/>
  <c r="E102" i="7"/>
  <c r="E94" i="7"/>
  <c r="E83" i="7"/>
  <c r="E82" i="7"/>
  <c r="E75" i="7"/>
  <c r="E64" i="7"/>
  <c r="E63" i="7"/>
  <c r="E56" i="7"/>
  <c r="E45" i="7"/>
  <c r="E44" i="7"/>
  <c r="E38" i="7"/>
  <c r="E27" i="7"/>
  <c r="E26" i="7"/>
  <c r="E9" i="7"/>
  <c r="E8" i="7"/>
  <c r="E299" i="5"/>
  <c r="D299" i="5"/>
  <c r="E295" i="5"/>
  <c r="D295" i="5"/>
  <c r="E291" i="5"/>
  <c r="D291" i="5"/>
  <c r="D285" i="5"/>
  <c r="E262" i="5"/>
  <c r="D262" i="5"/>
  <c r="E259" i="5"/>
  <c r="D259" i="5"/>
  <c r="D253" i="5"/>
  <c r="E243" i="5"/>
  <c r="D243" i="5"/>
  <c r="E230" i="5"/>
  <c r="D230" i="5"/>
  <c r="E220" i="5"/>
  <c r="E212" i="5"/>
  <c r="E211" i="5"/>
  <c r="D188" i="5"/>
  <c r="E182" i="5"/>
  <c r="D182" i="5"/>
  <c r="D176" i="5"/>
  <c r="E171" i="5"/>
  <c r="D171" i="5"/>
  <c r="E165" i="5"/>
  <c r="D165" i="5"/>
  <c r="E160" i="5"/>
  <c r="D160" i="5"/>
  <c r="E148" i="5"/>
  <c r="D148" i="5"/>
  <c r="E140" i="5"/>
  <c r="D140" i="5"/>
  <c r="E139" i="5"/>
  <c r="D139" i="5"/>
  <c r="D127" i="5"/>
  <c r="D121" i="5"/>
  <c r="E118" i="5"/>
  <c r="D118" i="5"/>
  <c r="E114" i="5"/>
  <c r="D114" i="5"/>
  <c r="E101" i="5"/>
  <c r="D101" i="5"/>
  <c r="E98" i="5"/>
  <c r="D98" i="5"/>
  <c r="D90" i="5"/>
  <c r="E89" i="5"/>
  <c r="D89" i="5"/>
  <c r="D80" i="5"/>
  <c r="E77" i="5"/>
  <c r="D77" i="5"/>
  <c r="E65" i="5"/>
  <c r="D65" i="5"/>
  <c r="D53" i="5"/>
  <c r="E49" i="5"/>
  <c r="D49" i="5"/>
  <c r="E42" i="5"/>
  <c r="D42" i="5"/>
  <c r="E33" i="5"/>
  <c r="D33" i="5"/>
  <c r="E21" i="5"/>
  <c r="D21" i="5"/>
  <c r="E14" i="5"/>
  <c r="D14" i="5"/>
  <c r="E4" i="5"/>
  <c r="D4" i="5"/>
  <c r="M400" i="4"/>
  <c r="E37" i="31" s="1"/>
  <c r="M399" i="4"/>
  <c r="E6" i="31" s="1"/>
  <c r="M398" i="4"/>
  <c r="M397" i="4"/>
  <c r="D307" i="5" s="1"/>
  <c r="M396" i="4"/>
  <c r="M395" i="4"/>
  <c r="M394" i="4"/>
  <c r="M393" i="4"/>
  <c r="E49" i="13" s="1"/>
  <c r="M392" i="4"/>
  <c r="D125" i="5" s="1"/>
  <c r="M391" i="4"/>
  <c r="M390" i="4"/>
  <c r="E110" i="11" s="1"/>
  <c r="M389" i="4"/>
  <c r="M388" i="4"/>
  <c r="M387" i="4"/>
  <c r="M386" i="4"/>
  <c r="M385" i="4"/>
  <c r="D43" i="5" s="1"/>
  <c r="M384" i="4"/>
  <c r="M383" i="4"/>
  <c r="M382" i="4"/>
  <c r="D470" i="5" s="1"/>
  <c r="M381" i="4"/>
  <c r="D147" i="5" s="1"/>
  <c r="M380" i="4"/>
  <c r="M379" i="4"/>
  <c r="M378" i="4"/>
  <c r="M377" i="4"/>
  <c r="M376" i="4"/>
  <c r="M375" i="4"/>
  <c r="M374" i="4"/>
  <c r="E126" i="11" s="1"/>
  <c r="M373" i="4"/>
  <c r="M372" i="4"/>
  <c r="M371" i="4"/>
  <c r="D66" i="5" s="1"/>
  <c r="M370" i="4"/>
  <c r="M369" i="4"/>
  <c r="M368" i="4"/>
  <c r="M367" i="4"/>
  <c r="D141" i="5" s="1"/>
  <c r="M366" i="4"/>
  <c r="M365" i="4"/>
  <c r="M364" i="4"/>
  <c r="D52" i="5" s="1"/>
  <c r="M363" i="4"/>
  <c r="D446" i="5" s="1"/>
  <c r="M362" i="4"/>
  <c r="M361" i="4"/>
  <c r="M360" i="4"/>
  <c r="M359" i="4"/>
  <c r="M358" i="4"/>
  <c r="M357" i="4"/>
  <c r="M356" i="4"/>
  <c r="M355" i="4"/>
  <c r="M354" i="4"/>
  <c r="M353" i="4"/>
  <c r="M352" i="4"/>
  <c r="D198" i="5" s="1"/>
  <c r="M351" i="4"/>
  <c r="M350" i="4"/>
  <c r="M349" i="4"/>
  <c r="M348" i="4"/>
  <c r="E107" i="11" s="1"/>
  <c r="M347" i="4"/>
  <c r="M346" i="4"/>
  <c r="M345" i="4"/>
  <c r="M344" i="4"/>
  <c r="M343" i="4"/>
  <c r="M342" i="4"/>
  <c r="D402" i="5" s="1"/>
  <c r="M341" i="4"/>
  <c r="M340" i="4"/>
  <c r="E172" i="7" s="1"/>
  <c r="M339" i="4"/>
  <c r="M338" i="4"/>
  <c r="M337" i="4"/>
  <c r="M336" i="4"/>
  <c r="M335" i="4"/>
  <c r="D429" i="5" s="1"/>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E134" i="9" s="1"/>
  <c r="M272" i="4"/>
  <c r="M271" i="4"/>
  <c r="M270" i="4"/>
  <c r="M269" i="4"/>
  <c r="M268" i="4"/>
  <c r="M267" i="4"/>
  <c r="M266" i="4"/>
  <c r="E16" i="16" s="1"/>
  <c r="M265" i="4"/>
  <c r="D83" i="5" s="1"/>
  <c r="M264" i="4"/>
  <c r="M263" i="4"/>
  <c r="M262" i="4"/>
  <c r="M261" i="4"/>
  <c r="M260" i="4"/>
  <c r="M259" i="4"/>
  <c r="M258" i="4"/>
  <c r="M257" i="4"/>
  <c r="M256" i="4"/>
  <c r="M255" i="4"/>
  <c r="M254" i="4"/>
  <c r="M253" i="4"/>
  <c r="M252" i="4"/>
  <c r="M251" i="4"/>
  <c r="M250" i="4"/>
  <c r="M249" i="4"/>
  <c r="M248" i="4"/>
  <c r="M247" i="4"/>
  <c r="D304" i="5" s="1"/>
  <c r="M246" i="4"/>
  <c r="M245" i="4"/>
  <c r="M244" i="4"/>
  <c r="E34" i="10" s="1"/>
  <c r="M243" i="4"/>
  <c r="M242" i="4"/>
  <c r="M241" i="4"/>
  <c r="M240" i="4"/>
  <c r="M239" i="4"/>
  <c r="M238" i="4"/>
  <c r="M237" i="4"/>
  <c r="M236" i="4"/>
  <c r="M235" i="4"/>
  <c r="M234" i="4"/>
  <c r="M233" i="4"/>
  <c r="M232" i="4"/>
  <c r="M231" i="4"/>
  <c r="M230" i="4"/>
  <c r="D466" i="5" s="1"/>
  <c r="M229" i="4"/>
  <c r="E3" i="31" s="1"/>
  <c r="M228" i="4"/>
  <c r="E23" i="16" s="1"/>
  <c r="M227" i="4"/>
  <c r="M226" i="4"/>
  <c r="M225" i="4"/>
  <c r="M224" i="4"/>
  <c r="M223" i="4"/>
  <c r="M222" i="4"/>
  <c r="M221" i="4"/>
  <c r="M220" i="4"/>
  <c r="M219" i="4"/>
  <c r="M218" i="4"/>
  <c r="M217" i="4"/>
  <c r="D58" i="5" s="1"/>
  <c r="M216" i="4"/>
  <c r="M215" i="4"/>
  <c r="M214" i="4"/>
  <c r="M213" i="4"/>
  <c r="M212" i="4"/>
  <c r="M211" i="4"/>
  <c r="M210" i="4"/>
  <c r="M209" i="4"/>
  <c r="M208" i="4"/>
  <c r="M207" i="4"/>
  <c r="M206" i="4"/>
  <c r="M205" i="4"/>
  <c r="M204" i="4"/>
  <c r="D223" i="5" s="1"/>
  <c r="M203" i="4"/>
  <c r="D119" i="5" s="1"/>
  <c r="M202" i="4"/>
  <c r="M201" i="4"/>
  <c r="D164" i="5" s="1"/>
  <c r="M200" i="4"/>
  <c r="D120" i="5" s="1"/>
  <c r="M199" i="4"/>
  <c r="M198" i="4"/>
  <c r="M197" i="4"/>
  <c r="D221" i="5" s="1"/>
  <c r="M196" i="4"/>
  <c r="E32" i="31" s="1"/>
  <c r="M195" i="4"/>
  <c r="D481" i="5" s="1"/>
  <c r="M194" i="4"/>
  <c r="M193" i="4"/>
  <c r="D44" i="5" s="1"/>
  <c r="M192" i="4"/>
  <c r="M191" i="4"/>
  <c r="M190" i="4"/>
  <c r="M189" i="4"/>
  <c r="M188" i="4"/>
  <c r="E108" i="11" s="1"/>
  <c r="M187" i="4"/>
  <c r="D216" i="5" s="1"/>
  <c r="M186" i="4"/>
  <c r="D367" i="5" s="1"/>
  <c r="M185" i="4"/>
  <c r="D496" i="5" s="1"/>
  <c r="M184" i="4"/>
  <c r="M183" i="4"/>
  <c r="D497" i="5" s="1"/>
  <c r="M182" i="4"/>
  <c r="M181" i="4"/>
  <c r="M180" i="4"/>
  <c r="M179" i="4"/>
  <c r="D260" i="5" s="1"/>
  <c r="M178" i="4"/>
  <c r="E132" i="7" s="1"/>
  <c r="M177" i="4"/>
  <c r="M176" i="4"/>
  <c r="M175" i="4"/>
  <c r="M174" i="4"/>
  <c r="M173" i="4"/>
  <c r="M172" i="4"/>
  <c r="M171" i="4"/>
  <c r="M170" i="4"/>
  <c r="M169" i="4"/>
  <c r="M168" i="4"/>
  <c r="D179" i="5" s="1"/>
  <c r="M167" i="4"/>
  <c r="M166" i="4"/>
  <c r="E125" i="9" s="1"/>
  <c r="M165" i="4"/>
  <c r="M162" i="4"/>
  <c r="M161" i="4"/>
  <c r="M160" i="4"/>
  <c r="M159" i="4"/>
  <c r="M158" i="4"/>
  <c r="M157" i="4"/>
  <c r="D219" i="5" s="1"/>
  <c r="M156" i="4"/>
  <c r="D308" i="5" s="1"/>
  <c r="M155" i="4"/>
  <c r="M154" i="4"/>
  <c r="M153" i="4"/>
  <c r="M152" i="4"/>
  <c r="D224" i="5" s="1"/>
  <c r="M151" i="4"/>
  <c r="M150" i="4"/>
  <c r="M149" i="4"/>
  <c r="M148" i="4"/>
  <c r="M147" i="4"/>
  <c r="M146" i="4"/>
  <c r="M145" i="4"/>
  <c r="M144" i="4"/>
  <c r="M143" i="4"/>
  <c r="M142" i="4"/>
  <c r="D28" i="5" s="1"/>
  <c r="M141" i="4"/>
  <c r="M140" i="4"/>
  <c r="M139" i="4"/>
  <c r="M138" i="4"/>
  <c r="M137" i="4"/>
  <c r="D452" i="5" s="1"/>
  <c r="M136" i="4"/>
  <c r="D451" i="5" s="1"/>
  <c r="M135" i="4"/>
  <c r="D238" i="5"/>
  <c r="M134" i="4"/>
  <c r="M133" i="4"/>
  <c r="M132" i="4"/>
  <c r="D55" i="5" s="1"/>
  <c r="M131" i="4"/>
  <c r="M130" i="4"/>
  <c r="M129" i="4"/>
  <c r="M128" i="4"/>
  <c r="M127" i="4"/>
  <c r="M126" i="4"/>
  <c r="D471" i="5" s="1"/>
  <c r="M125" i="4"/>
  <c r="E39" i="31" s="1"/>
  <c r="M124" i="4"/>
  <c r="M123" i="4"/>
  <c r="M122" i="4"/>
  <c r="D129" i="5" s="1"/>
  <c r="M121" i="4"/>
  <c r="M120" i="4"/>
  <c r="D239" i="5" s="1"/>
  <c r="M119" i="4"/>
  <c r="M118" i="4"/>
  <c r="D109" i="5" s="1"/>
  <c r="M117" i="4"/>
  <c r="M116" i="4"/>
  <c r="M115" i="4"/>
  <c r="M114" i="4"/>
  <c r="M113" i="4"/>
  <c r="M112" i="4"/>
  <c r="M111" i="4"/>
  <c r="E10" i="31" s="1"/>
  <c r="M110" i="4"/>
  <c r="E42" i="31" s="1"/>
  <c r="M109" i="4"/>
  <c r="M108" i="4"/>
  <c r="M107" i="4"/>
  <c r="M106" i="4"/>
  <c r="M105" i="4"/>
  <c r="M104" i="4"/>
  <c r="D460" i="5" s="1"/>
  <c r="M103" i="4"/>
  <c r="M101" i="4"/>
  <c r="M100" i="4"/>
  <c r="M99" i="4"/>
  <c r="D348" i="5" s="1"/>
  <c r="M98" i="4"/>
  <c r="M97" i="4"/>
  <c r="M96" i="4"/>
  <c r="M95" i="4"/>
  <c r="M94" i="4"/>
  <c r="M93" i="4"/>
  <c r="M92" i="4"/>
  <c r="M91" i="4"/>
  <c r="M90" i="4"/>
  <c r="M89" i="4"/>
  <c r="M88" i="4"/>
  <c r="M87" i="4"/>
  <c r="M86" i="4"/>
  <c r="M85" i="4"/>
  <c r="M84" i="4"/>
  <c r="M83" i="4"/>
  <c r="M82" i="4"/>
  <c r="M81" i="4"/>
  <c r="M80" i="4"/>
  <c r="M79" i="4"/>
  <c r="M78" i="4"/>
  <c r="M77" i="4"/>
  <c r="M76" i="4"/>
  <c r="M75" i="4"/>
  <c r="M74" i="4"/>
  <c r="M73" i="4"/>
  <c r="E44" i="12" s="1"/>
  <c r="M72" i="4"/>
  <c r="M71" i="4"/>
  <c r="M70" i="4"/>
  <c r="M69" i="4"/>
  <c r="M68" i="4"/>
  <c r="M67" i="4"/>
  <c r="M66" i="4"/>
  <c r="M65" i="4"/>
  <c r="M64" i="4"/>
  <c r="M63" i="4"/>
  <c r="M62" i="4"/>
  <c r="M61" i="4"/>
  <c r="M60" i="4"/>
  <c r="M59" i="4"/>
  <c r="M58" i="4"/>
  <c r="M57" i="4"/>
  <c r="M56" i="4"/>
  <c r="M55" i="4"/>
  <c r="M54" i="4"/>
  <c r="M53" i="4"/>
  <c r="D122" i="5" s="1"/>
  <c r="M52" i="4"/>
  <c r="M51" i="4"/>
  <c r="M50" i="4"/>
  <c r="M49" i="4"/>
  <c r="M48" i="4"/>
  <c r="M47" i="4"/>
  <c r="M46" i="4"/>
  <c r="D135" i="5" s="1"/>
  <c r="M45" i="4"/>
  <c r="M44" i="4"/>
  <c r="M43" i="4"/>
  <c r="M42" i="4"/>
  <c r="M41" i="4"/>
  <c r="M40" i="4"/>
  <c r="M39" i="4"/>
  <c r="M38" i="4"/>
  <c r="M37" i="4"/>
  <c r="D392" i="5" s="1"/>
  <c r="M36" i="4"/>
  <c r="M35" i="4"/>
  <c r="M34" i="4"/>
  <c r="M33" i="4"/>
  <c r="M32" i="4"/>
  <c r="M31" i="4"/>
  <c r="M30" i="4"/>
  <c r="M29" i="4"/>
  <c r="M28" i="4"/>
  <c r="M27" i="4"/>
  <c r="M26" i="4"/>
  <c r="D311" i="5" s="1"/>
  <c r="M25" i="4"/>
  <c r="M24" i="4"/>
  <c r="E46" i="13" s="1"/>
  <c r="M23" i="4"/>
  <c r="M22" i="4"/>
  <c r="D312" i="5" s="1"/>
  <c r="M21" i="4"/>
  <c r="M20" i="4"/>
  <c r="E48" i="13" s="1"/>
  <c r="M19" i="4"/>
  <c r="M18" i="4"/>
  <c r="D270" i="5" s="1"/>
  <c r="M17" i="4"/>
  <c r="M16" i="4"/>
  <c r="D371" i="5" s="1"/>
  <c r="M15" i="4"/>
  <c r="M14" i="4"/>
  <c r="M13" i="4"/>
  <c r="M12" i="4"/>
  <c r="M11" i="4"/>
  <c r="E64" i="8" s="1"/>
  <c r="M10" i="4"/>
  <c r="M9" i="4"/>
  <c r="M8" i="4"/>
  <c r="M7" i="4"/>
  <c r="M6" i="4"/>
  <c r="M5" i="4"/>
  <c r="M4" i="4"/>
  <c r="M3" i="4"/>
  <c r="M2" i="4"/>
  <c r="D190" i="5" s="1"/>
  <c r="D23" i="30"/>
  <c r="D24" i="30"/>
  <c r="E33" i="31" l="1"/>
  <c r="D498" i="5"/>
  <c r="E499" i="5" s="1"/>
  <c r="D218" i="5"/>
  <c r="D303" i="5"/>
  <c r="D195" i="5"/>
  <c r="D246" i="5"/>
  <c r="E21" i="16"/>
  <c r="E15" i="16"/>
  <c r="D480" i="5"/>
  <c r="E40" i="31"/>
  <c r="D472" i="5"/>
  <c r="E472" i="5" s="1"/>
  <c r="D349" i="5"/>
  <c r="E175" i="7"/>
  <c r="D458" i="5"/>
  <c r="D476" i="5"/>
  <c r="D459" i="5"/>
  <c r="D482" i="5"/>
  <c r="D313" i="5"/>
  <c r="D462" i="5"/>
  <c r="D484" i="5"/>
  <c r="D264" i="5"/>
  <c r="D271" i="5"/>
  <c r="D475" i="5"/>
  <c r="D489" i="5"/>
  <c r="D467" i="5"/>
  <c r="D449" i="5"/>
  <c r="D493" i="5"/>
  <c r="D488" i="5"/>
  <c r="D465" i="5"/>
  <c r="E176" i="7"/>
  <c r="D485" i="5"/>
  <c r="D456" i="5"/>
  <c r="D468" i="5"/>
  <c r="D273" i="5"/>
  <c r="D491" i="5"/>
  <c r="D272" i="5"/>
  <c r="E47" i="10"/>
  <c r="D463" i="5"/>
  <c r="D483" i="5"/>
  <c r="E42" i="12"/>
  <c r="D492" i="5"/>
  <c r="E36" i="31"/>
  <c r="D276" i="5"/>
  <c r="D277" i="5"/>
  <c r="D461" i="5"/>
  <c r="D486" i="5"/>
  <c r="D149" i="5"/>
  <c r="D274" i="5"/>
  <c r="D278" i="5"/>
  <c r="D217" i="5"/>
  <c r="D275" i="5"/>
  <c r="D478" i="5"/>
  <c r="E5" i="31"/>
  <c r="D455" i="5"/>
  <c r="D477" i="5"/>
  <c r="D202" i="5"/>
  <c r="D464" i="5"/>
  <c r="D448" i="5"/>
  <c r="D474" i="5"/>
  <c r="E8" i="31"/>
  <c r="E35" i="31"/>
  <c r="D490" i="5"/>
  <c r="D261" i="5"/>
  <c r="E260" i="5" s="1"/>
  <c r="F460" i="4" s="1"/>
  <c r="M460" i="4" s="1"/>
  <c r="E31" i="16" s="1"/>
  <c r="D390" i="5"/>
  <c r="D325" i="5"/>
  <c r="E89" i="9"/>
  <c r="D413" i="5"/>
  <c r="D436" i="5"/>
  <c r="D340" i="5"/>
  <c r="E97" i="9"/>
  <c r="D421" i="5"/>
  <c r="E131" i="9"/>
  <c r="E123" i="9"/>
  <c r="E62" i="8"/>
  <c r="D419" i="5"/>
  <c r="E120" i="9"/>
  <c r="E137" i="9"/>
  <c r="E96" i="9"/>
  <c r="D420" i="5"/>
  <c r="E84" i="9"/>
  <c r="D408" i="5"/>
  <c r="E82" i="9"/>
  <c r="D406" i="5"/>
  <c r="E38" i="31"/>
  <c r="D399" i="5"/>
  <c r="D435" i="5"/>
  <c r="D409" i="5"/>
  <c r="E45" i="10"/>
  <c r="D412" i="5"/>
  <c r="D347" i="5"/>
  <c r="E21" i="31"/>
  <c r="D443" i="5"/>
  <c r="D415" i="5"/>
  <c r="D398" i="5"/>
  <c r="D431" i="5"/>
  <c r="D365" i="5"/>
  <c r="E44" i="10"/>
  <c r="D433" i="5"/>
  <c r="E119" i="9"/>
  <c r="E129" i="9"/>
  <c r="E138" i="9"/>
  <c r="E186" i="7"/>
  <c r="D428" i="5"/>
  <c r="E64" i="13"/>
  <c r="E24" i="16"/>
  <c r="E22" i="31"/>
  <c r="D447" i="5"/>
  <c r="D405" i="5"/>
  <c r="D204" i="5"/>
  <c r="E18" i="16"/>
  <c r="E63" i="13"/>
  <c r="E20" i="16"/>
  <c r="D411" i="5"/>
  <c r="D434" i="5"/>
  <c r="D445" i="5"/>
  <c r="D441" i="5"/>
  <c r="E83" i="9"/>
  <c r="D407" i="5"/>
  <c r="E69" i="8"/>
  <c r="D438" i="5"/>
  <c r="D350" i="5"/>
  <c r="D442" i="5"/>
  <c r="E94" i="9"/>
  <c r="D430" i="5"/>
  <c r="D418" i="5"/>
  <c r="D397" i="5"/>
  <c r="E93" i="9"/>
  <c r="D417" i="5"/>
  <c r="D318" i="5"/>
  <c r="D439" i="5"/>
  <c r="D400" i="5"/>
  <c r="D410" i="5"/>
  <c r="E46" i="10"/>
  <c r="D453" i="5"/>
  <c r="D403" i="5"/>
  <c r="D416" i="5"/>
  <c r="D425" i="5"/>
  <c r="E90" i="9"/>
  <c r="D401" i="5"/>
  <c r="D414" i="5"/>
  <c r="D356" i="5"/>
  <c r="D333" i="5"/>
  <c r="D381" i="5"/>
  <c r="E7" i="31"/>
  <c r="E22" i="16"/>
  <c r="E72" i="8"/>
  <c r="D370" i="5"/>
  <c r="D362" i="5"/>
  <c r="D354" i="5"/>
  <c r="D338" i="5"/>
  <c r="D330" i="5"/>
  <c r="D322" i="5"/>
  <c r="D387" i="5"/>
  <c r="D379" i="5"/>
  <c r="E71" i="8"/>
  <c r="D369" i="5"/>
  <c r="D361" i="5"/>
  <c r="D353" i="5"/>
  <c r="D337" i="5"/>
  <c r="D329" i="5"/>
  <c r="D386" i="5"/>
  <c r="D378" i="5"/>
  <c r="D341" i="5"/>
  <c r="D372" i="5"/>
  <c r="D332" i="5"/>
  <c r="D324" i="5"/>
  <c r="E73" i="8"/>
  <c r="D355" i="5"/>
  <c r="D331" i="5"/>
  <c r="D323" i="5"/>
  <c r="D388" i="5"/>
  <c r="D380" i="5"/>
  <c r="D95" i="5"/>
  <c r="E70" i="8"/>
  <c r="E196" i="7"/>
  <c r="D368" i="5"/>
  <c r="D360" i="5"/>
  <c r="D352" i="5"/>
  <c r="D344" i="5"/>
  <c r="D336" i="5"/>
  <c r="D393" i="5"/>
  <c r="D385" i="5"/>
  <c r="D377" i="5"/>
  <c r="D373" i="5"/>
  <c r="E114" i="7"/>
  <c r="E194" i="7"/>
  <c r="D389" i="5"/>
  <c r="D94" i="5"/>
  <c r="E195" i="7"/>
  <c r="D359" i="5"/>
  <c r="D351" i="5"/>
  <c r="D343" i="5"/>
  <c r="D335" i="5"/>
  <c r="D384" i="5"/>
  <c r="D376" i="5"/>
  <c r="D93" i="5"/>
  <c r="D374" i="5"/>
  <c r="D366" i="5"/>
  <c r="D358" i="5"/>
  <c r="D342" i="5"/>
  <c r="D334" i="5"/>
  <c r="D326" i="5"/>
  <c r="D391" i="5"/>
  <c r="D320" i="5"/>
  <c r="E183" i="7"/>
  <c r="E174" i="7"/>
  <c r="H5" i="30"/>
  <c r="G3" i="30"/>
  <c r="G5" i="30"/>
  <c r="E94" i="11"/>
  <c r="E43" i="10"/>
  <c r="E180" i="7"/>
  <c r="E146" i="11"/>
  <c r="E173" i="7"/>
  <c r="D310" i="5"/>
  <c r="E78" i="11"/>
  <c r="E80" i="11"/>
  <c r="E88" i="9"/>
  <c r="E93" i="11"/>
  <c r="D314" i="5"/>
  <c r="E95" i="9"/>
  <c r="E87" i="9"/>
  <c r="E61" i="8"/>
  <c r="E56" i="13"/>
  <c r="E52" i="13"/>
  <c r="E86" i="9"/>
  <c r="E48" i="10"/>
  <c r="E53" i="13"/>
  <c r="E85" i="9"/>
  <c r="D306" i="5"/>
  <c r="E51" i="13"/>
  <c r="D319" i="5"/>
  <c r="E92" i="9"/>
  <c r="E103" i="7"/>
  <c r="E91" i="9"/>
  <c r="E47" i="13"/>
  <c r="D317" i="5"/>
  <c r="E12" i="31"/>
  <c r="E4" i="31"/>
  <c r="E28" i="31"/>
  <c r="E20" i="31"/>
  <c r="E11" i="31"/>
  <c r="E43" i="31"/>
  <c r="E34" i="31"/>
  <c r="E26" i="31"/>
  <c r="E18" i="31"/>
  <c r="E9" i="31"/>
  <c r="E41" i="31"/>
  <c r="E25" i="31"/>
  <c r="E17" i="31"/>
  <c r="E24" i="31"/>
  <c r="E16" i="31"/>
  <c r="E14" i="31"/>
  <c r="E30" i="31"/>
  <c r="E29" i="31"/>
  <c r="E2" i="30"/>
  <c r="E174" i="15"/>
  <c r="E76" i="7"/>
  <c r="E102" i="15"/>
  <c r="D248" i="5"/>
  <c r="E15" i="7"/>
  <c r="E30" i="7"/>
  <c r="D186" i="5"/>
  <c r="D162" i="5"/>
  <c r="E53" i="15"/>
  <c r="E126" i="15"/>
  <c r="D288" i="5"/>
  <c r="E46" i="7"/>
  <c r="E116" i="7"/>
  <c r="E40" i="13"/>
  <c r="E185" i="15"/>
  <c r="E142" i="11"/>
  <c r="E137" i="7"/>
  <c r="E197" i="15"/>
  <c r="E114" i="9"/>
  <c r="E153" i="7"/>
  <c r="E72" i="7"/>
  <c r="E198" i="15"/>
  <c r="E171" i="15"/>
  <c r="E184" i="15"/>
  <c r="D152" i="5"/>
  <c r="E217" i="15"/>
  <c r="E114" i="11"/>
  <c r="E52" i="11"/>
  <c r="E66" i="11"/>
  <c r="E7" i="11"/>
  <c r="D298" i="5"/>
  <c r="D22" i="5"/>
  <c r="E38" i="11"/>
  <c r="D54" i="5"/>
  <c r="D81" i="5"/>
  <c r="E100" i="11"/>
  <c r="E19" i="11"/>
  <c r="E183" i="11"/>
  <c r="E156" i="11"/>
  <c r="E74" i="11"/>
  <c r="E12" i="11"/>
  <c r="D26" i="5"/>
  <c r="E85" i="11"/>
  <c r="E186" i="15"/>
  <c r="E158" i="15"/>
  <c r="E114" i="15"/>
  <c r="E90" i="15"/>
  <c r="E62" i="15"/>
  <c r="E26" i="15"/>
  <c r="E10" i="15"/>
  <c r="E141" i="15"/>
  <c r="E88" i="15"/>
  <c r="E20" i="15"/>
  <c r="E4" i="15"/>
  <c r="E203" i="15"/>
  <c r="E195" i="15"/>
  <c r="E75" i="15"/>
  <c r="E39" i="15"/>
  <c r="E49" i="15"/>
  <c r="E48" i="12"/>
  <c r="E81" i="9"/>
  <c r="E47" i="12"/>
  <c r="D290" i="5"/>
  <c r="D283" i="5"/>
  <c r="D258" i="5"/>
  <c r="D185" i="5"/>
  <c r="D167" i="5"/>
  <c r="D174" i="5"/>
  <c r="E74" i="15"/>
  <c r="E101" i="15"/>
  <c r="E204" i="15"/>
  <c r="E80" i="15"/>
  <c r="E111" i="15"/>
  <c r="E95" i="15"/>
  <c r="E63" i="15"/>
  <c r="E47" i="15"/>
  <c r="E3" i="15"/>
  <c r="E33" i="10"/>
  <c r="E56" i="10"/>
  <c r="E22" i="10"/>
  <c r="E11" i="10"/>
  <c r="D302" i="5"/>
  <c r="D267" i="5"/>
  <c r="E9" i="15"/>
  <c r="D32" i="5"/>
  <c r="D196" i="5"/>
  <c r="D166" i="5"/>
  <c r="D79" i="5"/>
  <c r="E160" i="11"/>
  <c r="D213" i="5"/>
  <c r="E28" i="11"/>
  <c r="E192" i="11"/>
  <c r="E54" i="15"/>
  <c r="E193" i="15"/>
  <c r="E139" i="15"/>
  <c r="D2" i="5"/>
  <c r="D242" i="5"/>
  <c r="E162" i="15"/>
  <c r="E108" i="15"/>
  <c r="E178" i="15"/>
  <c r="E14" i="15"/>
  <c r="E97" i="15"/>
  <c r="E57" i="15"/>
  <c r="E216" i="15"/>
  <c r="E211" i="15"/>
  <c r="E71" i="15"/>
  <c r="E65" i="13"/>
  <c r="D292" i="5"/>
  <c r="D70" i="5"/>
  <c r="D144" i="5"/>
  <c r="E76" i="11"/>
  <c r="E60" i="11"/>
  <c r="E3" i="11"/>
  <c r="E43" i="11"/>
  <c r="E30" i="15"/>
  <c r="E18" i="15"/>
  <c r="E169" i="15"/>
  <c r="E165" i="15"/>
  <c r="E125" i="15"/>
  <c r="E81" i="15"/>
  <c r="E144" i="15"/>
  <c r="E116" i="15"/>
  <c r="E36" i="15"/>
  <c r="E24" i="15"/>
  <c r="E11" i="9"/>
  <c r="E132" i="15"/>
  <c r="E31" i="15"/>
  <c r="E202" i="15"/>
  <c r="E78" i="15"/>
  <c r="E58" i="15"/>
  <c r="E50" i="15"/>
  <c r="E38" i="15"/>
  <c r="E61" i="15"/>
  <c r="E112" i="15"/>
  <c r="E72" i="15"/>
  <c r="E32" i="15"/>
  <c r="E16" i="15"/>
  <c r="E43" i="15"/>
  <c r="E19" i="15"/>
  <c r="E69" i="13"/>
  <c r="E25" i="15"/>
  <c r="E17" i="9"/>
  <c r="D201" i="5"/>
  <c r="E176" i="11"/>
  <c r="E144" i="11"/>
  <c r="D31" i="5"/>
  <c r="D112" i="5"/>
  <c r="D67" i="5"/>
  <c r="D72" i="5"/>
  <c r="D62" i="5"/>
  <c r="E31" i="13"/>
  <c r="E7" i="13"/>
  <c r="E37" i="13"/>
  <c r="E25" i="13"/>
  <c r="E19" i="13"/>
  <c r="E13" i="13"/>
  <c r="E10" i="12"/>
  <c r="E37" i="12"/>
  <c r="E25" i="12"/>
  <c r="E27" i="10"/>
  <c r="E62" i="14"/>
  <c r="E4" i="12"/>
  <c r="D247" i="5"/>
  <c r="D102" i="5"/>
  <c r="E189" i="11"/>
  <c r="E25" i="11"/>
  <c r="D296" i="5"/>
  <c r="D105" i="5"/>
  <c r="D124" i="5"/>
  <c r="E193" i="11"/>
  <c r="E159" i="11"/>
  <c r="E123" i="11"/>
  <c r="E105" i="11"/>
  <c r="E73" i="11"/>
  <c r="E29" i="11"/>
  <c r="E167" i="7"/>
  <c r="E71" i="7"/>
  <c r="E143" i="11"/>
  <c r="E34" i="7"/>
  <c r="E129" i="7"/>
  <c r="E90" i="11"/>
  <c r="E52" i="7"/>
  <c r="E90" i="7"/>
  <c r="D27" i="5"/>
  <c r="E175" i="11"/>
  <c r="E148" i="7"/>
  <c r="E110" i="7"/>
  <c r="E44" i="13"/>
  <c r="E36" i="13"/>
  <c r="E24" i="13"/>
  <c r="E12" i="13"/>
  <c r="E30" i="13"/>
  <c r="E6" i="13"/>
  <c r="E18" i="13"/>
  <c r="E28" i="13"/>
  <c r="E16" i="13"/>
  <c r="E4" i="13"/>
  <c r="E22" i="9"/>
  <c r="E109" i="9"/>
  <c r="E42" i="13"/>
  <c r="E34" i="13"/>
  <c r="E10" i="13"/>
  <c r="E22" i="13"/>
  <c r="D151" i="5"/>
  <c r="D103" i="5"/>
  <c r="E31" i="9"/>
  <c r="E141" i="11"/>
  <c r="E5" i="11"/>
  <c r="E112" i="11"/>
  <c r="E96" i="11"/>
  <c r="E36" i="11"/>
  <c r="E28" i="10"/>
  <c r="E15" i="8"/>
  <c r="E155" i="7"/>
  <c r="E59" i="7"/>
  <c r="E33" i="12"/>
  <c r="E11" i="12"/>
  <c r="E5" i="12"/>
  <c r="E173" i="11"/>
  <c r="E150" i="11"/>
  <c r="E81" i="11"/>
  <c r="E64" i="11"/>
  <c r="E50" i="11"/>
  <c r="E136" i="7"/>
  <c r="E40" i="7"/>
  <c r="E98" i="7"/>
  <c r="E78" i="7"/>
  <c r="E51" i="9"/>
  <c r="E68" i="8"/>
  <c r="E117" i="7"/>
  <c r="E22" i="7"/>
  <c r="D133" i="5"/>
  <c r="D111" i="5"/>
  <c r="E125" i="11"/>
  <c r="E4" i="7"/>
  <c r="D51" i="5"/>
  <c r="D15" i="5"/>
  <c r="E97" i="14"/>
  <c r="E81" i="14"/>
  <c r="E20" i="14"/>
  <c r="E7" i="14"/>
  <c r="E53" i="11"/>
  <c r="E71" i="14"/>
  <c r="E32" i="14"/>
  <c r="E67" i="11"/>
  <c r="E24" i="11"/>
  <c r="E188" i="11"/>
  <c r="E115" i="11"/>
  <c r="E39" i="11"/>
  <c r="E8" i="11"/>
  <c r="D297" i="5"/>
  <c r="D123" i="5"/>
  <c r="E97" i="11"/>
  <c r="E65" i="11"/>
  <c r="E37" i="11"/>
  <c r="E124" i="11"/>
  <c r="E6" i="11"/>
  <c r="E111" i="7"/>
  <c r="E91" i="7"/>
  <c r="E35" i="7"/>
  <c r="E82" i="11"/>
  <c r="E51" i="11"/>
  <c r="E75" i="9"/>
  <c r="E37" i="9"/>
  <c r="E130" i="7"/>
  <c r="E46" i="9"/>
  <c r="E17" i="7"/>
  <c r="E149" i="7"/>
  <c r="E53" i="7"/>
  <c r="E168" i="7"/>
  <c r="E113" i="11"/>
  <c r="E36" i="10"/>
  <c r="E11" i="8"/>
  <c r="E134" i="11"/>
  <c r="E31" i="10"/>
  <c r="E166" i="11"/>
  <c r="D113" i="5"/>
  <c r="D107" i="5"/>
  <c r="D68" i="5"/>
  <c r="D8" i="5"/>
  <c r="D194" i="5"/>
  <c r="D154" i="5"/>
  <c r="D59" i="5"/>
  <c r="D35" i="5"/>
  <c r="E41" i="14"/>
  <c r="E18" i="12"/>
  <c r="E56" i="14"/>
  <c r="E48" i="14"/>
  <c r="E23" i="12"/>
  <c r="E131" i="7"/>
  <c r="E18" i="7"/>
  <c r="D249" i="5"/>
  <c r="E150" i="7"/>
  <c r="E54" i="7"/>
  <c r="E14" i="8"/>
  <c r="E169" i="7"/>
  <c r="E112" i="7"/>
  <c r="E92" i="7"/>
  <c r="E73" i="7"/>
  <c r="D183" i="5"/>
  <c r="D50" i="5"/>
  <c r="D16" i="5"/>
  <c r="E36" i="7"/>
  <c r="D132" i="5"/>
  <c r="D104" i="5"/>
  <c r="D5" i="5"/>
  <c r="E139" i="7"/>
  <c r="E43" i="7"/>
  <c r="E120" i="7"/>
  <c r="E25" i="7"/>
  <c r="E7" i="7"/>
  <c r="E158" i="7"/>
  <c r="D189" i="5"/>
  <c r="E81" i="7"/>
  <c r="D180" i="5"/>
  <c r="E101" i="7"/>
  <c r="D254" i="5"/>
  <c r="E96" i="14"/>
  <c r="E19" i="14"/>
  <c r="E80" i="14"/>
  <c r="E70" i="14"/>
  <c r="E50" i="14"/>
  <c r="E31" i="14"/>
  <c r="E58" i="10"/>
  <c r="E32" i="10"/>
  <c r="E13" i="10"/>
  <c r="E9" i="10"/>
  <c r="E5" i="10"/>
  <c r="E58" i="14"/>
  <c r="E153" i="11"/>
  <c r="E135" i="11"/>
  <c r="E89" i="11"/>
  <c r="E62" i="11"/>
  <c r="E20" i="11"/>
  <c r="E53" i="10"/>
  <c r="E18" i="10"/>
  <c r="E49" i="9"/>
  <c r="E6" i="9"/>
  <c r="E181" i="7"/>
  <c r="E6" i="14"/>
  <c r="E40" i="12"/>
  <c r="E184" i="11"/>
  <c r="E130" i="11"/>
  <c r="E10" i="11"/>
  <c r="E104" i="9"/>
  <c r="E167" i="11"/>
  <c r="E104" i="11"/>
  <c r="E34" i="11"/>
  <c r="E43" i="14"/>
  <c r="E48" i="11"/>
  <c r="D289" i="5"/>
  <c r="E39" i="10"/>
  <c r="E78" i="9"/>
  <c r="E62" i="9"/>
  <c r="E40" i="9"/>
  <c r="E27" i="9"/>
  <c r="E24" i="10"/>
  <c r="E16" i="9"/>
  <c r="D263" i="5"/>
  <c r="D236" i="5"/>
  <c r="D175" i="5"/>
  <c r="D117" i="5"/>
  <c r="D46" i="5"/>
  <c r="D250" i="5"/>
  <c r="D200" i="5"/>
  <c r="D126" i="5"/>
  <c r="D87" i="5"/>
  <c r="D37" i="5"/>
  <c r="D25" i="5"/>
  <c r="E57" i="9"/>
  <c r="E18" i="9"/>
  <c r="E127" i="7"/>
  <c r="E14" i="7"/>
  <c r="E29" i="9"/>
  <c r="E146" i="7"/>
  <c r="E50" i="7"/>
  <c r="D282" i="5"/>
  <c r="E165" i="7"/>
  <c r="E108" i="7"/>
  <c r="E88" i="7"/>
  <c r="E69" i="7"/>
  <c r="E32" i="7"/>
  <c r="D226" i="5"/>
  <c r="E106" i="9"/>
  <c r="E87" i="11"/>
  <c r="E49" i="11"/>
  <c r="E158" i="11"/>
  <c r="E102" i="11"/>
  <c r="E15" i="11"/>
  <c r="E139" i="11"/>
  <c r="E35" i="11"/>
  <c r="E171" i="11"/>
  <c r="E23" i="11"/>
  <c r="E187" i="11"/>
  <c r="E63" i="11"/>
  <c r="E91" i="11"/>
  <c r="E17" i="10"/>
  <c r="E186" i="11"/>
  <c r="E42" i="11"/>
  <c r="E57" i="10"/>
  <c r="E38" i="10"/>
  <c r="E23" i="10"/>
  <c r="E12" i="10"/>
  <c r="E19" i="8"/>
  <c r="E107" i="7"/>
  <c r="E87" i="7"/>
  <c r="E31" i="7"/>
  <c r="E106" i="11"/>
  <c r="E4" i="11"/>
  <c r="E52" i="10"/>
  <c r="E161" i="11"/>
  <c r="E75" i="11"/>
  <c r="E4" i="10"/>
  <c r="E8" i="10"/>
  <c r="E13" i="7"/>
  <c r="D227" i="5"/>
  <c r="E145" i="7"/>
  <c r="E49" i="7"/>
  <c r="E59" i="11"/>
  <c r="E164" i="7"/>
  <c r="E68" i="7"/>
  <c r="D268" i="5"/>
  <c r="E22" i="11"/>
  <c r="D169" i="5"/>
  <c r="D20" i="5"/>
  <c r="E126" i="7"/>
  <c r="D41" i="5"/>
  <c r="D11" i="5"/>
  <c r="D232" i="5"/>
  <c r="E11" i="15"/>
  <c r="D138" i="5"/>
  <c r="E205" i="15"/>
  <c r="E64" i="15"/>
  <c r="E159" i="15"/>
  <c r="E99" i="15"/>
  <c r="D231" i="5"/>
  <c r="D301" i="5"/>
  <c r="D197" i="5"/>
  <c r="D173" i="5"/>
  <c r="D78" i="5"/>
  <c r="E105" i="15"/>
  <c r="E219" i="15"/>
  <c r="E175" i="15"/>
  <c r="E66" i="13"/>
  <c r="D209" i="5"/>
  <c r="E86" i="15"/>
  <c r="D153" i="5"/>
  <c r="E150" i="15"/>
  <c r="E122" i="15"/>
  <c r="E92" i="15"/>
  <c r="E44" i="15"/>
  <c r="E40" i="15"/>
  <c r="E28" i="15"/>
  <c r="E131" i="15"/>
  <c r="E55" i="15"/>
  <c r="E33" i="15"/>
  <c r="E59" i="13"/>
  <c r="D184" i="5"/>
  <c r="D142" i="5"/>
  <c r="E50" i="10"/>
  <c r="E42" i="10"/>
  <c r="E55" i="10"/>
  <c r="E103" i="9"/>
  <c r="E69" i="9"/>
  <c r="E61" i="9"/>
  <c r="E72" i="9"/>
  <c r="E21" i="7"/>
  <c r="E188" i="7"/>
  <c r="E117" i="15"/>
  <c r="E83" i="15"/>
  <c r="E25" i="10"/>
  <c r="E59" i="10"/>
  <c r="E14" i="10"/>
  <c r="E66" i="9"/>
  <c r="E185" i="7"/>
  <c r="E13" i="9"/>
  <c r="E54" i="9"/>
  <c r="E29" i="16"/>
  <c r="E62" i="7"/>
  <c r="E7" i="9"/>
  <c r="E21" i="10"/>
  <c r="E16" i="7"/>
  <c r="D60" i="5"/>
  <c r="D6" i="5"/>
  <c r="D17" i="5"/>
  <c r="E172" i="11"/>
  <c r="E83" i="11"/>
  <c r="E9" i="11"/>
  <c r="E191" i="11"/>
  <c r="E140" i="11"/>
  <c r="E152" i="11"/>
  <c r="E40" i="11"/>
  <c r="E27" i="11"/>
  <c r="E98" i="11"/>
  <c r="E54" i="11"/>
  <c r="E68" i="11"/>
  <c r="E82" i="15"/>
  <c r="E45" i="11"/>
  <c r="E31" i="11"/>
  <c r="E122" i="11"/>
  <c r="E65" i="9"/>
  <c r="E105" i="9"/>
  <c r="E53" i="9"/>
  <c r="E143" i="7"/>
  <c r="E47" i="7"/>
  <c r="E28" i="9"/>
  <c r="E29" i="7"/>
  <c r="D257" i="5"/>
  <c r="D225" i="5"/>
  <c r="E16" i="8"/>
  <c r="E124" i="7"/>
  <c r="E184" i="7"/>
  <c r="E11" i="7"/>
  <c r="E105" i="7"/>
  <c r="D10" i="5"/>
  <c r="E66" i="7"/>
  <c r="D240" i="5"/>
  <c r="D128" i="5"/>
  <c r="D19" i="5"/>
  <c r="E15" i="9"/>
  <c r="E85" i="7"/>
  <c r="E185" i="11"/>
  <c r="E137" i="11"/>
  <c r="E69" i="11"/>
  <c r="E41" i="11"/>
  <c r="E21" i="11"/>
  <c r="E169" i="11"/>
  <c r="E131" i="11"/>
  <c r="E11" i="11"/>
  <c r="E88" i="11"/>
  <c r="E55" i="11"/>
  <c r="E154" i="11"/>
  <c r="E103" i="11"/>
  <c r="D24" i="5"/>
  <c r="E119" i="11"/>
  <c r="D234" i="5"/>
  <c r="E64" i="9"/>
  <c r="E52" i="9"/>
  <c r="E12" i="9"/>
  <c r="E181" i="15"/>
  <c r="E149" i="15"/>
  <c r="E121" i="15"/>
  <c r="E176" i="15"/>
  <c r="E160" i="15"/>
  <c r="E167" i="15"/>
  <c r="D210" i="5"/>
  <c r="D56" i="5"/>
  <c r="E77" i="15"/>
  <c r="E208" i="15"/>
  <c r="E67" i="15"/>
  <c r="E182" i="15"/>
  <c r="E161" i="15"/>
  <c r="E137" i="15"/>
  <c r="E93" i="15"/>
  <c r="E172" i="15"/>
  <c r="E128" i="15"/>
  <c r="E104" i="15"/>
  <c r="E84" i="15"/>
  <c r="E191" i="15"/>
  <c r="E147" i="15"/>
  <c r="E119" i="15"/>
  <c r="E107" i="15"/>
  <c r="E51" i="15"/>
  <c r="E67" i="13"/>
  <c r="D207" i="5"/>
  <c r="E170" i="15"/>
  <c r="E166" i="15"/>
  <c r="E189" i="15"/>
  <c r="E153" i="15"/>
  <c r="E145" i="15"/>
  <c r="E212" i="15"/>
  <c r="E180" i="15"/>
  <c r="E215" i="15"/>
  <c r="E135" i="15"/>
  <c r="E91" i="15"/>
  <c r="E7" i="15"/>
  <c r="E60" i="13"/>
  <c r="D235" i="5"/>
  <c r="D293" i="5"/>
  <c r="D205" i="5"/>
  <c r="D222" i="5"/>
  <c r="D71" i="5"/>
  <c r="D47" i="5"/>
  <c r="E209" i="15"/>
  <c r="E152" i="15"/>
  <c r="E68" i="15"/>
  <c r="E33" i="11"/>
  <c r="E148" i="11"/>
  <c r="E47" i="11"/>
  <c r="E34" i="9"/>
  <c r="E135" i="7"/>
  <c r="E21" i="9"/>
  <c r="E127" i="11"/>
  <c r="E30" i="10"/>
  <c r="E12" i="8"/>
  <c r="E3" i="7"/>
  <c r="D284" i="5"/>
  <c r="E59" i="8"/>
  <c r="E43" i="9"/>
  <c r="E32" i="9"/>
  <c r="E97" i="7"/>
  <c r="E77" i="7"/>
  <c r="E58" i="7"/>
  <c r="D91" i="5"/>
  <c r="D23" i="5"/>
  <c r="D244" i="5"/>
  <c r="E146" i="15"/>
  <c r="E138" i="15"/>
  <c r="E118" i="15"/>
  <c r="E94" i="15"/>
  <c r="E173" i="15"/>
  <c r="E109" i="15"/>
  <c r="E85" i="15"/>
  <c r="E192" i="15"/>
  <c r="E52" i="15"/>
  <c r="E183" i="15"/>
  <c r="E163" i="15"/>
  <c r="E127" i="15"/>
  <c r="E103" i="15"/>
  <c r="E68" i="13"/>
  <c r="E21" i="15"/>
  <c r="D208" i="5"/>
  <c r="E37" i="15"/>
  <c r="E30" i="9"/>
  <c r="D228" i="5"/>
  <c r="E162" i="7"/>
  <c r="D252" i="5"/>
  <c r="E18" i="8"/>
  <c r="E145" i="11"/>
  <c r="E129" i="11"/>
  <c r="E162" i="11"/>
  <c r="E177" i="11"/>
  <c r="D281" i="5"/>
  <c r="E41" i="12"/>
  <c r="D251" i="5"/>
  <c r="E151" i="11"/>
  <c r="E174" i="11"/>
  <c r="E19" i="10"/>
  <c r="E26" i="11"/>
  <c r="E190" i="11"/>
  <c r="E33" i="14"/>
  <c r="E98" i="14"/>
  <c r="E8" i="14"/>
  <c r="E82" i="14"/>
  <c r="E21" i="14"/>
  <c r="E72" i="14"/>
  <c r="E95" i="14"/>
  <c r="E69" i="14"/>
  <c r="E5" i="14"/>
  <c r="E79" i="14"/>
  <c r="E30" i="14"/>
  <c r="E18" i="14"/>
  <c r="E35" i="13"/>
  <c r="E17" i="13"/>
  <c r="E11" i="13"/>
  <c r="E99" i="7"/>
  <c r="E79" i="7"/>
  <c r="E23" i="7"/>
  <c r="E43" i="13"/>
  <c r="E29" i="13"/>
  <c r="E23" i="13"/>
  <c r="E5" i="13"/>
  <c r="D237" i="5"/>
  <c r="E156" i="7"/>
  <c r="E118" i="7"/>
  <c r="E60" i="7"/>
  <c r="E5" i="7"/>
  <c r="E46" i="12"/>
  <c r="D256" i="5"/>
  <c r="E142" i="9"/>
  <c r="D280" i="5"/>
  <c r="E218" i="15"/>
  <c r="E206" i="15"/>
  <c r="E130" i="15"/>
  <c r="E22" i="15"/>
  <c r="E65" i="15"/>
  <c r="E27" i="15"/>
  <c r="E66" i="15"/>
  <c r="E6" i="15"/>
  <c r="E76" i="15"/>
  <c r="E207" i="15"/>
  <c r="E101" i="11"/>
  <c r="E57" i="11"/>
  <c r="E71" i="11"/>
  <c r="E86" i="11"/>
  <c r="E213" i="15"/>
  <c r="E15" i="15"/>
  <c r="D294" i="5"/>
  <c r="E151" i="7"/>
  <c r="E55" i="7"/>
  <c r="E19" i="7"/>
  <c r="E170" i="7"/>
  <c r="E113" i="7"/>
  <c r="E93" i="7"/>
  <c r="E74" i="7"/>
  <c r="E37" i="7"/>
  <c r="E194" i="15"/>
  <c r="E157" i="15"/>
  <c r="E140" i="15"/>
  <c r="D245" i="5"/>
  <c r="E48" i="15"/>
  <c r="E163" i="7"/>
  <c r="E67" i="7"/>
  <c r="E125" i="7"/>
  <c r="E12" i="7"/>
  <c r="E144" i="7"/>
  <c r="E106" i="7"/>
  <c r="E86" i="7"/>
  <c r="E48" i="7"/>
  <c r="E38" i="12"/>
  <c r="D279" i="5"/>
  <c r="E87" i="15"/>
  <c r="E77" i="9"/>
  <c r="E26" i="9"/>
  <c r="E48" i="9"/>
  <c r="E20" i="9"/>
  <c r="E5" i="9"/>
  <c r="E187" i="7"/>
  <c r="D229" i="5"/>
  <c r="E68" i="9"/>
  <c r="E39" i="9"/>
  <c r="E13" i="12"/>
  <c r="E143" i="9"/>
  <c r="E110" i="15"/>
  <c r="E179" i="15"/>
  <c r="E34" i="12"/>
  <c r="E26" i="12"/>
  <c r="E6" i="12"/>
  <c r="E12" i="12"/>
  <c r="E115" i="7"/>
  <c r="E190" i="15"/>
  <c r="E154" i="15"/>
  <c r="E113" i="15"/>
  <c r="E136" i="15"/>
  <c r="E96" i="15"/>
  <c r="E12" i="15"/>
  <c r="E5" i="15"/>
  <c r="D265" i="5"/>
  <c r="E155" i="11"/>
  <c r="E84" i="11"/>
  <c r="E72" i="11"/>
  <c r="E58" i="11"/>
  <c r="E99" i="11"/>
  <c r="E132" i="11"/>
  <c r="E199" i="15"/>
  <c r="E187" i="15"/>
  <c r="E110" i="9"/>
  <c r="E189" i="7"/>
  <c r="E95" i="7"/>
  <c r="E134" i="7"/>
  <c r="D3" i="5"/>
  <c r="D7" i="5"/>
  <c r="D9" i="5"/>
  <c r="D13" i="5"/>
  <c r="D29" i="5"/>
  <c r="D39" i="5"/>
  <c r="D45" i="5"/>
  <c r="D57" i="5"/>
  <c r="D61" i="5"/>
  <c r="D63" i="5"/>
  <c r="D69" i="5"/>
  <c r="D73" i="5"/>
  <c r="D75" i="5"/>
  <c r="D85" i="5"/>
  <c r="D106" i="5"/>
  <c r="D108" i="5"/>
  <c r="D110" i="5"/>
  <c r="D130" i="5"/>
  <c r="D134" i="5"/>
  <c r="D136" i="5"/>
  <c r="D146" i="5"/>
  <c r="D150" i="5"/>
  <c r="D156" i="5"/>
  <c r="D159" i="5"/>
  <c r="D168" i="5"/>
  <c r="D172" i="5"/>
  <c r="D178" i="5"/>
  <c r="D192" i="5"/>
  <c r="D214" i="5"/>
  <c r="E57" i="7"/>
  <c r="E39" i="7"/>
  <c r="E154" i="7"/>
  <c r="E46" i="11"/>
  <c r="E121" i="11"/>
  <c r="E32" i="11"/>
  <c r="E6" i="16"/>
  <c r="E4" i="16"/>
  <c r="E119" i="7"/>
  <c r="E6" i="7"/>
  <c r="E157" i="7"/>
  <c r="E100" i="7"/>
  <c r="E80" i="7"/>
  <c r="E61" i="7"/>
  <c r="E24" i="7"/>
  <c r="E138" i="7"/>
  <c r="E42" i="7"/>
  <c r="E56" i="9"/>
  <c r="E29" i="10"/>
  <c r="E14" i="9"/>
  <c r="E123" i="7"/>
  <c r="E10" i="7"/>
  <c r="E45" i="12"/>
  <c r="E17" i="8"/>
  <c r="E161" i="7"/>
  <c r="E104" i="7"/>
  <c r="E84" i="7"/>
  <c r="E65" i="7"/>
  <c r="D255" i="5"/>
  <c r="E28" i="7"/>
  <c r="E57" i="14"/>
  <c r="E49" i="14"/>
  <c r="E29" i="14"/>
  <c r="E42" i="14"/>
  <c r="E17" i="14"/>
  <c r="E94" i="14"/>
  <c r="E68" i="14"/>
  <c r="E4" i="14"/>
  <c r="D241" i="5"/>
  <c r="E78" i="14"/>
  <c r="E129" i="15"/>
  <c r="E148" i="15"/>
  <c r="E120" i="15"/>
  <c r="E201" i="15"/>
  <c r="E60" i="15"/>
  <c r="E7" i="10"/>
  <c r="E41" i="10"/>
  <c r="E37" i="10"/>
  <c r="E16" i="10"/>
  <c r="E51" i="10"/>
  <c r="D300" i="5"/>
  <c r="E3" i="10"/>
  <c r="E42" i="15"/>
  <c r="E99" i="14"/>
  <c r="E11" i="14"/>
  <c r="E147" i="7"/>
  <c r="E51" i="7"/>
  <c r="E83" i="14"/>
  <c r="E51" i="14"/>
  <c r="E24" i="14"/>
  <c r="E67" i="14"/>
  <c r="E166" i="7"/>
  <c r="E109" i="7"/>
  <c r="E89" i="7"/>
  <c r="E70" i="7"/>
  <c r="E34" i="14"/>
  <c r="E33" i="7"/>
  <c r="E128" i="7"/>
  <c r="E107" i="9"/>
  <c r="E76" i="9"/>
  <c r="E38" i="9"/>
  <c r="E47" i="9"/>
  <c r="E19" i="9"/>
  <c r="E4" i="9"/>
  <c r="D287" i="5"/>
  <c r="E142" i="15"/>
  <c r="E196" i="15"/>
  <c r="E181" i="11"/>
  <c r="E17" i="11"/>
  <c r="E157" i="11"/>
  <c r="E56" i="11"/>
  <c r="E14" i="11"/>
  <c r="E138" i="11"/>
  <c r="E70" i="11"/>
  <c r="E170" i="11"/>
  <c r="E41" i="13"/>
  <c r="E21" i="13"/>
  <c r="E27" i="13"/>
  <c r="E15" i="13"/>
  <c r="E3" i="13"/>
  <c r="E33" i="13"/>
  <c r="E9" i="13"/>
  <c r="D12" i="5"/>
  <c r="D18" i="5"/>
  <c r="D30" i="5"/>
  <c r="D34" i="5"/>
  <c r="D36" i="5"/>
  <c r="D38" i="5"/>
  <c r="D40" i="5"/>
  <c r="D48" i="5"/>
  <c r="D64" i="5"/>
  <c r="D74" i="5"/>
  <c r="D76" i="5"/>
  <c r="D82" i="5"/>
  <c r="D84" i="5"/>
  <c r="D86" i="5"/>
  <c r="D88" i="5"/>
  <c r="D115" i="5"/>
  <c r="D131" i="5"/>
  <c r="D137" i="5"/>
  <c r="D143" i="5"/>
  <c r="D145" i="5"/>
  <c r="D155" i="5"/>
  <c r="D157" i="5"/>
  <c r="D163" i="5"/>
  <c r="D177" i="5"/>
  <c r="D181" i="5"/>
  <c r="D187" i="5"/>
  <c r="D191" i="5"/>
  <c r="D193" i="5"/>
  <c r="D199" i="5"/>
  <c r="D206" i="5"/>
  <c r="E41" i="7"/>
  <c r="E96" i="7"/>
  <c r="E142" i="7"/>
  <c r="E13" i="8"/>
  <c r="E497" i="5" l="1"/>
  <c r="E498" i="5"/>
  <c r="E496" i="5"/>
  <c r="F472" i="4" s="1"/>
  <c r="M472" i="4" s="1"/>
  <c r="E219" i="5"/>
  <c r="E158" i="5"/>
  <c r="E161" i="5"/>
  <c r="E233" i="5"/>
  <c r="E266" i="5"/>
  <c r="E494" i="5"/>
  <c r="E216" i="5"/>
  <c r="F459" i="4" s="1"/>
  <c r="M459" i="4" s="1"/>
  <c r="E26" i="16" s="1"/>
  <c r="E471" i="5"/>
  <c r="E470" i="5"/>
  <c r="F467" i="4" s="1"/>
  <c r="M467" i="4" s="1"/>
  <c r="E16" i="14" s="1"/>
  <c r="E217" i="5"/>
  <c r="E246" i="5"/>
  <c r="E303" i="5"/>
  <c r="E482" i="5"/>
  <c r="E218" i="5"/>
  <c r="E277" i="5"/>
  <c r="E278" i="5"/>
  <c r="E489" i="5"/>
  <c r="E275" i="5"/>
  <c r="E276" i="5"/>
  <c r="E272" i="5"/>
  <c r="E274" i="5"/>
  <c r="E488" i="5"/>
  <c r="E484" i="5"/>
  <c r="E485" i="5"/>
  <c r="E271" i="5"/>
  <c r="E483" i="5"/>
  <c r="E493" i="5"/>
  <c r="E492" i="5"/>
  <c r="E481" i="5"/>
  <c r="F471" i="4" s="1"/>
  <c r="M471" i="4" s="1"/>
  <c r="E270" i="5"/>
  <c r="F470" i="4" s="1"/>
  <c r="M470" i="4" s="1"/>
  <c r="D203" i="5" s="1"/>
  <c r="E197" i="5" s="1"/>
  <c r="E486" i="5"/>
  <c r="E490" i="5"/>
  <c r="E487" i="5"/>
  <c r="E273" i="5"/>
  <c r="E468" i="5"/>
  <c r="E455" i="5"/>
  <c r="F468" i="4" s="1"/>
  <c r="M468" i="4" s="1"/>
  <c r="D479" i="5" s="1"/>
  <c r="E474" i="5" s="1"/>
  <c r="F469" i="4" s="1"/>
  <c r="M469" i="4" s="1"/>
  <c r="E15" i="12" s="1"/>
  <c r="E460" i="5"/>
  <c r="E458" i="5"/>
  <c r="E464" i="5"/>
  <c r="E465" i="5"/>
  <c r="E467" i="5"/>
  <c r="E461" i="5"/>
  <c r="E463" i="5"/>
  <c r="E456" i="5"/>
  <c r="E466" i="5"/>
  <c r="E459" i="5"/>
  <c r="E457" i="5"/>
  <c r="E462" i="5"/>
  <c r="E491" i="5"/>
  <c r="E261" i="5"/>
  <c r="E443" i="5"/>
  <c r="E441" i="5"/>
  <c r="F464" i="4" s="1"/>
  <c r="M464" i="4" s="1"/>
  <c r="E442" i="5"/>
  <c r="E451" i="5"/>
  <c r="E445" i="5"/>
  <c r="E446" i="5"/>
  <c r="E449" i="5"/>
  <c r="E450" i="5"/>
  <c r="E452" i="5"/>
  <c r="E453" i="5"/>
  <c r="E447" i="5"/>
  <c r="E448" i="5"/>
  <c r="E8" i="16"/>
  <c r="E13" i="16"/>
  <c r="E347" i="5"/>
  <c r="E356" i="5"/>
  <c r="E340" i="5"/>
  <c r="F456" i="4" s="1"/>
  <c r="M456" i="4" s="1"/>
  <c r="E192" i="7" s="1"/>
  <c r="E377" i="5"/>
  <c r="E385" i="5"/>
  <c r="E393" i="5"/>
  <c r="E382" i="5"/>
  <c r="E390" i="5"/>
  <c r="E383" i="5"/>
  <c r="E391" i="5"/>
  <c r="E376" i="5"/>
  <c r="F458" i="4" s="1"/>
  <c r="M458" i="4" s="1"/>
  <c r="E197" i="7" s="1"/>
  <c r="E384" i="5"/>
  <c r="E392" i="5"/>
  <c r="E378" i="5"/>
  <c r="E386" i="5"/>
  <c r="E379" i="5"/>
  <c r="E387" i="5"/>
  <c r="E380" i="5"/>
  <c r="E388" i="5"/>
  <c r="E381" i="5"/>
  <c r="E389" i="5"/>
  <c r="E342" i="5"/>
  <c r="E350" i="5"/>
  <c r="E343" i="5"/>
  <c r="E351" i="5"/>
  <c r="E344" i="5"/>
  <c r="E352" i="5"/>
  <c r="E348" i="5"/>
  <c r="E355" i="5"/>
  <c r="E353" i="5"/>
  <c r="E341" i="5"/>
  <c r="E329" i="5"/>
  <c r="E337" i="5"/>
  <c r="E326" i="5"/>
  <c r="E334" i="5"/>
  <c r="E327" i="5"/>
  <c r="E335" i="5"/>
  <c r="E328" i="5"/>
  <c r="E336" i="5"/>
  <c r="E322" i="5"/>
  <c r="F455" i="4" s="1"/>
  <c r="M455" i="4" s="1"/>
  <c r="E193" i="7" s="1"/>
  <c r="E330" i="5"/>
  <c r="E338" i="5"/>
  <c r="E323" i="5"/>
  <c r="E331" i="5"/>
  <c r="E324" i="5"/>
  <c r="E332" i="5"/>
  <c r="E325" i="5"/>
  <c r="E333" i="5"/>
  <c r="E346" i="5"/>
  <c r="E349" i="5"/>
  <c r="E361" i="5"/>
  <c r="E369" i="5"/>
  <c r="E358" i="5"/>
  <c r="F457" i="4" s="1"/>
  <c r="M457" i="4" s="1"/>
  <c r="E191" i="7" s="1"/>
  <c r="E366" i="5"/>
  <c r="E374" i="5"/>
  <c r="E359" i="5"/>
  <c r="E367" i="5"/>
  <c r="E360" i="5"/>
  <c r="E368" i="5"/>
  <c r="E362" i="5"/>
  <c r="E370" i="5"/>
  <c r="E363" i="5"/>
  <c r="E371" i="5"/>
  <c r="E364" i="5"/>
  <c r="E372" i="5"/>
  <c r="E365" i="5"/>
  <c r="E373" i="5"/>
  <c r="E354" i="5"/>
  <c r="E345" i="5"/>
  <c r="E311" i="5"/>
  <c r="E310" i="5"/>
  <c r="F473" i="4" s="1"/>
  <c r="M473" i="4" s="1"/>
  <c r="D305" i="5" s="1"/>
  <c r="E308" i="5" s="1"/>
  <c r="E312" i="5"/>
  <c r="E320" i="5"/>
  <c r="E313" i="5"/>
  <c r="E314" i="5"/>
  <c r="E316" i="5"/>
  <c r="F454" i="4" s="1"/>
  <c r="M454" i="4" s="1"/>
  <c r="E93" i="14" s="1"/>
  <c r="E317" i="5"/>
  <c r="E318" i="5"/>
  <c r="E319" i="5"/>
  <c r="E164" i="5"/>
  <c r="E70" i="5"/>
  <c r="E205" i="5"/>
  <c r="E204" i="5"/>
  <c r="F439" i="4" s="1"/>
  <c r="M439" i="4" s="1"/>
  <c r="E163" i="5"/>
  <c r="E45" i="5"/>
  <c r="E141" i="5"/>
  <c r="F432" i="4" s="1"/>
  <c r="M432" i="4" s="1"/>
  <c r="E136" i="9" s="1"/>
  <c r="E228" i="5"/>
  <c r="E157" i="5"/>
  <c r="E134" i="5"/>
  <c r="E144" i="5"/>
  <c r="E43" i="5"/>
  <c r="F423" i="4" s="1"/>
  <c r="M423" i="4" s="1"/>
  <c r="E74" i="8" s="1"/>
  <c r="E208" i="5"/>
  <c r="E145" i="5"/>
  <c r="E162" i="5"/>
  <c r="E227" i="5"/>
  <c r="E48" i="5"/>
  <c r="E71" i="5"/>
  <c r="E135" i="5"/>
  <c r="E74" i="5"/>
  <c r="E146" i="5"/>
  <c r="E73" i="5"/>
  <c r="E153" i="5"/>
  <c r="E46" i="5"/>
  <c r="E121" i="5"/>
  <c r="E129" i="5"/>
  <c r="E137" i="5"/>
  <c r="E224" i="5"/>
  <c r="E11" i="5"/>
  <c r="E7" i="5"/>
  <c r="E10" i="5"/>
  <c r="E6" i="5"/>
  <c r="E13" i="5"/>
  <c r="E9" i="5"/>
  <c r="E5" i="5"/>
  <c r="F419" i="4" s="1"/>
  <c r="M419" i="4" s="1"/>
  <c r="D426" i="5" s="1"/>
  <c r="E12" i="5"/>
  <c r="E8" i="5"/>
  <c r="E207" i="5"/>
  <c r="E126" i="5"/>
  <c r="E68" i="5"/>
  <c r="E76" i="5"/>
  <c r="E147" i="5"/>
  <c r="E210" i="5"/>
  <c r="E67" i="5"/>
  <c r="E159" i="5"/>
  <c r="E181" i="5"/>
  <c r="E179" i="5"/>
  <c r="E177" i="5"/>
  <c r="E175" i="5"/>
  <c r="E173" i="5"/>
  <c r="E180" i="5"/>
  <c r="E174" i="5"/>
  <c r="E178" i="5"/>
  <c r="E172" i="5"/>
  <c r="F436" i="4" s="1"/>
  <c r="M436" i="4" s="1"/>
  <c r="D170" i="5" s="1"/>
  <c r="E170" i="5" s="1"/>
  <c r="E176" i="5"/>
  <c r="E124" i="5"/>
  <c r="E40" i="5"/>
  <c r="E38" i="5"/>
  <c r="E36" i="5"/>
  <c r="E34" i="5"/>
  <c r="F422" i="4" s="1"/>
  <c r="M422" i="4" s="1"/>
  <c r="E82" i="8" s="1"/>
  <c r="E35" i="5"/>
  <c r="E41" i="5"/>
  <c r="E39" i="5"/>
  <c r="E37" i="5"/>
  <c r="E75" i="5"/>
  <c r="E47" i="5"/>
  <c r="E155" i="5"/>
  <c r="E131" i="5"/>
  <c r="E150" i="5"/>
  <c r="E221" i="5"/>
  <c r="F441" i="4" s="1"/>
  <c r="M441" i="4" s="1"/>
  <c r="E88" i="5"/>
  <c r="E86" i="5"/>
  <c r="E84" i="5"/>
  <c r="E82" i="5"/>
  <c r="E80" i="5"/>
  <c r="E78" i="5"/>
  <c r="F426" i="4" s="1"/>
  <c r="M426" i="4" s="1"/>
  <c r="E87" i="5"/>
  <c r="E85" i="5"/>
  <c r="E79" i="5"/>
  <c r="E83" i="5"/>
  <c r="E81" i="5"/>
  <c r="E64" i="5"/>
  <c r="E62" i="5"/>
  <c r="E60" i="5"/>
  <c r="E58" i="5"/>
  <c r="E56" i="5"/>
  <c r="E54" i="5"/>
  <c r="E52" i="5"/>
  <c r="E50" i="5"/>
  <c r="F424" i="4" s="1"/>
  <c r="M424" i="4" s="1"/>
  <c r="E59" i="5"/>
  <c r="E57" i="5"/>
  <c r="E51" i="5"/>
  <c r="E63" i="5"/>
  <c r="E55" i="5"/>
  <c r="E61" i="5"/>
  <c r="E53" i="5"/>
  <c r="E293" i="5"/>
  <c r="E292" i="5"/>
  <c r="F451" i="4" s="1"/>
  <c r="M451" i="4" s="1"/>
  <c r="E294" i="5"/>
  <c r="E32" i="5"/>
  <c r="E30" i="5"/>
  <c r="E29" i="5"/>
  <c r="E25" i="5"/>
  <c r="E28" i="5"/>
  <c r="E24" i="5"/>
  <c r="E27" i="5"/>
  <c r="E23" i="5"/>
  <c r="E31" i="5"/>
  <c r="E26" i="5"/>
  <c r="E22" i="5"/>
  <c r="F421" i="4" s="1"/>
  <c r="M421" i="4" s="1"/>
  <c r="E283" i="5"/>
  <c r="E281" i="5"/>
  <c r="E279" i="5"/>
  <c r="F449" i="4" s="1"/>
  <c r="M449" i="4" s="1"/>
  <c r="E282" i="5"/>
  <c r="E280" i="5"/>
  <c r="E284" i="5"/>
  <c r="E138" i="5"/>
  <c r="E128" i="5"/>
  <c r="E149" i="5"/>
  <c r="F433" i="4" s="1"/>
  <c r="M433" i="4" s="1"/>
  <c r="E125" i="5"/>
  <c r="E133" i="5"/>
  <c r="E241" i="5"/>
  <c r="E238" i="5"/>
  <c r="E242" i="5"/>
  <c r="E237" i="5"/>
  <c r="E234" i="5"/>
  <c r="E239" i="5"/>
  <c r="E236" i="5"/>
  <c r="E235" i="5"/>
  <c r="E240" i="5"/>
  <c r="E225" i="5"/>
  <c r="E226" i="5"/>
  <c r="E223" i="5"/>
  <c r="E267" i="5"/>
  <c r="E264" i="5"/>
  <c r="E268" i="5"/>
  <c r="E263" i="5"/>
  <c r="F448" i="4" s="1"/>
  <c r="M448" i="4" s="1"/>
  <c r="E26" i="14" s="1"/>
  <c r="E265" i="5"/>
  <c r="E193" i="5"/>
  <c r="E191" i="5"/>
  <c r="E189" i="5"/>
  <c r="E187" i="5"/>
  <c r="E185" i="5"/>
  <c r="E183" i="5"/>
  <c r="E194" i="5"/>
  <c r="E192" i="5"/>
  <c r="E186" i="5"/>
  <c r="E190" i="5"/>
  <c r="E184" i="5"/>
  <c r="E188" i="5"/>
  <c r="E18" i="5"/>
  <c r="E17" i="5"/>
  <c r="E20" i="5"/>
  <c r="E16" i="5"/>
  <c r="E19" i="5"/>
  <c r="E15" i="5"/>
  <c r="F420" i="4" s="1"/>
  <c r="M420" i="4" s="1"/>
  <c r="D432" i="5" s="1"/>
  <c r="E142" i="5"/>
  <c r="E69" i="5"/>
  <c r="E72" i="5"/>
  <c r="E143" i="5"/>
  <c r="E206" i="5"/>
  <c r="E256" i="5"/>
  <c r="E253" i="5"/>
  <c r="E251" i="5"/>
  <c r="E248" i="5"/>
  <c r="E258" i="5"/>
  <c r="E254" i="5"/>
  <c r="E252" i="5"/>
  <c r="E247" i="5"/>
  <c r="F447" i="4" s="1"/>
  <c r="M447" i="4" s="1"/>
  <c r="E257" i="5"/>
  <c r="E249" i="5"/>
  <c r="E255" i="5"/>
  <c r="E250" i="5"/>
  <c r="E214" i="5"/>
  <c r="E213" i="5"/>
  <c r="F440" i="4" s="1"/>
  <c r="M440" i="4" s="1"/>
  <c r="E25" i="16" s="1"/>
  <c r="E222" i="5"/>
  <c r="E156" i="5"/>
  <c r="E154" i="5"/>
  <c r="E136" i="5"/>
  <c r="E244" i="5"/>
  <c r="F446" i="4" s="1"/>
  <c r="M446" i="4" s="1"/>
  <c r="E20" i="12" s="1"/>
  <c r="E245" i="5"/>
  <c r="E123" i="5"/>
  <c r="E231" i="5"/>
  <c r="F442" i="4" s="1"/>
  <c r="M442" i="4" s="1"/>
  <c r="E232" i="5"/>
  <c r="E120" i="5"/>
  <c r="E3" i="5"/>
  <c r="E2" i="5"/>
  <c r="F418" i="4" s="1"/>
  <c r="M418" i="4" s="1"/>
  <c r="D427" i="5" s="1"/>
  <c r="E302" i="5"/>
  <c r="E301" i="5"/>
  <c r="E300" i="5"/>
  <c r="F453" i="4" s="1"/>
  <c r="M453" i="4" s="1"/>
  <c r="E130" i="5"/>
  <c r="E152" i="5"/>
  <c r="E122" i="5"/>
  <c r="E151" i="5"/>
  <c r="E44" i="5"/>
  <c r="E119" i="5"/>
  <c r="F431" i="4" s="1"/>
  <c r="M431" i="4" s="1"/>
  <c r="E127" i="5"/>
  <c r="E209" i="5"/>
  <c r="E229" i="5"/>
  <c r="E132" i="5"/>
  <c r="E66" i="5"/>
  <c r="F425" i="4" s="1"/>
  <c r="M425" i="4" s="1"/>
  <c r="E113" i="5"/>
  <c r="E111" i="5"/>
  <c r="E109" i="5"/>
  <c r="E107" i="5"/>
  <c r="E105" i="5"/>
  <c r="E103" i="5"/>
  <c r="E106" i="5"/>
  <c r="E112" i="5"/>
  <c r="E104" i="5"/>
  <c r="E110" i="5"/>
  <c r="E102" i="5"/>
  <c r="F429" i="4" s="1"/>
  <c r="M429" i="4" s="1"/>
  <c r="E108" i="5"/>
  <c r="F434" i="4" l="1"/>
  <c r="M434" i="4" s="1"/>
  <c r="E87" i="14" s="1"/>
  <c r="E305" i="5"/>
  <c r="E304" i="5"/>
  <c r="F465" i="4" s="1"/>
  <c r="M465" i="4" s="1"/>
  <c r="E23" i="14" s="1"/>
  <c r="E307" i="5"/>
  <c r="E306" i="5"/>
  <c r="E32" i="16"/>
  <c r="E14" i="16"/>
  <c r="E9" i="16"/>
  <c r="E195" i="5"/>
  <c r="E28" i="14"/>
  <c r="E199" i="5"/>
  <c r="E201" i="5"/>
  <c r="E480" i="5"/>
  <c r="E202" i="5"/>
  <c r="E476" i="5"/>
  <c r="E478" i="5"/>
  <c r="E200" i="5"/>
  <c r="E203" i="5"/>
  <c r="E196" i="5"/>
  <c r="E477" i="5"/>
  <c r="E198" i="5"/>
  <c r="E475" i="5"/>
  <c r="E479" i="5"/>
  <c r="F466" i="4"/>
  <c r="M466" i="4" s="1"/>
  <c r="E122" i="9" s="1"/>
  <c r="E84" i="8"/>
  <c r="E65" i="8"/>
  <c r="E75" i="8"/>
  <c r="E85" i="8"/>
  <c r="E76" i="8"/>
  <c r="E66" i="8"/>
  <c r="E77" i="8"/>
  <c r="E63" i="8"/>
  <c r="E121" i="9"/>
  <c r="E130" i="9"/>
  <c r="E427" i="5"/>
  <c r="E438" i="5"/>
  <c r="E434" i="5"/>
  <c r="D422" i="5"/>
  <c r="E431" i="5"/>
  <c r="E144" i="9"/>
  <c r="E124" i="9"/>
  <c r="E132" i="9"/>
  <c r="D395" i="5"/>
  <c r="D423" i="5"/>
  <c r="E99" i="9"/>
  <c r="E98" i="9"/>
  <c r="D396" i="5"/>
  <c r="E7" i="16"/>
  <c r="E30" i="16"/>
  <c r="E12" i="16"/>
  <c r="E5" i="16"/>
  <c r="E11" i="16"/>
  <c r="E83" i="8"/>
  <c r="E56" i="8"/>
  <c r="E45" i="8"/>
  <c r="E40" i="8"/>
  <c r="E43" i="8"/>
  <c r="E48" i="8"/>
  <c r="E35" i="8"/>
  <c r="E51" i="8"/>
  <c r="E31" i="8"/>
  <c r="E42" i="8"/>
  <c r="E37" i="8"/>
  <c r="E47" i="8"/>
  <c r="E25" i="8"/>
  <c r="E9" i="8"/>
  <c r="E4" i="8"/>
  <c r="E41" i="8"/>
  <c r="E46" i="8"/>
  <c r="E166" i="5"/>
  <c r="F435" i="4" s="1"/>
  <c r="M435" i="4" s="1"/>
  <c r="E76" i="14" s="1"/>
  <c r="D116" i="5"/>
  <c r="E117" i="5" s="1"/>
  <c r="E34" i="8"/>
  <c r="E169" i="5"/>
  <c r="E168" i="5"/>
  <c r="E60" i="8"/>
  <c r="E167" i="5"/>
  <c r="E28" i="16"/>
  <c r="E10" i="8"/>
  <c r="E23" i="8"/>
  <c r="D92" i="5"/>
  <c r="D99" i="5"/>
  <c r="E3" i="8"/>
  <c r="E13" i="14"/>
  <c r="E3" i="14"/>
  <c r="E52" i="8"/>
  <c r="E36" i="8"/>
  <c r="E29" i="8"/>
  <c r="E54" i="8"/>
  <c r="E20" i="8"/>
  <c r="E24" i="8"/>
  <c r="D286" i="5"/>
  <c r="E3" i="9"/>
  <c r="E73" i="9"/>
  <c r="E44" i="9"/>
  <c r="E9" i="9"/>
  <c r="E39" i="12"/>
  <c r="E35" i="9"/>
  <c r="E101" i="9"/>
  <c r="E59" i="9"/>
  <c r="E24" i="9"/>
  <c r="E178" i="7"/>
  <c r="E60" i="9"/>
  <c r="E41" i="9"/>
  <c r="E102" i="9"/>
  <c r="E79" i="9"/>
  <c r="E179" i="7"/>
  <c r="E50" i="9"/>
  <c r="F444" i="4"/>
  <c r="M444" i="4" s="1"/>
  <c r="F437" i="4"/>
  <c r="M437" i="4" s="1"/>
  <c r="E164" i="11"/>
  <c r="E179" i="11"/>
  <c r="E100" i="15"/>
  <c r="E57" i="8"/>
  <c r="E6" i="8"/>
  <c r="E33" i="8"/>
  <c r="D100" i="5"/>
  <c r="E7" i="8"/>
  <c r="E45" i="9"/>
  <c r="E10" i="9"/>
  <c r="E25" i="9"/>
  <c r="E63" i="9"/>
  <c r="E182" i="7"/>
  <c r="E74" i="9"/>
  <c r="E36" i="9"/>
  <c r="E65" i="14"/>
  <c r="E61" i="14"/>
  <c r="F445" i="4"/>
  <c r="M445" i="4" s="1"/>
  <c r="F443" i="4"/>
  <c r="M443" i="4" s="1"/>
  <c r="E27" i="12"/>
  <c r="E3" i="12"/>
  <c r="E9" i="12"/>
  <c r="E21" i="12"/>
  <c r="E16" i="12"/>
  <c r="E55" i="8"/>
  <c r="E5" i="8"/>
  <c r="E38" i="8"/>
  <c r="E21" i="8"/>
  <c r="E53" i="8"/>
  <c r="E26" i="8"/>
  <c r="E30" i="8"/>
  <c r="E35" i="12"/>
  <c r="E15" i="14"/>
  <c r="E59" i="14"/>
  <c r="E32" i="12"/>
  <c r="E27" i="14"/>
  <c r="E77" i="14"/>
  <c r="E14" i="14"/>
  <c r="E10" i="14" l="1"/>
  <c r="E22" i="12"/>
  <c r="E55" i="14"/>
  <c r="E47" i="14"/>
  <c r="E40" i="14"/>
  <c r="E92" i="14"/>
  <c r="E17" i="12"/>
  <c r="E74" i="14"/>
  <c r="E86" i="14"/>
  <c r="E36" i="14"/>
  <c r="F438" i="4"/>
  <c r="M438" i="4" s="1"/>
  <c r="E7" i="12" s="1"/>
  <c r="E22" i="14"/>
  <c r="E85" i="14"/>
  <c r="E9" i="14"/>
  <c r="E91" i="14"/>
  <c r="E398" i="5"/>
  <c r="E45" i="14"/>
  <c r="E53" i="14"/>
  <c r="E38" i="14"/>
  <c r="E405" i="5"/>
  <c r="E414" i="5"/>
  <c r="E422" i="5"/>
  <c r="E410" i="5"/>
  <c r="E430" i="5"/>
  <c r="E429" i="5"/>
  <c r="E425" i="5"/>
  <c r="E435" i="5"/>
  <c r="E421" i="5"/>
  <c r="E409" i="5"/>
  <c r="E432" i="5"/>
  <c r="E436" i="5"/>
  <c r="E426" i="5"/>
  <c r="E439" i="5"/>
  <c r="E433" i="5"/>
  <c r="E437" i="5"/>
  <c r="E428" i="5"/>
  <c r="E415" i="5"/>
  <c r="E423" i="5"/>
  <c r="E296" i="5"/>
  <c r="F452" i="4" s="1"/>
  <c r="M452" i="4" s="1"/>
  <c r="E118" i="9" s="1"/>
  <c r="E407" i="5"/>
  <c r="E418" i="5"/>
  <c r="E298" i="5"/>
  <c r="E416" i="5"/>
  <c r="E419" i="5"/>
  <c r="E411" i="5"/>
  <c r="E408" i="5"/>
  <c r="E413" i="5"/>
  <c r="E406" i="5"/>
  <c r="E297" i="5"/>
  <c r="E417" i="5"/>
  <c r="E420" i="5"/>
  <c r="E412" i="5"/>
  <c r="E396" i="5"/>
  <c r="E399" i="5"/>
  <c r="E397" i="5"/>
  <c r="E395" i="5"/>
  <c r="F461" i="4" s="1"/>
  <c r="M461" i="4" s="1"/>
  <c r="E400" i="5"/>
  <c r="E402" i="5"/>
  <c r="E401" i="5"/>
  <c r="E403" i="5"/>
  <c r="E93" i="5"/>
  <c r="E94" i="5"/>
  <c r="E95" i="5"/>
  <c r="E29" i="12"/>
  <c r="E116" i="5"/>
  <c r="E115" i="5"/>
  <c r="F430" i="4" s="1"/>
  <c r="M430" i="4" s="1"/>
  <c r="E81" i="8" s="1"/>
  <c r="E99" i="5"/>
  <c r="F428" i="4" s="1"/>
  <c r="M428" i="4" s="1"/>
  <c r="E80" i="8" s="1"/>
  <c r="E100" i="5"/>
  <c r="E92" i="5"/>
  <c r="E90" i="5"/>
  <c r="F427" i="4" s="1"/>
  <c r="M427" i="4" s="1"/>
  <c r="E79" i="8" s="1"/>
  <c r="E91" i="5"/>
  <c r="E30" i="12"/>
  <c r="E73" i="14"/>
  <c r="E54" i="14"/>
  <c r="E46" i="14"/>
  <c r="E39" i="14"/>
  <c r="E35" i="14"/>
  <c r="E290" i="5"/>
  <c r="E286" i="5"/>
  <c r="F450" i="4" s="1"/>
  <c r="M450" i="4" s="1"/>
  <c r="E135" i="9" s="1"/>
  <c r="E287" i="5"/>
  <c r="E288" i="5"/>
  <c r="E289" i="5"/>
  <c r="F463" i="4" l="1"/>
  <c r="M463" i="4" s="1"/>
  <c r="E139" i="9" s="1"/>
  <c r="F462" i="4"/>
  <c r="M462" i="4" s="1"/>
  <c r="E117" i="9"/>
  <c r="E128" i="9"/>
  <c r="E116" i="9"/>
  <c r="E127" i="9"/>
  <c r="E28" i="8"/>
  <c r="E49" i="8"/>
  <c r="E113"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18175A7-728D-49D4-968C-CCF20BF717AD}" keepAlive="1" interval="1" name="Query - Append1" description="Connection to the 'Append1' query in the workbook." type="5" refreshedVersion="8" refreshOnLoad="1" saveData="1">
    <dbPr connection="Provider=Microsoft.Mashup.OleDb.1;Data Source=$Workbook$;Location=Append1;Extended Properties=&quot;&quot;" command="SELECT * FROM [Append1]"/>
  </connection>
  <connection id="2" xr16:uid="{262276F1-4B41-47A2-8EED-F8DD950982CA}" keepAlive="1" name="Query - Table1" description="Connection to the 'Table1' query in the workbook." type="5" refreshedVersion="0" background="1">
    <dbPr connection="Provider=Microsoft.Mashup.OleDb.1;Data Source=$Workbook$;Location=Table1;Extended Properties=&quot;&quot;" command="SELECT * FROM [Table1]"/>
  </connection>
  <connection id="3" xr16:uid="{AA0B9C81-AB11-43CD-9FA6-CF2733873738}" keepAlive="1" name="Query - Table10" description="Connection to the 'Table10' query in the workbook." type="5" refreshedVersion="0" background="1">
    <dbPr connection="Provider=Microsoft.Mashup.OleDb.1;Data Source=$Workbook$;Location=Table10;Extended Properties=&quot;&quot;" command="SELECT * FROM [Table10]"/>
  </connection>
  <connection id="4" xr16:uid="{AF9547F4-4286-4083-8198-A3A7F58A7A5C}" keepAlive="1" name="Query - Table11" description="Connection to the 'Table11' query in the workbook." type="5" refreshedVersion="0" background="1">
    <dbPr connection="Provider=Microsoft.Mashup.OleDb.1;Data Source=$Workbook$;Location=Table11;Extended Properties=&quot;&quot;" command="SELECT * FROM [Table11]"/>
  </connection>
  <connection id="5" xr16:uid="{220E7258-5B35-4598-86A5-950AC6E46823}" keepAlive="1" name="Query - Table12" description="Connection to the 'Table12' query in the workbook." type="5" refreshedVersion="0" background="1">
    <dbPr connection="Provider=Microsoft.Mashup.OleDb.1;Data Source=$Workbook$;Location=Table12;Extended Properties=&quot;&quot;" command="SELECT * FROM [Table12]"/>
  </connection>
  <connection id="6" xr16:uid="{82E4BD8C-5C4A-4B9B-9C9D-283AF87EE17D}" keepAlive="1" name="Query - Table13" description="Connection to the 'Table13' query in the workbook." type="5" refreshedVersion="0" background="1">
    <dbPr connection="Provider=Microsoft.Mashup.OleDb.1;Data Source=$Workbook$;Location=Table13;Extended Properties=&quot;&quot;" command="SELECT * FROM [Table13]"/>
  </connection>
  <connection id="7" xr16:uid="{610D2780-812C-42C3-AF62-7771105B8E9E}" keepAlive="1" name="Query - Table3" description="Connection to the 'Table3' query in the workbook." type="5" refreshedVersion="0" background="1">
    <dbPr connection="Provider=Microsoft.Mashup.OleDb.1;Data Source=$Workbook$;Location=Table3;Extended Properties=&quot;&quot;" command="SELECT * FROM [Table3]"/>
  </connection>
  <connection id="8" xr16:uid="{4D95465C-C9AF-4610-8F3D-1193B0CCDAB3}" keepAlive="1" name="Query - Table4" description="Connection to the 'Table4' query in the workbook." type="5" refreshedVersion="0" background="1">
    <dbPr connection="Provider=Microsoft.Mashup.OleDb.1;Data Source=$Workbook$;Location=Table4;Extended Properties=&quot;&quot;" command="SELECT * FROM [Table4]"/>
  </connection>
  <connection id="9" xr16:uid="{F80BD46D-034A-4190-A39F-5F10486420CE}" keepAlive="1" name="Query - Table5" description="Connection to the 'Table5' query in the workbook." type="5" refreshedVersion="0" background="1">
    <dbPr connection="Provider=Microsoft.Mashup.OleDb.1;Data Source=$Workbook$;Location=Table5;Extended Properties=&quot;&quot;" command="SELECT * FROM [Table5]"/>
  </connection>
  <connection id="10" xr16:uid="{47946B8F-AC70-48F8-8A99-88422A47F0B3}" keepAlive="1" name="Query - Table7" description="Connection to the 'Table7' query in the workbook." type="5" refreshedVersion="0" background="1">
    <dbPr connection="Provider=Microsoft.Mashup.OleDb.1;Data Source=$Workbook$;Location=Table7;Extended Properties=&quot;&quot;" command="SELECT * FROM [Table7]"/>
  </connection>
  <connection id="11" xr16:uid="{EF11083C-FB0C-42CC-871C-859283A5E560}" keepAlive="1" name="Query - Table8" description="Connection to the 'Table8' query in the workbook." type="5" refreshedVersion="0" background="1">
    <dbPr connection="Provider=Microsoft.Mashup.OleDb.1;Data Source=$Workbook$;Location=Table8;Extended Properties=&quot;&quot;" command="SELECT * FROM [Table8]"/>
  </connection>
  <connection id="12" xr16:uid="{3FD64C8A-08AA-4C59-9C05-8F92C49392A4}" keepAlive="1" name="Query - Table9" description="Connection to the 'Table9' query in the workbook." type="5" refreshedVersion="0" background="1">
    <dbPr connection="Provider=Microsoft.Mashup.OleDb.1;Data Source=$Workbook$;Location=Table9;Extended Properties=&quot;&quot;" command="SELECT * FROM [Table9]"/>
  </connection>
</connections>
</file>

<file path=xl/sharedStrings.xml><?xml version="1.0" encoding="utf-8"?>
<sst xmlns="http://schemas.openxmlformats.org/spreadsheetml/2006/main" count="9815" uniqueCount="684">
  <si>
    <t>Badam</t>
  </si>
  <si>
    <t>aloo stuffing for dosa</t>
  </si>
  <si>
    <t>Kasturi Methi</t>
  </si>
  <si>
    <t>Chutney Naubahar</t>
  </si>
  <si>
    <t>Cream</t>
  </si>
  <si>
    <t>Kulcha</t>
  </si>
  <si>
    <t>Pickle</t>
  </si>
  <si>
    <t>Tatari</t>
  </si>
  <si>
    <t>Ingredient</t>
  </si>
  <si>
    <t>Garam Masala</t>
  </si>
  <si>
    <t>Potato</t>
  </si>
  <si>
    <t>Magaj</t>
  </si>
  <si>
    <t>Degi Mirch</t>
  </si>
  <si>
    <t>dosa batter</t>
  </si>
  <si>
    <t>Coconut</t>
  </si>
  <si>
    <t>red chutney</t>
  </si>
  <si>
    <t xml:space="preserve">Sambhar </t>
  </si>
  <si>
    <t>Paneer</t>
  </si>
  <si>
    <t>Green Coriander</t>
  </si>
  <si>
    <t>Tomato</t>
  </si>
  <si>
    <t>Onion</t>
  </si>
  <si>
    <t xml:space="preserve">coconut chutney </t>
  </si>
  <si>
    <t>Idli</t>
  </si>
  <si>
    <t>Dhaniya Whole</t>
  </si>
  <si>
    <t>Besan Barik</t>
  </si>
  <si>
    <t>Green Capsicum</t>
  </si>
  <si>
    <t>Sarso Oil</t>
  </si>
  <si>
    <t>Peeled Garlic</t>
  </si>
  <si>
    <t>Mushroom</t>
  </si>
  <si>
    <t>Rumali Roti</t>
  </si>
  <si>
    <t>chopped gravy</t>
  </si>
  <si>
    <t>Cabbage</t>
  </si>
  <si>
    <t>Carrot</t>
  </si>
  <si>
    <t>Ajinomoto</t>
  </si>
  <si>
    <t>Beans</t>
  </si>
  <si>
    <t>Baby Corn</t>
  </si>
  <si>
    <t>Yellow Capsicum</t>
  </si>
  <si>
    <t>Ginger</t>
  </si>
  <si>
    <t>pre prepared dal</t>
  </si>
  <si>
    <t>Aata Shaktibhog</t>
  </si>
  <si>
    <t>Maida</t>
  </si>
  <si>
    <t>Bhatura</t>
  </si>
  <si>
    <t>Samosa</t>
  </si>
  <si>
    <t>Green Chutney</t>
  </si>
  <si>
    <t>Cucumber</t>
  </si>
  <si>
    <t>Paneer Pakoda</t>
  </si>
  <si>
    <t>Kachori</t>
  </si>
  <si>
    <t>Aalo Sabji</t>
  </si>
  <si>
    <t>Puri</t>
  </si>
  <si>
    <t>Red Chilli</t>
  </si>
  <si>
    <t>Sweet Corn</t>
  </si>
  <si>
    <t>Bhalla</t>
  </si>
  <si>
    <t>Jeera</t>
  </si>
  <si>
    <t>Yellow Mirch</t>
  </si>
  <si>
    <t>Pomegranate</t>
  </si>
  <si>
    <t>Papdi</t>
  </si>
  <si>
    <t>Channa</t>
  </si>
  <si>
    <t>Gol Gappa</t>
  </si>
  <si>
    <t>Namkeen</t>
  </si>
  <si>
    <t>Jaggery</t>
  </si>
  <si>
    <t>Chironji</t>
  </si>
  <si>
    <t>Pumpkeen</t>
  </si>
  <si>
    <t>Mango</t>
  </si>
  <si>
    <t>kulfi rabri</t>
  </si>
  <si>
    <t>South Indian</t>
  </si>
  <si>
    <t>Paneer Dosa</t>
  </si>
  <si>
    <t>Plain Dosa</t>
  </si>
  <si>
    <t>Idli Plate</t>
  </si>
  <si>
    <t>Onion Rawa Masala Dosa</t>
  </si>
  <si>
    <t>Mysore Masala Dosa</t>
  </si>
  <si>
    <t>Mix Veg Uttapam</t>
  </si>
  <si>
    <t>Grill Special</t>
  </si>
  <si>
    <t>Paneer Tikka</t>
  </si>
  <si>
    <t>Masala chaap Tikka</t>
  </si>
  <si>
    <t>Mushroom Tikka</t>
  </si>
  <si>
    <t>Malai Paneer Tikka</t>
  </si>
  <si>
    <t>Afghani Malai Chaap</t>
  </si>
  <si>
    <t>Malai Chaap Roll</t>
  </si>
  <si>
    <t>Achari Chaap</t>
  </si>
  <si>
    <t>Paneer Tikka Roll</t>
  </si>
  <si>
    <t>Mushroom Roll</t>
  </si>
  <si>
    <t>Soya Chap Roll</t>
  </si>
  <si>
    <t>Veg Chowmein</t>
  </si>
  <si>
    <t>Fried Rice</t>
  </si>
  <si>
    <t>Hakka Noodles</t>
  </si>
  <si>
    <t>Singapore Noodles</t>
  </si>
  <si>
    <t>Chilli Garlic Noodles</t>
  </si>
  <si>
    <t>Honey Chilli Potato</t>
  </si>
  <si>
    <t>French Fries</t>
  </si>
  <si>
    <t>North Indian</t>
  </si>
  <si>
    <t>Dal Makhani</t>
  </si>
  <si>
    <t>kadhai paneer</t>
  </si>
  <si>
    <t>Soya Chap</t>
  </si>
  <si>
    <t>Specials</t>
  </si>
  <si>
    <t>Panner Pakoda</t>
  </si>
  <si>
    <t>Chole Puri</t>
  </si>
  <si>
    <t>Chaat</t>
  </si>
  <si>
    <t>Aloo Tikki</t>
  </si>
  <si>
    <t>Dahiwale Gol Gappe</t>
  </si>
  <si>
    <t>Raj Kachori</t>
  </si>
  <si>
    <t>Sweets</t>
  </si>
  <si>
    <t>Water</t>
  </si>
  <si>
    <t>Gujiya</t>
  </si>
  <si>
    <t>Pista</t>
  </si>
  <si>
    <t>Kulfi</t>
  </si>
  <si>
    <t>Gulab Jamun</t>
  </si>
  <si>
    <t>Balu Shahi</t>
  </si>
  <si>
    <t>Kaala Jamun</t>
  </si>
  <si>
    <t>Breads</t>
  </si>
  <si>
    <t>Onion Tomato Uttapam</t>
  </si>
  <si>
    <t>lacha paratha</t>
  </si>
  <si>
    <t>Ras Malai</t>
  </si>
  <si>
    <t>Paneer Lababdar</t>
  </si>
  <si>
    <t>Chaap Lababdar</t>
  </si>
  <si>
    <t>Salt</t>
  </si>
  <si>
    <t>shahi paneer</t>
  </si>
  <si>
    <t>Spring Rolls</t>
  </si>
  <si>
    <t>Paneer Butter Masala</t>
  </si>
  <si>
    <t>Garlic</t>
  </si>
  <si>
    <t>Masala Dosa</t>
  </si>
  <si>
    <t>Red Chutney</t>
  </si>
  <si>
    <t>tomato gravy</t>
  </si>
  <si>
    <t>Khoya</t>
  </si>
  <si>
    <t>Kachori Sabji</t>
  </si>
  <si>
    <t>Vada Plate</t>
  </si>
  <si>
    <t>Category</t>
  </si>
  <si>
    <t>Dish</t>
  </si>
  <si>
    <t>Quantity</t>
  </si>
  <si>
    <t>Cost</t>
  </si>
  <si>
    <t>South Indian Platter</t>
  </si>
  <si>
    <t>S. NO.</t>
  </si>
  <si>
    <t>Fruits and Vegetables</t>
  </si>
  <si>
    <t>Quantity/Size</t>
  </si>
  <si>
    <t>Price (In ₹)</t>
  </si>
  <si>
    <t>Unit</t>
  </si>
  <si>
    <t>Total price</t>
  </si>
  <si>
    <t>Per unit price</t>
  </si>
  <si>
    <t>SHELF LIFE(In months)</t>
  </si>
  <si>
    <t>MInimum balance to
 be maintained</t>
  </si>
  <si>
    <t>Per Unit Cost</t>
  </si>
  <si>
    <t>Red Potato</t>
  </si>
  <si>
    <t>Vegetables</t>
  </si>
  <si>
    <t>Kg</t>
  </si>
  <si>
    <t>Small Potato</t>
  </si>
  <si>
    <t>Red Onion</t>
  </si>
  <si>
    <t>Cauliflower</t>
  </si>
  <si>
    <t>Mint</t>
  </si>
  <si>
    <t>Mustard</t>
  </si>
  <si>
    <t>Chenopodium</t>
  </si>
  <si>
    <t>Lemon</t>
  </si>
  <si>
    <t>Methi</t>
  </si>
  <si>
    <t>Spinach</t>
  </si>
  <si>
    <t>Lady Finger</t>
  </si>
  <si>
    <t>Bitter Guard</t>
  </si>
  <si>
    <t>Lotus Stem</t>
  </si>
  <si>
    <t>Small Brinjal</t>
  </si>
  <si>
    <t>Brinjal</t>
  </si>
  <si>
    <t>English Cucumber</t>
  </si>
  <si>
    <t>Raddish</t>
  </si>
  <si>
    <t>Pointed Gourd</t>
  </si>
  <si>
    <t>Beetroot</t>
  </si>
  <si>
    <t>Piece</t>
  </si>
  <si>
    <t>Peas</t>
  </si>
  <si>
    <t>Taro</t>
  </si>
  <si>
    <t>Apple Gourd</t>
  </si>
  <si>
    <t>Awla</t>
  </si>
  <si>
    <t>Tori</t>
  </si>
  <si>
    <t>Bottle Gourd</t>
  </si>
  <si>
    <t>Jack Fruit</t>
  </si>
  <si>
    <t>Red Cabbage</t>
  </si>
  <si>
    <t xml:space="preserve">Stem </t>
  </si>
  <si>
    <t>Brocoli</t>
  </si>
  <si>
    <t>Parsley</t>
  </si>
  <si>
    <t>Celery</t>
  </si>
  <si>
    <t>Leek Lettuce</t>
  </si>
  <si>
    <t>Lemon Grass</t>
  </si>
  <si>
    <t>Lemon Leaf</t>
  </si>
  <si>
    <t>Iceberg Lettuce</t>
  </si>
  <si>
    <t>Pokchoi</t>
  </si>
  <si>
    <t>Green Lettuce</t>
  </si>
  <si>
    <t>Romaine Lettuce</t>
  </si>
  <si>
    <t>Basil</t>
  </si>
  <si>
    <t>Green Zucchini</t>
  </si>
  <si>
    <t>Yellow Zucchini</t>
  </si>
  <si>
    <t>Drumstick</t>
  </si>
  <si>
    <t>Jimikand</t>
  </si>
  <si>
    <t>Banana Leaf</t>
  </si>
  <si>
    <t>Amrican Corn</t>
  </si>
  <si>
    <t>Achari Chilli</t>
  </si>
  <si>
    <t>Sweet Potato</t>
  </si>
  <si>
    <t>Cherry Tomato</t>
  </si>
  <si>
    <t xml:space="preserve">Banana  </t>
  </si>
  <si>
    <t>Fruits</t>
  </si>
  <si>
    <t>Watermelon</t>
  </si>
  <si>
    <t>Chiku</t>
  </si>
  <si>
    <t>Mausami</t>
  </si>
  <si>
    <t>Orange</t>
  </si>
  <si>
    <t>Guava</t>
  </si>
  <si>
    <t>Muskmelon</t>
  </si>
  <si>
    <t>Grapes</t>
  </si>
  <si>
    <t xml:space="preserve">Apple  </t>
  </si>
  <si>
    <t>Sharda</t>
  </si>
  <si>
    <t>Chinese Cabbage</t>
  </si>
  <si>
    <t>Malta</t>
  </si>
  <si>
    <t>Pears</t>
  </si>
  <si>
    <t>Papaya</t>
  </si>
  <si>
    <t>Pineapple</t>
  </si>
  <si>
    <t>Chidwa</t>
  </si>
  <si>
    <t>Others</t>
  </si>
  <si>
    <t>Kalji</t>
  </si>
  <si>
    <t>Masala</t>
  </si>
  <si>
    <t>Kala Chaat Masala</t>
  </si>
  <si>
    <t>Anardana Whole</t>
  </si>
  <si>
    <t>Grains &amp; Pulses</t>
  </si>
  <si>
    <t>Ajwain</t>
  </si>
  <si>
    <t>Saunth</t>
  </si>
  <si>
    <t>Chana Masala</t>
  </si>
  <si>
    <t>Methi Dana Dry</t>
  </si>
  <si>
    <t>Dalchini</t>
  </si>
  <si>
    <t>Sauces</t>
  </si>
  <si>
    <t>Litre</t>
  </si>
  <si>
    <t>Matchbox</t>
  </si>
  <si>
    <t>Ruh Kevda</t>
  </si>
  <si>
    <t>Red Cherry Karounda Box</t>
  </si>
  <si>
    <t>Pineapple Slice Box</t>
  </si>
  <si>
    <t>Tomato Puree</t>
  </si>
  <si>
    <t>Kachri</t>
  </si>
  <si>
    <t>Karaam Fikka</t>
  </si>
  <si>
    <t>Ritha</t>
  </si>
  <si>
    <t>Mishri</t>
  </si>
  <si>
    <t>Sauf</t>
  </si>
  <si>
    <t>Bikaneri Bhujia</t>
  </si>
  <si>
    <t>Oils</t>
  </si>
  <si>
    <t>Panghat</t>
  </si>
  <si>
    <t>Bura</t>
  </si>
  <si>
    <t>Rice Golden Sela</t>
  </si>
  <si>
    <t>Lobia</t>
  </si>
  <si>
    <t>Moong Dal</t>
  </si>
  <si>
    <t>Moong Whole</t>
  </si>
  <si>
    <t>Arhar Dal</t>
  </si>
  <si>
    <t>Macarona Sippy</t>
  </si>
  <si>
    <t>Box</t>
  </si>
  <si>
    <t>Coffee</t>
  </si>
  <si>
    <t>Chocolate</t>
  </si>
  <si>
    <t>Jaifal</t>
  </si>
  <si>
    <t>Javitri</t>
  </si>
  <si>
    <t>Dingri</t>
  </si>
  <si>
    <t>Guchchi</t>
  </si>
  <si>
    <t>Gond</t>
  </si>
  <si>
    <t>Agarbatti</t>
  </si>
  <si>
    <t>Dairy</t>
  </si>
  <si>
    <t>Amul Cheese Paste</t>
  </si>
  <si>
    <t>Matar</t>
  </si>
  <si>
    <t>Sweetcorn Soup</t>
  </si>
  <si>
    <t>Chap</t>
  </si>
  <si>
    <t>Kaleji</t>
  </si>
  <si>
    <t>Angoori Petha</t>
  </si>
  <si>
    <t>Ras Malai Tikki</t>
  </si>
  <si>
    <t>Rajbhog Kesari</t>
  </si>
  <si>
    <t>Chena Chicken</t>
  </si>
  <si>
    <t>Peethi Maa Ki Dal Sham</t>
  </si>
  <si>
    <t>Peethi Moong Dal Sham</t>
  </si>
  <si>
    <t>Sprout Moong</t>
  </si>
  <si>
    <t>Sprout Mooth</t>
  </si>
  <si>
    <t>Chinese Fruit Plate</t>
  </si>
  <si>
    <t>Pav Bhaji Plate</t>
  </si>
  <si>
    <t>Duster</t>
  </si>
  <si>
    <t>Lakkar Tandoori Mund</t>
  </si>
  <si>
    <t>Cap</t>
  </si>
  <si>
    <t>Paraat</t>
  </si>
  <si>
    <t>Shamiyana</t>
  </si>
  <si>
    <t>Blanket</t>
  </si>
  <si>
    <t>Kanat</t>
  </si>
  <si>
    <t>Brick</t>
  </si>
  <si>
    <t>Bucket</t>
  </si>
  <si>
    <t>Jug</t>
  </si>
  <si>
    <t>Bondi</t>
  </si>
  <si>
    <t>Groundnut</t>
  </si>
  <si>
    <t>Urad Daal</t>
  </si>
  <si>
    <t>Syrup</t>
  </si>
  <si>
    <t>White Gravy</t>
  </si>
  <si>
    <t>manchurian ball</t>
  </si>
  <si>
    <t>Vada</t>
  </si>
  <si>
    <t>rawa</t>
  </si>
  <si>
    <t>mini veg uttpam</t>
  </si>
  <si>
    <t xml:space="preserve">mini masala dosa </t>
  </si>
  <si>
    <t>idli</t>
  </si>
  <si>
    <t>raita</t>
  </si>
  <si>
    <t>Pakodi</t>
  </si>
  <si>
    <t>kachori pithi</t>
  </si>
  <si>
    <t>aalo Sabji</t>
  </si>
  <si>
    <t>bhatura</t>
  </si>
  <si>
    <t>Faluda</t>
  </si>
  <si>
    <t>GOL GAPPA</t>
  </si>
  <si>
    <t>meethii chiutney</t>
  </si>
  <si>
    <t>Aalo Channa</t>
  </si>
  <si>
    <t>Rabri</t>
  </si>
  <si>
    <t>Mix Veg</t>
  </si>
  <si>
    <t>puri</t>
  </si>
  <si>
    <t>Sub recipes</t>
  </si>
  <si>
    <t>Ingredient wise price</t>
  </si>
  <si>
    <t>faluda</t>
  </si>
  <si>
    <t>Ingredients</t>
  </si>
  <si>
    <t>QTY</t>
  </si>
  <si>
    <t>GRILL SPECIAL</t>
  </si>
  <si>
    <t>South indian</t>
  </si>
  <si>
    <t xml:space="preserve">Dish </t>
  </si>
  <si>
    <t>North indian</t>
  </si>
  <si>
    <t>mix veg</t>
  </si>
  <si>
    <t>BREADS</t>
  </si>
  <si>
    <t>Chinese</t>
  </si>
  <si>
    <t>SPECIALS</t>
  </si>
  <si>
    <t>Virgin Mojito</t>
  </si>
  <si>
    <t>50-100ml</t>
  </si>
  <si>
    <t>CHAAT</t>
  </si>
  <si>
    <t>Grand Total</t>
  </si>
  <si>
    <t>Sum of QTY</t>
  </si>
  <si>
    <t>Sum of Cost</t>
  </si>
  <si>
    <t>Row Labels</t>
  </si>
  <si>
    <t xml:space="preserve"> Cost</t>
  </si>
  <si>
    <t>COST</t>
  </si>
  <si>
    <t>PROFIT</t>
  </si>
  <si>
    <t>Small Carrot</t>
  </si>
  <si>
    <t>Green Chilli</t>
  </si>
  <si>
    <t>Spring Onion</t>
  </si>
  <si>
    <t>Taro Root (Arbi)</t>
  </si>
  <si>
    <t>Snow Peas</t>
  </si>
  <si>
    <t>Water Caltrot</t>
  </si>
  <si>
    <t>Kadi Leaves</t>
  </si>
  <si>
    <t>White Pumpkeen</t>
  </si>
  <si>
    <t>Red Capsicum</t>
  </si>
  <si>
    <t>Potato Leaves</t>
  </si>
  <si>
    <t>Lal Mirch Powder</t>
  </si>
  <si>
    <t>Lal Mirch Kuti</t>
  </si>
  <si>
    <t>Red Chili Whole</t>
  </si>
  <si>
    <t>Dhaniya Powder</t>
  </si>
  <si>
    <t>Haldi Powder</t>
  </si>
  <si>
    <t>White Chili Powder</t>
  </si>
  <si>
    <t>Black Salt</t>
  </si>
  <si>
    <t>Chaat Masala</t>
  </si>
  <si>
    <t>Heeng</t>
  </si>
  <si>
    <t>Amchor Powder</t>
  </si>
  <si>
    <t>Anardana Powder</t>
  </si>
  <si>
    <t>Rai Sabut</t>
  </si>
  <si>
    <t>Jaljeera</t>
  </si>
  <si>
    <t>Sambar Masala</t>
  </si>
  <si>
    <t>Pavbhaji Masala</t>
  </si>
  <si>
    <t>Kitchen King</t>
  </si>
  <si>
    <t>Meat Masala</t>
  </si>
  <si>
    <t>Sabut Dana</t>
  </si>
  <si>
    <t>Black Pepper Whole</t>
  </si>
  <si>
    <t>Elaichi Badi</t>
  </si>
  <si>
    <t>Elaichi Choti</t>
  </si>
  <si>
    <t>Elaichi Dana</t>
  </si>
  <si>
    <t>Laung</t>
  </si>
  <si>
    <t>Baking Powder</t>
  </si>
  <si>
    <t>Baking Soda</t>
  </si>
  <si>
    <t>Soybean Ka Chura</t>
  </si>
  <si>
    <t>Imli Muktar</t>
  </si>
  <si>
    <t>Tomato Sauce Bottle</t>
  </si>
  <si>
    <t>Green Chili Bottle</t>
  </si>
  <si>
    <t>Red Chili Bottle</t>
  </si>
  <si>
    <t>White Vinegar Bottle</t>
  </si>
  <si>
    <t>Thandai Bottle</t>
  </si>
  <si>
    <t>Rooh Afzah Bottle</t>
  </si>
  <si>
    <t>Rose Bottle</t>
  </si>
  <si>
    <t>Khas Bottle</t>
  </si>
  <si>
    <t>Mango Lachcha</t>
  </si>
  <si>
    <t>Pachranga Achaar</t>
  </si>
  <si>
    <t>Green Color</t>
  </si>
  <si>
    <t>Yellow Color</t>
  </si>
  <si>
    <t/>
  </si>
  <si>
    <t>Ranga Card</t>
  </si>
  <si>
    <t>Khas Khas</t>
  </si>
  <si>
    <t>Papad Small</t>
  </si>
  <si>
    <t>Rice Murmura</t>
  </si>
  <si>
    <t>Peanut Dana</t>
  </si>
  <si>
    <t>Masoor Fried</t>
  </si>
  <si>
    <t>Chana Dal Fried</t>
  </si>
  <si>
    <t>Chana Dry Without Chilka</t>
  </si>
  <si>
    <t>Desi Ghee</t>
  </si>
  <si>
    <t>Refined Oil</t>
  </si>
  <si>
    <t>Sugar Mota Dana</t>
  </si>
  <si>
    <t>Besan Mota</t>
  </si>
  <si>
    <t>Suji Barik</t>
  </si>
  <si>
    <t>Ararot</t>
  </si>
  <si>
    <t>White Til</t>
  </si>
  <si>
    <t>Corn Aata</t>
  </si>
  <si>
    <t>Rice Basmati</t>
  </si>
  <si>
    <t>Rice Basmati Tukda</t>
  </si>
  <si>
    <t>Rice Kacha</t>
  </si>
  <si>
    <t>Chana White</t>
  </si>
  <si>
    <t>Chana Dal</t>
  </si>
  <si>
    <t>Maa Sabut Mota</t>
  </si>
  <si>
    <t>Rajma</t>
  </si>
  <si>
    <t>Maa Dhuli Dal</t>
  </si>
  <si>
    <t>Green Moong Dal</t>
  </si>
  <si>
    <t>Masoor Dal Dhuli</t>
  </si>
  <si>
    <t>Matar White</t>
  </si>
  <si>
    <t>Fool Masale</t>
  </si>
  <si>
    <t>Black Chana</t>
  </si>
  <si>
    <t>Amchur Sabut</t>
  </si>
  <si>
    <t>Soybean Whole</t>
  </si>
  <si>
    <t>Jelly Rex</t>
  </si>
  <si>
    <t>Tea Leaf</t>
  </si>
  <si>
    <t>Tej Patta</t>
  </si>
  <si>
    <t>Amla Dry</t>
  </si>
  <si>
    <t>Custard Powder</t>
  </si>
  <si>
    <t>Gari Gola</t>
  </si>
  <si>
    <t>Gari Burada</t>
  </si>
  <si>
    <t>Walnut Giri</t>
  </si>
  <si>
    <t>Kesar</t>
  </si>
  <si>
    <t>Kaju Whole</t>
  </si>
  <si>
    <t>Kaju Dofaad (Two Piece)</t>
  </si>
  <si>
    <t>Kaju Tukda</t>
  </si>
  <si>
    <t>Kishmish (Raisin)</t>
  </si>
  <si>
    <t>Chana Dal Bhuna</t>
  </si>
  <si>
    <t>Dhoop Batti</t>
  </si>
  <si>
    <t>Silver Work</t>
  </si>
  <si>
    <t>Nirma Surf</t>
  </si>
  <si>
    <t>Milk Morning</t>
  </si>
  <si>
    <t>Milk Evening</t>
  </si>
  <si>
    <t>Curd Prepared</t>
  </si>
  <si>
    <t>Jam</t>
  </si>
  <si>
    <t>White Butter</t>
  </si>
  <si>
    <t>Amul Butter</t>
  </si>
  <si>
    <t>Noodles</t>
  </si>
  <si>
    <t>Dahi Sprota</t>
  </si>
  <si>
    <t>Double Roti</t>
  </si>
  <si>
    <t>Cheese Spread</t>
  </si>
  <si>
    <t>Khoya Dhap</t>
  </si>
  <si>
    <t>Khoya Daanadar</t>
  </si>
  <si>
    <t>Pindi Khoya</t>
  </si>
  <si>
    <t>Choti Rasbhari White</t>
  </si>
  <si>
    <t>White Rasgulla</t>
  </si>
  <si>
    <t>Chena Pais Sponge</t>
  </si>
  <si>
    <t>Kaju Barfi</t>
  </si>
  <si>
    <t>Peethi Maa Ki Dal Morning</t>
  </si>
  <si>
    <t>Peethi Moong Dal Morning</t>
  </si>
  <si>
    <t>Peethi Chana Dal Morning</t>
  </si>
  <si>
    <t>Pav Band Piece</t>
  </si>
  <si>
    <t>Sprout Chana</t>
  </si>
  <si>
    <t>Sprout Lobia</t>
  </si>
  <si>
    <t>Markeen</t>
  </si>
  <si>
    <t>Old Dhoti</t>
  </si>
  <si>
    <t>Paucha</t>
  </si>
  <si>
    <t>Snacks Tea Plate</t>
  </si>
  <si>
    <t>Two Faced Forks</t>
  </si>
  <si>
    <t>Colored Paper</t>
  </si>
  <si>
    <t>Chamkela</t>
  </si>
  <si>
    <t>Milk Glass</t>
  </si>
  <si>
    <t>Coffee Glass</t>
  </si>
  <si>
    <t>Dosa Plate</t>
  </si>
  <si>
    <t>Prasad Box</t>
  </si>
  <si>
    <t>Glass Of Water</t>
  </si>
  <si>
    <t>Whiskey Glass</t>
  </si>
  <si>
    <t>Slate Foil</t>
  </si>
  <si>
    <t>Silver Shell</t>
  </si>
  <si>
    <t>Chinese Bowl 5 Inch</t>
  </si>
  <si>
    <t>Chinese Plate 6 Inch</t>
  </si>
  <si>
    <t>Chinese Plate 7 Inch</t>
  </si>
  <si>
    <t>Chinese Plate 8 Inch</t>
  </si>
  <si>
    <t>Plastic Forks</t>
  </si>
  <si>
    <t>Wooden Spoon</t>
  </si>
  <si>
    <t>Thermocol Glass</t>
  </si>
  <si>
    <t>Ice Cream Cup</t>
  </si>
  <si>
    <t>Napkin</t>
  </si>
  <si>
    <t>Fancy Tilli</t>
  </si>
  <si>
    <t>Ice Cream Tilli</t>
  </si>
  <si>
    <t>Newspaper Scraps</t>
  </si>
  <si>
    <t>Long Lakkadfaad</t>
  </si>
  <si>
    <t>Wood Koela Mota</t>
  </si>
  <si>
    <t>Cylinder Small</t>
  </si>
  <si>
    <t>Cylinder Big</t>
  </si>
  <si>
    <t>Water Drum</t>
  </si>
  <si>
    <t>Patela</t>
  </si>
  <si>
    <t>Tub</t>
  </si>
  <si>
    <t>Table</t>
  </si>
  <si>
    <t>Basket</t>
  </si>
  <si>
    <t>Water Tanker</t>
  </si>
  <si>
    <t>Coal</t>
  </si>
  <si>
    <t>Gas</t>
  </si>
  <si>
    <t>Diseal</t>
  </si>
  <si>
    <t>Cold Drink Can</t>
  </si>
  <si>
    <t>Minrel Water 1Ltr</t>
  </si>
  <si>
    <t>Minrel Water 500Ml</t>
  </si>
  <si>
    <t>Mask</t>
  </si>
  <si>
    <t xml:space="preserve"> Cream</t>
  </si>
  <si>
    <t>Butter</t>
  </si>
  <si>
    <t>Small Chip Butter</t>
  </si>
  <si>
    <t>Cheese</t>
  </si>
  <si>
    <t>Nuterlite Butter</t>
  </si>
  <si>
    <t>Chaap</t>
  </si>
  <si>
    <t>Dhaap</t>
  </si>
  <si>
    <t>Danedar Khoya</t>
  </si>
  <si>
    <t>Angoori</t>
  </si>
  <si>
    <t>Coconut Powder</t>
  </si>
  <si>
    <t>Tea</t>
  </si>
  <si>
    <t>Honey</t>
  </si>
  <si>
    <t>Chocolate Syrup</t>
  </si>
  <si>
    <t>Kevda</t>
  </si>
  <si>
    <t>Yeast</t>
  </si>
  <si>
    <t>Nacho</t>
  </si>
  <si>
    <t>Chocolate Powder</t>
  </si>
  <si>
    <t>Bush Colour</t>
  </si>
  <si>
    <t>Water 250Ml</t>
  </si>
  <si>
    <t>Monin Mojito 1Ltr</t>
  </si>
  <si>
    <t>Monin Mojito 750Ml</t>
  </si>
  <si>
    <t>Corn Starch</t>
  </si>
  <si>
    <t>Barik Sugar</t>
  </si>
  <si>
    <t>Raw Noodles</t>
  </si>
  <si>
    <t>Moti Sugar</t>
  </si>
  <si>
    <t>Chini Bura</t>
  </si>
  <si>
    <t>Gur</t>
  </si>
  <si>
    <t>Chicken Masala</t>
  </si>
  <si>
    <t>Chilli Paste</t>
  </si>
  <si>
    <t>Coconut Gola</t>
  </si>
  <si>
    <t>Coke</t>
  </si>
  <si>
    <t>Cornflour</t>
  </si>
  <si>
    <t>Glucose</t>
  </si>
  <si>
    <t>Jalpatri</t>
  </si>
  <si>
    <t>Kaali Mirch Powder</t>
  </si>
  <si>
    <t>Kachalu</t>
  </si>
  <si>
    <t>Orange Color</t>
  </si>
  <si>
    <t>Oreo Biscuit</t>
  </si>
  <si>
    <t>Pakka Chawal</t>
  </si>
  <si>
    <t>Red Color</t>
  </si>
  <si>
    <t>Sarso Dana</t>
  </si>
  <si>
    <t>Spring Roll Sheet</t>
  </si>
  <si>
    <t>Silver Work(Per Sheet)</t>
  </si>
  <si>
    <t>Sitafal</t>
  </si>
  <si>
    <t>Soda</t>
  </si>
  <si>
    <t>Soya Sauce</t>
  </si>
  <si>
    <t>Badam Giri Fat</t>
  </si>
  <si>
    <t>Naushadar</t>
  </si>
  <si>
    <t>Imli Powder</t>
  </si>
  <si>
    <t>Rice Powder</t>
  </si>
  <si>
    <t>Mix Vegiies</t>
  </si>
  <si>
    <t>Dosa Batter</t>
  </si>
  <si>
    <t>Aloo Stuffing For Dosa</t>
  </si>
  <si>
    <t>Rawa</t>
  </si>
  <si>
    <t xml:space="preserve">Imli </t>
  </si>
  <si>
    <t>Kachori Pithi</t>
  </si>
  <si>
    <t>Kulfi Rabri</t>
  </si>
  <si>
    <t>Garam Masla</t>
  </si>
  <si>
    <t>Pre Prepared Dal</t>
  </si>
  <si>
    <t xml:space="preserve">Coconut Chutney </t>
  </si>
  <si>
    <t>Jeera Powder</t>
  </si>
  <si>
    <t>Tomato Gravy</t>
  </si>
  <si>
    <t>Chopped Gravy</t>
  </si>
  <si>
    <t>Lacha Paratha</t>
  </si>
  <si>
    <t>Raita</t>
  </si>
  <si>
    <t>Red Chilli Paste</t>
  </si>
  <si>
    <t>Fries</t>
  </si>
  <si>
    <t>Manchurian Ball</t>
  </si>
  <si>
    <t xml:space="preserve">Ice </t>
  </si>
  <si>
    <t>Chashni</t>
  </si>
  <si>
    <t>Meethii Chiutney</t>
  </si>
  <si>
    <t>Golgappa Paani</t>
  </si>
  <si>
    <t xml:space="preserve">Tandoori Platter </t>
  </si>
  <si>
    <t>Chutney Mix</t>
  </si>
  <si>
    <t>Allo masala</t>
  </si>
  <si>
    <t>Chole Masala</t>
  </si>
  <si>
    <t>Fresh Lime</t>
  </si>
  <si>
    <t>Sprite</t>
  </si>
  <si>
    <t>Sprite Lemon</t>
  </si>
  <si>
    <t>Lemon Water</t>
  </si>
  <si>
    <t>Vada Idli Mix</t>
  </si>
  <si>
    <t>Mini Veg Uttpam</t>
  </si>
  <si>
    <t xml:space="preserve">Mini Masala Dosa </t>
  </si>
  <si>
    <t>Allo Masala</t>
  </si>
  <si>
    <t>Sub Recipes</t>
  </si>
  <si>
    <t>Drinks</t>
  </si>
  <si>
    <t>Selling Price</t>
  </si>
  <si>
    <t>Yellow Faluda</t>
  </si>
  <si>
    <t>Mango Syrup</t>
  </si>
  <si>
    <t>chashni</t>
  </si>
  <si>
    <t>Sugar Free</t>
  </si>
  <si>
    <t>North Indian Thali</t>
  </si>
  <si>
    <t>Mini Thali</t>
  </si>
  <si>
    <t>Dili Combo</t>
  </si>
  <si>
    <t>Elaichi Powder</t>
  </si>
  <si>
    <t>Tandoori Platter</t>
  </si>
  <si>
    <t>Kesar Faluda</t>
  </si>
  <si>
    <t>Shakar Para</t>
  </si>
  <si>
    <t>Gud Paara</t>
  </si>
  <si>
    <t>Kalakand</t>
  </si>
  <si>
    <t>Pista Barfi</t>
  </si>
  <si>
    <t>Plain Barfi</t>
  </si>
  <si>
    <t>Chocolate Barfi</t>
  </si>
  <si>
    <t>Coconut Barfi</t>
  </si>
  <si>
    <t>Patisa</t>
  </si>
  <si>
    <t>Milk Cake</t>
  </si>
  <si>
    <t>Rasgulla</t>
  </si>
  <si>
    <t>Ghewar</t>
  </si>
  <si>
    <t>Mal Pua</t>
  </si>
  <si>
    <t>Soan Halva</t>
  </si>
  <si>
    <t>Bikaneri Barfi</t>
  </si>
  <si>
    <t>Chocolate Roll</t>
  </si>
  <si>
    <t>Bondi Ladu</t>
  </si>
  <si>
    <t>Khoya Roll</t>
  </si>
  <si>
    <t>Chena Murki</t>
  </si>
  <si>
    <t>Besan Ladu</t>
  </si>
  <si>
    <t>Mathura Peda</t>
  </si>
  <si>
    <t>Kheer Kadam</t>
  </si>
  <si>
    <t>Dodha</t>
  </si>
  <si>
    <t>Jodhpuri Ladu</t>
  </si>
  <si>
    <t>Dahi Bhalla</t>
  </si>
  <si>
    <t>Papri Bhalla (Bara)</t>
  </si>
  <si>
    <t>Papri Chaat</t>
  </si>
  <si>
    <t>Aloo Tikki With Dahi</t>
  </si>
  <si>
    <t>Aloo Tikki With Channa</t>
  </si>
  <si>
    <t>Gol Gappe Atta/Suzi (6Pieces)</t>
  </si>
  <si>
    <t>Dahi Aloo Chaat</t>
  </si>
  <si>
    <t>Chole Bhature</t>
  </si>
  <si>
    <t>Channa Kulcha</t>
  </si>
  <si>
    <t>Chole Plate</t>
  </si>
  <si>
    <t>Aalo Chole</t>
  </si>
  <si>
    <t>Chilli Potato</t>
  </si>
  <si>
    <t>Chilli Paneer Dry</t>
  </si>
  <si>
    <t>Chilli Paneer Gravy</t>
  </si>
  <si>
    <t>Manchurian Dry</t>
  </si>
  <si>
    <t>Munchurian Gravy</t>
  </si>
  <si>
    <t>Roti</t>
  </si>
  <si>
    <t>Naan</t>
  </si>
  <si>
    <t>Pudhina Paratha</t>
  </si>
  <si>
    <t>Garlic Naan</t>
  </si>
  <si>
    <t>Amritsari Kulcha</t>
  </si>
  <si>
    <t>Mirchi Paratha</t>
  </si>
  <si>
    <t>Stuffed Paratha</t>
  </si>
  <si>
    <t>Butter Roti</t>
  </si>
  <si>
    <t>Butter Naan</t>
  </si>
  <si>
    <t>Shahi Paneer</t>
  </si>
  <si>
    <t>Kadhai Paneer</t>
  </si>
  <si>
    <t>Hyderabadi Chaap With Rumali Roti</t>
  </si>
  <si>
    <t>Dal Makhani Rice</t>
  </si>
  <si>
    <t>Amritsari Kulcha With Chana</t>
  </si>
  <si>
    <t>Masala Chaap Tikka</t>
  </si>
  <si>
    <t>Watermelon  Mojito</t>
  </si>
  <si>
    <t>Peach Mojito</t>
  </si>
  <si>
    <t>Blue Lagoon Mojito</t>
  </si>
  <si>
    <t>Green Apple Mocktail</t>
  </si>
  <si>
    <t>Lemon Ice Tea Mocktail</t>
  </si>
  <si>
    <t>Pomegranade</t>
  </si>
  <si>
    <t>Mithi Lassi</t>
  </si>
  <si>
    <t>Kulfi Faluda</t>
  </si>
  <si>
    <t>Badam Milk</t>
  </si>
  <si>
    <t>Kaju Mixture</t>
  </si>
  <si>
    <t>Masala Kaju</t>
  </si>
  <si>
    <t>Namkeen Badam</t>
  </si>
  <si>
    <t>Masala Badam</t>
  </si>
  <si>
    <t>Namkeen Kaju</t>
  </si>
  <si>
    <t>Dal Moth</t>
  </si>
  <si>
    <t>Tatri</t>
  </si>
  <si>
    <t>PRICE LIST</t>
  </si>
  <si>
    <t>Drinks &amp; Beverage</t>
  </si>
  <si>
    <t>Samosa Filling</t>
  </si>
  <si>
    <t>salt</t>
  </si>
  <si>
    <t>Desi ghee</t>
  </si>
  <si>
    <t>water</t>
  </si>
  <si>
    <t>Kachalu Prepared</t>
  </si>
  <si>
    <t>Bhatura Pithi</t>
  </si>
  <si>
    <t>Saunth powder</t>
  </si>
  <si>
    <t>chana dal</t>
  </si>
  <si>
    <t>Chocolate Oreo Kulfi</t>
  </si>
  <si>
    <t>Sugar Free Faluda Kulfi</t>
  </si>
  <si>
    <t>Kulfi Faluda Kesar Pista Badam</t>
  </si>
  <si>
    <t>Mango Faluda Kulfi</t>
  </si>
  <si>
    <t>Tikki Ki Pithi</t>
  </si>
  <si>
    <t>Ghiya</t>
  </si>
  <si>
    <t>Soyabean Oil</t>
  </si>
  <si>
    <t>Groundnut Oil</t>
  </si>
  <si>
    <t>Soyabean Oil (Frying)</t>
  </si>
  <si>
    <t>Groundnut Oil (Frying)</t>
  </si>
  <si>
    <t>Desi Ghee (Frying)</t>
  </si>
  <si>
    <t>Groundnut Oil (frying)</t>
  </si>
  <si>
    <t xml:space="preserve">Raj Kachori </t>
  </si>
  <si>
    <t>Suji barik</t>
  </si>
  <si>
    <t>besan Mota</t>
  </si>
  <si>
    <t>Sonth</t>
  </si>
  <si>
    <t>kg</t>
  </si>
  <si>
    <t>Imli</t>
  </si>
  <si>
    <t>Calories</t>
  </si>
  <si>
    <t>nf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</si>
</sst>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 #,##0.00"/>
    <numFmt numFmtId="165" formatCode="0.0"/>
  </numFmts>
  <fonts count="49">
    <font>
      <sz val="10"/>
      <color rgb="FF000000"/>
      <name val="Arial"/>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color theme="1"/>
      <name val="Arial"/>
      <family val="2"/>
    </font>
    <font>
      <sz val="11"/>
      <color theme="1"/>
      <name val="Calibri"/>
      <family val="2"/>
    </font>
    <font>
      <sz val="10"/>
      <color theme="1"/>
      <name val="Arial"/>
      <family val="2"/>
      <scheme val="minor"/>
    </font>
    <font>
      <sz val="9"/>
      <color rgb="FF000000"/>
      <name val="&quot;Google Sans Mono&quot;"/>
    </font>
    <font>
      <b/>
      <sz val="10"/>
      <color rgb="FFFFFFFF"/>
      <name val="&quot;Open Sans&quot;"/>
    </font>
    <font>
      <sz val="10"/>
      <color theme="1"/>
      <name val="&quot;Open Sans&quot;"/>
    </font>
    <font>
      <sz val="9"/>
      <color rgb="FF1F1F1F"/>
      <name val="Arial"/>
      <family val="2"/>
    </font>
    <font>
      <sz val="11"/>
      <color theme="1"/>
      <name val="Arial"/>
      <family val="2"/>
    </font>
    <font>
      <u/>
      <sz val="10"/>
      <color theme="1"/>
      <name val="Arial"/>
      <family val="2"/>
    </font>
    <font>
      <b/>
      <sz val="18"/>
      <color rgb="FFFFFFFF"/>
      <name val="Arial"/>
      <family val="2"/>
    </font>
    <font>
      <sz val="10"/>
      <name val="Arial"/>
      <family val="2"/>
    </font>
    <font>
      <b/>
      <sz val="14"/>
      <color rgb="FFFFFFFF"/>
      <name val="Arial"/>
      <family val="2"/>
    </font>
    <font>
      <sz val="12"/>
      <color theme="1"/>
      <name val="Calibri"/>
      <family val="2"/>
    </font>
    <font>
      <sz val="11"/>
      <color rgb="FF000000"/>
      <name val="Arial"/>
      <family val="2"/>
    </font>
    <font>
      <b/>
      <sz val="13"/>
      <color theme="1"/>
      <name val="Arial"/>
      <family val="2"/>
      <scheme val="minor"/>
    </font>
    <font>
      <sz val="11"/>
      <color theme="1"/>
      <name val="Arial"/>
      <family val="2"/>
      <scheme val="minor"/>
    </font>
    <font>
      <sz val="11"/>
      <color rgb="FF000000"/>
      <name val="Arial"/>
      <family val="2"/>
      <scheme val="minor"/>
    </font>
    <font>
      <b/>
      <sz val="15"/>
      <color rgb="FFFFFFFF"/>
      <name val="Arial"/>
      <family val="2"/>
      <scheme val="minor"/>
    </font>
    <font>
      <sz val="12"/>
      <color theme="1"/>
      <name val="Arial"/>
      <family val="2"/>
      <scheme val="minor"/>
    </font>
    <font>
      <sz val="12"/>
      <color theme="1"/>
      <name val="Arial"/>
      <family val="2"/>
    </font>
    <font>
      <b/>
      <sz val="16"/>
      <color rgb="FFFFFFFF"/>
      <name val="Arial"/>
      <family val="2"/>
      <scheme val="minor"/>
    </font>
    <font>
      <sz val="11"/>
      <color rgb="FF000000"/>
      <name val="Calibri"/>
      <family val="2"/>
    </font>
    <font>
      <sz val="18"/>
      <color rgb="FFFFFFFF"/>
      <name val="Arial"/>
      <family val="2"/>
    </font>
    <font>
      <b/>
      <sz val="16"/>
      <color rgb="FFFFFFFF"/>
      <name val="Arial"/>
      <family val="2"/>
    </font>
    <font>
      <b/>
      <sz val="18"/>
      <color rgb="FFFFFFFF"/>
      <name val="Arial"/>
      <family val="2"/>
      <scheme val="minor"/>
    </font>
    <font>
      <sz val="10"/>
      <color rgb="FF000000"/>
      <name val="Arial"/>
      <family val="2"/>
      <scheme val="minor"/>
    </font>
    <font>
      <sz val="10"/>
      <color rgb="FFFE375F"/>
      <name val="Arial"/>
      <family val="2"/>
      <scheme val="minor"/>
    </font>
    <font>
      <sz val="10"/>
      <color rgb="FF454E52"/>
      <name val="Arial"/>
      <family val="2"/>
      <scheme val="minor"/>
    </font>
    <font>
      <sz val="8"/>
      <name val="Arial"/>
      <family val="2"/>
      <scheme val="minor"/>
    </font>
    <font>
      <b/>
      <sz val="22"/>
      <color rgb="FFFFFFFF"/>
      <name val="&quot;Open Sans&quot;"/>
    </font>
    <font>
      <sz val="18"/>
      <color rgb="FF000000"/>
      <name val="Arial"/>
      <family val="2"/>
      <scheme val="minor"/>
    </font>
    <font>
      <b/>
      <sz val="11"/>
      <color rgb="FFFFFFFF"/>
      <name val="&quot;Open Sans&quot;"/>
    </font>
    <font>
      <b/>
      <sz val="16"/>
      <color rgb="FFFFFFFF"/>
      <name val="&quot;Open Sans&quot;"/>
    </font>
    <font>
      <sz val="10"/>
      <color theme="3"/>
      <name val="Arial"/>
      <family val="2"/>
      <scheme val="minor"/>
    </font>
    <font>
      <b/>
      <sz val="10"/>
      <color theme="0"/>
      <name val="Arial"/>
      <family val="2"/>
      <scheme val="minor"/>
    </font>
    <font>
      <sz val="9"/>
      <color theme="1"/>
      <name val="&quot;Google Sans Mono&quot;"/>
    </font>
  </fonts>
  <fills count="30">
    <fill>
      <patternFill patternType="none"/>
    </fill>
    <fill>
      <patternFill patternType="gray125"/>
    </fill>
    <fill>
      <patternFill patternType="solid">
        <fgColor rgb="FFFFFFFF"/>
        <bgColor rgb="FFFFFFFF"/>
      </patternFill>
    </fill>
    <fill>
      <patternFill patternType="solid">
        <fgColor rgb="FF348558"/>
        <bgColor rgb="FF348558"/>
      </patternFill>
    </fill>
    <fill>
      <patternFill patternType="solid">
        <fgColor rgb="FF6AA84F"/>
        <bgColor rgb="FF6AA84F"/>
      </patternFill>
    </fill>
    <fill>
      <patternFill patternType="solid">
        <fgColor rgb="FFA4C2F4"/>
        <bgColor rgb="FFA4C2F4"/>
      </patternFill>
    </fill>
    <fill>
      <patternFill patternType="solid">
        <fgColor rgb="FFE06666"/>
        <bgColor rgb="FFE06666"/>
      </patternFill>
    </fill>
    <fill>
      <patternFill patternType="solid">
        <fgColor rgb="FFEAD1DC"/>
        <bgColor rgb="FFEAD1DC"/>
      </patternFill>
    </fill>
    <fill>
      <patternFill patternType="solid">
        <fgColor rgb="FF7F6000"/>
        <bgColor rgb="FF7F6000"/>
      </patternFill>
    </fill>
    <fill>
      <patternFill patternType="solid">
        <fgColor rgb="FFF7D979"/>
        <bgColor rgb="FFF7D979"/>
      </patternFill>
    </fill>
    <fill>
      <patternFill patternType="solid">
        <fgColor rgb="FFE69138"/>
        <bgColor rgb="FFE69138"/>
      </patternFill>
    </fill>
    <fill>
      <patternFill patternType="solid">
        <fgColor rgb="FFFCE5CD"/>
        <bgColor rgb="FFFCE5CD"/>
      </patternFill>
    </fill>
    <fill>
      <patternFill patternType="solid">
        <fgColor rgb="FFEA9999"/>
        <bgColor rgb="FFEA9999"/>
      </patternFill>
    </fill>
    <fill>
      <patternFill patternType="solid">
        <fgColor rgb="FFF1C232"/>
        <bgColor rgb="FFF1C232"/>
      </patternFill>
    </fill>
    <fill>
      <patternFill patternType="solid">
        <fgColor rgb="FFFFEBB1"/>
        <bgColor rgb="FFFFEBB1"/>
      </patternFill>
    </fill>
    <fill>
      <patternFill patternType="solid">
        <fgColor rgb="FF3D85C6"/>
        <bgColor rgb="FF3D85C6"/>
      </patternFill>
    </fill>
    <fill>
      <patternFill patternType="solid">
        <fgColor rgb="FF674EA7"/>
        <bgColor rgb="FF674EA7"/>
      </patternFill>
    </fill>
    <fill>
      <patternFill patternType="solid">
        <fgColor rgb="FFD9D2E9"/>
        <bgColor rgb="FFD9D2E9"/>
      </patternFill>
    </fill>
    <fill>
      <patternFill patternType="solid">
        <fgColor rgb="FFC9DAF8"/>
        <bgColor rgb="FFC9DAF8"/>
      </patternFill>
    </fill>
    <fill>
      <patternFill patternType="solid">
        <fgColor rgb="FF4285F4"/>
        <bgColor indexed="64"/>
      </patternFill>
    </fill>
    <fill>
      <patternFill patternType="solid">
        <fgColor rgb="FFFFFFFF"/>
        <bgColor indexed="64"/>
      </patternFill>
    </fill>
    <fill>
      <patternFill patternType="solid">
        <fgColor theme="4"/>
        <bgColor rgb="FF7F6000"/>
      </patternFill>
    </fill>
    <fill>
      <patternFill patternType="solid">
        <fgColor rgb="FFFE375F"/>
        <bgColor indexed="64"/>
      </patternFill>
    </fill>
    <fill>
      <patternFill patternType="solid">
        <fgColor rgb="FFF5F6FA"/>
        <bgColor indexed="64"/>
      </patternFill>
    </fill>
    <fill>
      <patternFill patternType="solid">
        <fgColor rgb="FFEE2626"/>
        <bgColor rgb="FFCC0000"/>
      </patternFill>
    </fill>
    <fill>
      <patternFill patternType="solid">
        <fgColor rgb="FFEE2626"/>
        <bgColor indexed="64"/>
      </patternFill>
    </fill>
    <fill>
      <patternFill patternType="solid">
        <fgColor rgb="FFFFFF00"/>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s>
  <borders count="27">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style="thin">
        <color auto="1"/>
      </right>
      <top style="thin">
        <color auto="1"/>
      </top>
      <bottom style="thin">
        <color auto="1"/>
      </bottom>
      <diagonal/>
    </border>
    <border>
      <left style="medium">
        <color rgb="FFCCCCCC"/>
      </left>
      <right style="medium">
        <color rgb="FFCCCCCC"/>
      </right>
      <top style="medium">
        <color rgb="FFCCCCCC"/>
      </top>
      <bottom style="medium">
        <color rgb="FFCCCCCC"/>
      </bottom>
      <diagonal/>
    </border>
    <border>
      <left style="medium">
        <color rgb="FF000000"/>
      </left>
      <right/>
      <top/>
      <bottom/>
      <diagonal/>
    </border>
    <border>
      <left style="thin">
        <color indexed="64"/>
      </left>
      <right style="thin">
        <color rgb="FF000000"/>
      </right>
      <top style="thin">
        <color indexed="64"/>
      </top>
      <bottom style="thin">
        <color indexed="64"/>
      </bottom>
      <diagonal/>
    </border>
    <border>
      <left style="thin">
        <color auto="1"/>
      </left>
      <right style="thin">
        <color auto="1"/>
      </right>
      <top style="thin">
        <color auto="1"/>
      </top>
      <bottom/>
      <diagonal/>
    </border>
    <border>
      <left style="thin">
        <color rgb="FF000000"/>
      </left>
      <right/>
      <top style="thin">
        <color indexed="64"/>
      </top>
      <bottom style="thin">
        <color indexed="64"/>
      </bottom>
      <diagonal/>
    </border>
    <border>
      <left style="thin">
        <color auto="1"/>
      </left>
      <right/>
      <top style="thin">
        <color auto="1"/>
      </top>
      <bottom style="thin">
        <color auto="1"/>
      </bottom>
      <diagonal/>
    </border>
    <border>
      <left style="thin">
        <color auto="1"/>
      </left>
      <right/>
      <top style="thin">
        <color auto="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auto="1"/>
      </left>
      <right style="thin">
        <color auto="1"/>
      </right>
      <top/>
      <bottom style="thin">
        <color auto="1"/>
      </bottom>
      <diagonal/>
    </border>
    <border>
      <left style="thin">
        <color auto="1"/>
      </left>
      <right/>
      <top/>
      <bottom style="thin">
        <color auto="1"/>
      </bottom>
      <diagonal/>
    </border>
  </borders>
  <cellStyleXfs count="1">
    <xf numFmtId="0" fontId="0" fillId="0" borderId="0"/>
  </cellStyleXfs>
  <cellXfs count="281">
    <xf numFmtId="0" fontId="0" fillId="0" borderId="0" xfId="0"/>
    <xf numFmtId="0" fontId="13" fillId="0" borderId="0" xfId="0" applyFont="1"/>
    <xf numFmtId="0" fontId="14" fillId="0" borderId="0" xfId="0" applyFont="1"/>
    <xf numFmtId="0" fontId="15" fillId="0" borderId="0" xfId="0" applyFont="1"/>
    <xf numFmtId="0" fontId="13" fillId="2" borderId="0" xfId="0" applyFont="1" applyFill="1"/>
    <xf numFmtId="0" fontId="13" fillId="0" borderId="0" xfId="0" applyFont="1" applyAlignment="1">
      <alignment horizontal="right"/>
    </xf>
    <xf numFmtId="2" fontId="16" fillId="2" borderId="0" xfId="0" applyNumberFormat="1" applyFont="1" applyFill="1"/>
    <xf numFmtId="0" fontId="14" fillId="0" borderId="0" xfId="0" applyFont="1" applyAlignment="1">
      <alignment horizontal="right"/>
    </xf>
    <xf numFmtId="0" fontId="14" fillId="2" borderId="0" xfId="0" applyFont="1" applyFill="1"/>
    <xf numFmtId="0" fontId="15" fillId="2" borderId="0" xfId="0" applyFont="1" applyFill="1"/>
    <xf numFmtId="0" fontId="17" fillId="3" borderId="0" xfId="0" applyFont="1" applyFill="1" applyAlignment="1">
      <alignment horizontal="center"/>
    </xf>
    <xf numFmtId="0" fontId="18" fillId="0" borderId="0" xfId="0" applyFont="1" applyAlignment="1">
      <alignment horizontal="center"/>
    </xf>
    <xf numFmtId="0" fontId="13" fillId="0" borderId="0" xfId="0" applyFont="1" applyAlignment="1">
      <alignment vertical="top"/>
    </xf>
    <xf numFmtId="0" fontId="13" fillId="0" borderId="0" xfId="0" applyFont="1" applyAlignment="1">
      <alignment wrapText="1"/>
    </xf>
    <xf numFmtId="0" fontId="19" fillId="0" borderId="0" xfId="0" applyFont="1" applyAlignment="1">
      <alignment wrapText="1"/>
    </xf>
    <xf numFmtId="0" fontId="18" fillId="2" borderId="0" xfId="0" applyFont="1" applyFill="1" applyAlignment="1">
      <alignment horizontal="center"/>
    </xf>
    <xf numFmtId="0" fontId="20" fillId="0" borderId="0" xfId="0" applyFont="1" applyAlignment="1">
      <alignment wrapText="1"/>
    </xf>
    <xf numFmtId="0" fontId="21" fillId="0" borderId="0" xfId="0" applyFont="1"/>
    <xf numFmtId="0" fontId="14" fillId="0" borderId="0" xfId="0" applyFont="1" applyAlignment="1">
      <alignment wrapText="1"/>
    </xf>
    <xf numFmtId="0" fontId="20" fillId="0" borderId="0" xfId="0" applyFont="1"/>
    <xf numFmtId="2" fontId="13" fillId="0" borderId="0" xfId="0" applyNumberFormat="1" applyFont="1"/>
    <xf numFmtId="2" fontId="13" fillId="0" borderId="0" xfId="0" applyNumberFormat="1" applyFont="1" applyAlignment="1">
      <alignment horizontal="right"/>
    </xf>
    <xf numFmtId="2" fontId="14" fillId="0" borderId="0" xfId="0" applyNumberFormat="1" applyFont="1" applyAlignment="1">
      <alignment horizontal="right"/>
    </xf>
    <xf numFmtId="2" fontId="14" fillId="0" borderId="0" xfId="0" applyNumberFormat="1" applyFont="1"/>
    <xf numFmtId="2" fontId="15" fillId="0" borderId="0" xfId="0" applyNumberFormat="1" applyFont="1"/>
    <xf numFmtId="0" fontId="27" fillId="2" borderId="0" xfId="0" applyFont="1" applyFill="1"/>
    <xf numFmtId="0" fontId="28" fillId="7" borderId="4" xfId="0" applyFont="1" applyFill="1" applyBorder="1"/>
    <xf numFmtId="0" fontId="28" fillId="0" borderId="4" xfId="0" applyFont="1" applyBorder="1" applyAlignment="1">
      <alignment horizontal="right"/>
    </xf>
    <xf numFmtId="0" fontId="28" fillId="0" borderId="4" xfId="0" applyFont="1" applyBorder="1"/>
    <xf numFmtId="0" fontId="28" fillId="9" borderId="4" xfId="0" applyFont="1" applyFill="1" applyBorder="1"/>
    <xf numFmtId="0" fontId="28" fillId="2" borderId="4" xfId="0" applyFont="1" applyFill="1" applyBorder="1" applyAlignment="1">
      <alignment horizontal="right"/>
    </xf>
    <xf numFmtId="0" fontId="28" fillId="2" borderId="4" xfId="0" applyFont="1" applyFill="1" applyBorder="1"/>
    <xf numFmtId="0" fontId="29" fillId="9" borderId="4" xfId="0" applyFont="1" applyFill="1" applyBorder="1" applyAlignment="1">
      <alignment horizontal="left"/>
    </xf>
    <xf numFmtId="0" fontId="28" fillId="11" borderId="4" xfId="0" applyFont="1" applyFill="1" applyBorder="1"/>
    <xf numFmtId="0" fontId="15" fillId="0" borderId="4" xfId="0" applyFont="1" applyBorder="1"/>
    <xf numFmtId="0" fontId="28" fillId="14" borderId="4" xfId="0" applyFont="1" applyFill="1" applyBorder="1"/>
    <xf numFmtId="0" fontId="28" fillId="5" borderId="4" xfId="0" applyFont="1" applyFill="1" applyBorder="1"/>
    <xf numFmtId="0" fontId="29" fillId="5" borderId="4" xfId="0" applyFont="1" applyFill="1" applyBorder="1"/>
    <xf numFmtId="0" fontId="29" fillId="0" borderId="4" xfId="0" applyFont="1" applyBorder="1" applyAlignment="1">
      <alignment horizontal="right"/>
    </xf>
    <xf numFmtId="0" fontId="34" fillId="0" borderId="0" xfId="0" applyFont="1"/>
    <xf numFmtId="0" fontId="34" fillId="0" borderId="0" xfId="0" applyFont="1" applyAlignment="1">
      <alignment horizontal="right"/>
    </xf>
    <xf numFmtId="0" fontId="13" fillId="17" borderId="4" xfId="0" applyFont="1" applyFill="1" applyBorder="1"/>
    <xf numFmtId="0" fontId="13" fillId="0" borderId="4" xfId="0" applyFont="1" applyBorder="1" applyAlignment="1">
      <alignment horizontal="right"/>
    </xf>
    <xf numFmtId="0" fontId="15" fillId="17" borderId="4" xfId="0" applyFont="1" applyFill="1" applyBorder="1"/>
    <xf numFmtId="0" fontId="13" fillId="0" borderId="4" xfId="0" applyFont="1" applyBorder="1"/>
    <xf numFmtId="0" fontId="20" fillId="18" borderId="4" xfId="0" applyFont="1" applyFill="1" applyBorder="1"/>
    <xf numFmtId="0" fontId="20" fillId="11" borderId="4" xfId="0" applyFont="1" applyFill="1" applyBorder="1"/>
    <xf numFmtId="0" fontId="20" fillId="0" borderId="4" xfId="0" applyFont="1" applyBorder="1" applyAlignment="1">
      <alignment horizontal="right"/>
    </xf>
    <xf numFmtId="0" fontId="28" fillId="7" borderId="5" xfId="0" applyFont="1" applyFill="1" applyBorder="1"/>
    <xf numFmtId="0" fontId="28" fillId="0" borderId="5" xfId="0" applyFont="1" applyBorder="1"/>
    <xf numFmtId="0" fontId="28" fillId="9" borderId="5" xfId="0" applyFont="1" applyFill="1" applyBorder="1"/>
    <xf numFmtId="0" fontId="28" fillId="2" borderId="5" xfId="0" applyFont="1" applyFill="1" applyBorder="1"/>
    <xf numFmtId="0" fontId="28" fillId="14" borderId="5" xfId="0" applyFont="1" applyFill="1" applyBorder="1"/>
    <xf numFmtId="0" fontId="28" fillId="2" borderId="5" xfId="0" applyFont="1" applyFill="1" applyBorder="1" applyAlignment="1">
      <alignment horizontal="right"/>
    </xf>
    <xf numFmtId="0" fontId="29" fillId="5" borderId="5" xfId="0" applyFont="1" applyFill="1" applyBorder="1"/>
    <xf numFmtId="0" fontId="29" fillId="0" borderId="5" xfId="0" applyFont="1" applyBorder="1" applyAlignment="1">
      <alignment horizontal="right"/>
    </xf>
    <xf numFmtId="0" fontId="13" fillId="17" borderId="5" xfId="0" applyFont="1" applyFill="1" applyBorder="1"/>
    <xf numFmtId="0" fontId="13" fillId="0" borderId="5" xfId="0" applyFont="1" applyBorder="1" applyAlignment="1">
      <alignment horizontal="right"/>
    </xf>
    <xf numFmtId="0" fontId="20" fillId="18" borderId="5" xfId="0" applyFont="1" applyFill="1" applyBorder="1"/>
    <xf numFmtId="164" fontId="0" fillId="0" borderId="0" xfId="0" applyNumberFormat="1"/>
    <xf numFmtId="0" fontId="20" fillId="18" borderId="3" xfId="0" applyFont="1" applyFill="1" applyBorder="1"/>
    <xf numFmtId="0" fontId="36" fillId="15" borderId="6" xfId="0" applyFont="1" applyFill="1" applyBorder="1"/>
    <xf numFmtId="0" fontId="36" fillId="15" borderId="7" xfId="0" applyFont="1" applyFill="1" applyBorder="1"/>
    <xf numFmtId="0" fontId="20" fillId="18" borderId="9" xfId="0" applyFont="1" applyFill="1" applyBorder="1"/>
    <xf numFmtId="0" fontId="13" fillId="17" borderId="3" xfId="0" applyFont="1" applyFill="1" applyBorder="1"/>
    <xf numFmtId="2" fontId="0" fillId="2" borderId="1" xfId="0" applyNumberFormat="1" applyFill="1" applyBorder="1"/>
    <xf numFmtId="0" fontId="36" fillId="16" borderId="6" xfId="0" applyFont="1" applyFill="1" applyBorder="1" applyAlignment="1">
      <alignment horizontal="left"/>
    </xf>
    <xf numFmtId="0" fontId="36" fillId="16" borderId="7" xfId="0" applyFont="1" applyFill="1" applyBorder="1"/>
    <xf numFmtId="0" fontId="33" fillId="16" borderId="8" xfId="0" applyFont="1" applyFill="1" applyBorder="1"/>
    <xf numFmtId="0" fontId="13" fillId="17" borderId="9" xfId="0" applyFont="1" applyFill="1" applyBorder="1"/>
    <xf numFmtId="2" fontId="0" fillId="2" borderId="10" xfId="0" applyNumberFormat="1" applyFill="1" applyBorder="1"/>
    <xf numFmtId="0" fontId="20" fillId="11" borderId="3" xfId="0" applyFont="1" applyFill="1" applyBorder="1"/>
    <xf numFmtId="2" fontId="26" fillId="2" borderId="1" xfId="0" applyNumberFormat="1" applyFont="1" applyFill="1" applyBorder="1"/>
    <xf numFmtId="0" fontId="36" fillId="10" borderId="6" xfId="0" applyFont="1" applyFill="1" applyBorder="1"/>
    <xf numFmtId="0" fontId="36" fillId="10" borderId="7" xfId="0" applyFont="1" applyFill="1" applyBorder="1"/>
    <xf numFmtId="0" fontId="36" fillId="10" borderId="8" xfId="0" applyFont="1" applyFill="1" applyBorder="1"/>
    <xf numFmtId="0" fontId="20" fillId="11" borderId="9" xfId="0" applyFont="1" applyFill="1" applyBorder="1"/>
    <xf numFmtId="0" fontId="20" fillId="11" borderId="5" xfId="0" applyFont="1" applyFill="1" applyBorder="1"/>
    <xf numFmtId="0" fontId="20" fillId="0" borderId="5" xfId="0" applyFont="1" applyBorder="1" applyAlignment="1">
      <alignment horizontal="right"/>
    </xf>
    <xf numFmtId="2" fontId="26" fillId="2" borderId="10" xfId="0" applyNumberFormat="1" applyFont="1" applyFill="1" applyBorder="1"/>
    <xf numFmtId="0" fontId="28" fillId="5" borderId="3" xfId="0" applyFont="1" applyFill="1" applyBorder="1"/>
    <xf numFmtId="2" fontId="29" fillId="2" borderId="1" xfId="0" applyNumberFormat="1" applyFont="1" applyFill="1" applyBorder="1"/>
    <xf numFmtId="0" fontId="24" fillId="15" borderId="6" xfId="0" applyFont="1" applyFill="1" applyBorder="1"/>
    <xf numFmtId="0" fontId="24" fillId="15" borderId="7" xfId="0" applyFont="1" applyFill="1" applyBorder="1"/>
    <xf numFmtId="0" fontId="24" fillId="15" borderId="8" xfId="0" applyFont="1" applyFill="1" applyBorder="1"/>
    <xf numFmtId="2" fontId="29" fillId="2" borderId="10" xfId="0" applyNumberFormat="1" applyFont="1" applyFill="1" applyBorder="1"/>
    <xf numFmtId="0" fontId="28" fillId="7" borderId="3" xfId="0" applyFont="1" applyFill="1" applyBorder="1"/>
    <xf numFmtId="0" fontId="28" fillId="2" borderId="1" xfId="0" applyFont="1" applyFill="1" applyBorder="1"/>
    <xf numFmtId="0" fontId="33" fillId="7" borderId="6" xfId="0" applyFont="1" applyFill="1" applyBorder="1"/>
    <xf numFmtId="0" fontId="33" fillId="7" borderId="7" xfId="0" applyFont="1" applyFill="1" applyBorder="1"/>
    <xf numFmtId="0" fontId="33" fillId="7" borderId="8" xfId="0" applyFont="1" applyFill="1" applyBorder="1"/>
    <xf numFmtId="0" fontId="28" fillId="7" borderId="9" xfId="0" applyFont="1" applyFill="1" applyBorder="1"/>
    <xf numFmtId="0" fontId="28" fillId="2" borderId="10" xfId="0" applyFont="1" applyFill="1" applyBorder="1"/>
    <xf numFmtId="0" fontId="28" fillId="14" borderId="3" xfId="0" applyFont="1" applyFill="1" applyBorder="1"/>
    <xf numFmtId="0" fontId="24" fillId="13" borderId="6" xfId="0" applyFont="1" applyFill="1" applyBorder="1"/>
    <xf numFmtId="0" fontId="24" fillId="13" borderId="7" xfId="0" applyFont="1" applyFill="1" applyBorder="1"/>
    <xf numFmtId="0" fontId="24" fillId="13" borderId="8" xfId="0" applyFont="1" applyFill="1" applyBorder="1"/>
    <xf numFmtId="0" fontId="28" fillId="11" borderId="3" xfId="0" applyFont="1" applyFill="1" applyBorder="1"/>
    <xf numFmtId="0" fontId="24" fillId="10" borderId="6" xfId="0" applyFont="1" applyFill="1" applyBorder="1"/>
    <xf numFmtId="0" fontId="24" fillId="10" borderId="7" xfId="0" applyFont="1" applyFill="1" applyBorder="1"/>
    <xf numFmtId="0" fontId="24" fillId="10" borderId="8" xfId="0" applyFont="1" applyFill="1" applyBorder="1"/>
    <xf numFmtId="0" fontId="24" fillId="6" borderId="6" xfId="0" applyFont="1" applyFill="1" applyBorder="1" applyAlignment="1">
      <alignment horizontal="center"/>
    </xf>
    <xf numFmtId="0" fontId="24" fillId="6" borderId="7" xfId="0" applyFont="1" applyFill="1" applyBorder="1" applyAlignment="1">
      <alignment horizontal="center"/>
    </xf>
    <xf numFmtId="0" fontId="24" fillId="6" borderId="8" xfId="0" applyFont="1" applyFill="1" applyBorder="1" applyAlignment="1">
      <alignment horizontal="center"/>
    </xf>
    <xf numFmtId="0" fontId="28" fillId="9" borderId="3" xfId="0" applyFont="1" applyFill="1" applyBorder="1"/>
    <xf numFmtId="0" fontId="24" fillId="8" borderId="6" xfId="0" applyFont="1" applyFill="1" applyBorder="1"/>
    <xf numFmtId="0" fontId="24" fillId="8" borderId="7" xfId="0" applyFont="1" applyFill="1" applyBorder="1"/>
    <xf numFmtId="0" fontId="24" fillId="8" borderId="8" xfId="0" applyFont="1" applyFill="1" applyBorder="1"/>
    <xf numFmtId="0" fontId="28" fillId="9" borderId="9" xfId="0" applyFont="1" applyFill="1" applyBorder="1"/>
    <xf numFmtId="0" fontId="0" fillId="0" borderId="0" xfId="0" applyAlignment="1">
      <alignment horizontal="left"/>
    </xf>
    <xf numFmtId="0" fontId="0" fillId="0" borderId="0" xfId="0" pivotButton="1"/>
    <xf numFmtId="0" fontId="38" fillId="0" borderId="12" xfId="0" applyFont="1" applyBorder="1" applyAlignment="1">
      <alignment wrapText="1"/>
    </xf>
    <xf numFmtId="0" fontId="12" fillId="9" borderId="3" xfId="0" applyFont="1" applyFill="1" applyBorder="1"/>
    <xf numFmtId="0" fontId="31" fillId="5" borderId="4" xfId="0" applyFont="1" applyFill="1" applyBorder="1"/>
    <xf numFmtId="0" fontId="24" fillId="21" borderId="4" xfId="0" applyFont="1" applyFill="1" applyBorder="1"/>
    <xf numFmtId="0" fontId="24" fillId="21" borderId="1" xfId="0" applyFont="1" applyFill="1" applyBorder="1"/>
    <xf numFmtId="0" fontId="31" fillId="5" borderId="1" xfId="0" applyFont="1" applyFill="1" applyBorder="1"/>
    <xf numFmtId="0" fontId="31" fillId="5" borderId="5" xfId="0" applyFont="1" applyFill="1" applyBorder="1"/>
    <xf numFmtId="0" fontId="31" fillId="5" borderId="10" xfId="0" applyFont="1" applyFill="1" applyBorder="1"/>
    <xf numFmtId="0" fontId="31" fillId="5" borderId="11" xfId="0" applyFont="1" applyFill="1" applyBorder="1"/>
    <xf numFmtId="2" fontId="0" fillId="0" borderId="0" xfId="0" applyNumberFormat="1"/>
    <xf numFmtId="1" fontId="29" fillId="20" borderId="11" xfId="0" applyNumberFormat="1" applyFont="1" applyFill="1" applyBorder="1" applyAlignment="1">
      <alignment horizontal="right" wrapText="1"/>
    </xf>
    <xf numFmtId="1" fontId="29" fillId="20" borderId="15" xfId="0" applyNumberFormat="1" applyFont="1" applyFill="1" applyBorder="1" applyAlignment="1">
      <alignment horizontal="right" wrapText="1"/>
    </xf>
    <xf numFmtId="1" fontId="0" fillId="0" borderId="0" xfId="0" applyNumberFormat="1"/>
    <xf numFmtId="1" fontId="24" fillId="21" borderId="14" xfId="0" applyNumberFormat="1" applyFont="1" applyFill="1" applyBorder="1"/>
    <xf numFmtId="1" fontId="38" fillId="20" borderId="11" xfId="0" applyNumberFormat="1" applyFont="1" applyFill="1" applyBorder="1" applyAlignment="1">
      <alignment wrapText="1"/>
    </xf>
    <xf numFmtId="1" fontId="38" fillId="0" borderId="12" xfId="0" applyNumberFormat="1" applyFont="1" applyBorder="1" applyAlignment="1">
      <alignment wrapText="1"/>
    </xf>
    <xf numFmtId="2" fontId="24" fillId="21" borderId="16" xfId="0" applyNumberFormat="1" applyFont="1" applyFill="1" applyBorder="1"/>
    <xf numFmtId="2" fontId="29" fillId="20" borderId="17" xfId="0" applyNumberFormat="1" applyFont="1" applyFill="1" applyBorder="1" applyAlignment="1">
      <alignment horizontal="right" wrapText="1"/>
    </xf>
    <xf numFmtId="2" fontId="29" fillId="20" borderId="18" xfId="0" applyNumberFormat="1" applyFont="1" applyFill="1" applyBorder="1" applyAlignment="1">
      <alignment horizontal="right" wrapText="1"/>
    </xf>
    <xf numFmtId="0" fontId="31" fillId="5" borderId="15" xfId="0" applyFont="1" applyFill="1" applyBorder="1"/>
    <xf numFmtId="0" fontId="11" fillId="14" borderId="3" xfId="0" applyFont="1" applyFill="1" applyBorder="1"/>
    <xf numFmtId="10" fontId="0" fillId="0" borderId="0" xfId="0" applyNumberFormat="1"/>
    <xf numFmtId="0" fontId="10" fillId="9" borderId="4" xfId="0" applyFont="1" applyFill="1" applyBorder="1"/>
    <xf numFmtId="0" fontId="9" fillId="9" borderId="4" xfId="0" applyFont="1" applyFill="1" applyBorder="1"/>
    <xf numFmtId="0" fontId="9" fillId="7" borderId="4" xfId="0" applyFont="1" applyFill="1" applyBorder="1"/>
    <xf numFmtId="0" fontId="8" fillId="5" borderId="4" xfId="0" applyFont="1" applyFill="1" applyBorder="1"/>
    <xf numFmtId="0" fontId="8" fillId="7" borderId="3" xfId="0" applyFont="1" applyFill="1" applyBorder="1"/>
    <xf numFmtId="0" fontId="8" fillId="9" borderId="4" xfId="0" applyFont="1" applyFill="1" applyBorder="1"/>
    <xf numFmtId="0" fontId="8" fillId="9" borderId="3" xfId="0" applyFont="1" applyFill="1" applyBorder="1"/>
    <xf numFmtId="0" fontId="8" fillId="14" borderId="4" xfId="0" applyFont="1" applyFill="1" applyBorder="1"/>
    <xf numFmtId="0" fontId="8" fillId="2" borderId="4" xfId="0" applyFont="1" applyFill="1" applyBorder="1" applyAlignment="1">
      <alignment horizontal="right"/>
    </xf>
    <xf numFmtId="0" fontId="15" fillId="0" borderId="0" xfId="0" applyFont="1" applyAlignment="1">
      <alignment horizontal="center"/>
    </xf>
    <xf numFmtId="0" fontId="0" fillId="0" borderId="0" xfId="0" applyAlignment="1">
      <alignment horizontal="center"/>
    </xf>
    <xf numFmtId="1" fontId="18" fillId="0" borderId="0" xfId="0" applyNumberFormat="1" applyFont="1" applyAlignment="1">
      <alignment horizontal="center"/>
    </xf>
    <xf numFmtId="1" fontId="15" fillId="0" borderId="0" xfId="0" applyNumberFormat="1" applyFont="1"/>
    <xf numFmtId="0" fontId="7" fillId="9" borderId="4" xfId="0" applyFont="1" applyFill="1" applyBorder="1"/>
    <xf numFmtId="0" fontId="7" fillId="2" borderId="4" xfId="0" applyFont="1" applyFill="1" applyBorder="1" applyAlignment="1">
      <alignment horizontal="right"/>
    </xf>
    <xf numFmtId="0" fontId="7" fillId="7" borderId="3" xfId="0" applyFont="1" applyFill="1" applyBorder="1"/>
    <xf numFmtId="0" fontId="7" fillId="7" borderId="4" xfId="0" applyFont="1" applyFill="1" applyBorder="1"/>
    <xf numFmtId="0" fontId="7" fillId="0" borderId="4" xfId="0" applyFont="1" applyBorder="1" applyAlignment="1">
      <alignment horizontal="right"/>
    </xf>
    <xf numFmtId="0" fontId="7" fillId="7" borderId="5" xfId="0" applyFont="1" applyFill="1" applyBorder="1"/>
    <xf numFmtId="1" fontId="36" fillId="15" borderId="7" xfId="0" applyNumberFormat="1" applyFont="1" applyFill="1" applyBorder="1"/>
    <xf numFmtId="2" fontId="36" fillId="15" borderId="8" xfId="0" applyNumberFormat="1" applyFont="1" applyFill="1" applyBorder="1"/>
    <xf numFmtId="0" fontId="7" fillId="11" borderId="4" xfId="0" applyFont="1" applyFill="1" applyBorder="1"/>
    <xf numFmtId="0" fontId="29" fillId="2" borderId="4" xfId="0" applyFont="1" applyFill="1" applyBorder="1" applyAlignment="1">
      <alignment horizontal="left" indent="7"/>
    </xf>
    <xf numFmtId="0" fontId="29" fillId="11" borderId="4" xfId="0" applyFont="1" applyFill="1" applyBorder="1"/>
    <xf numFmtId="2" fontId="17" fillId="3" borderId="0" xfId="0" applyNumberFormat="1" applyFont="1" applyFill="1" applyAlignment="1">
      <alignment horizontal="center" vertical="center"/>
    </xf>
    <xf numFmtId="0" fontId="6" fillId="11" borderId="4" xfId="0" applyFont="1" applyFill="1" applyBorder="1"/>
    <xf numFmtId="0" fontId="6" fillId="7" borderId="4" xfId="0" applyFont="1" applyFill="1" applyBorder="1"/>
    <xf numFmtId="0" fontId="24" fillId="4" borderId="0" xfId="0" applyFont="1" applyFill="1"/>
    <xf numFmtId="2" fontId="24" fillId="4" borderId="0" xfId="0" applyNumberFormat="1" applyFont="1" applyFill="1"/>
    <xf numFmtId="1" fontId="13" fillId="0" borderId="0" xfId="0" applyNumberFormat="1" applyFont="1" applyAlignment="1">
      <alignment horizontal="center"/>
    </xf>
    <xf numFmtId="1" fontId="14" fillId="0" borderId="0" xfId="0" applyNumberFormat="1" applyFont="1" applyAlignment="1">
      <alignment horizontal="center"/>
    </xf>
    <xf numFmtId="1" fontId="15" fillId="0" borderId="0" xfId="0" applyNumberFormat="1" applyFont="1" applyAlignment="1">
      <alignment horizontal="center"/>
    </xf>
    <xf numFmtId="1" fontId="0" fillId="0" borderId="0" xfId="0" applyNumberFormat="1" applyAlignment="1">
      <alignment horizontal="center"/>
    </xf>
    <xf numFmtId="0" fontId="0" fillId="0" borderId="0" xfId="0" applyAlignment="1">
      <alignment wrapText="1"/>
    </xf>
    <xf numFmtId="0" fontId="5" fillId="9" borderId="4" xfId="0" applyFont="1" applyFill="1" applyBorder="1"/>
    <xf numFmtId="0" fontId="13" fillId="0" borderId="0" xfId="0" applyFont="1" applyAlignment="1">
      <alignment horizontal="center"/>
    </xf>
    <xf numFmtId="165" fontId="20" fillId="0" borderId="4" xfId="0" applyNumberFormat="1" applyFont="1" applyBorder="1" applyAlignment="1">
      <alignment horizontal="right"/>
    </xf>
    <xf numFmtId="165" fontId="20" fillId="0" borderId="4" xfId="0" applyNumberFormat="1" applyFont="1" applyBorder="1"/>
    <xf numFmtId="165" fontId="20" fillId="0" borderId="5" xfId="0" applyNumberFormat="1" applyFont="1" applyBorder="1" applyAlignment="1">
      <alignment horizontal="right"/>
    </xf>
    <xf numFmtId="0" fontId="43" fillId="0" borderId="0" xfId="0" applyFont="1"/>
    <xf numFmtId="2" fontId="16" fillId="0" borderId="0" xfId="0" applyNumberFormat="1" applyFont="1"/>
    <xf numFmtId="0" fontId="20" fillId="12" borderId="3" xfId="0" applyFont="1" applyFill="1" applyBorder="1"/>
    <xf numFmtId="0" fontId="20" fillId="12" borderId="4" xfId="0" applyFont="1" applyFill="1" applyBorder="1"/>
    <xf numFmtId="0" fontId="25" fillId="0" borderId="4" xfId="0" applyFont="1" applyBorder="1" applyAlignment="1">
      <alignment horizontal="right"/>
    </xf>
    <xf numFmtId="0" fontId="32" fillId="0" borderId="4" xfId="0" applyFont="1" applyBorder="1"/>
    <xf numFmtId="0" fontId="25" fillId="0" borderId="4" xfId="0" applyFont="1" applyBorder="1"/>
    <xf numFmtId="0" fontId="20" fillId="12" borderId="9" xfId="0" applyFont="1" applyFill="1" applyBorder="1"/>
    <xf numFmtId="0" fontId="20" fillId="12" borderId="5" xfId="0" applyFont="1" applyFill="1" applyBorder="1"/>
    <xf numFmtId="0" fontId="25" fillId="0" borderId="5" xfId="0" applyFont="1" applyBorder="1" applyAlignment="1">
      <alignment horizontal="right"/>
    </xf>
    <xf numFmtId="0" fontId="40" fillId="22" borderId="0" xfId="0" applyFont="1" applyFill="1" applyProtection="1">
      <protection locked="0"/>
    </xf>
    <xf numFmtId="2" fontId="39" fillId="22" borderId="0" xfId="0" applyNumberFormat="1" applyFont="1" applyFill="1" applyProtection="1">
      <protection locked="0"/>
    </xf>
    <xf numFmtId="0" fontId="40" fillId="23" borderId="0" xfId="0" applyFont="1" applyFill="1" applyProtection="1">
      <protection locked="0"/>
    </xf>
    <xf numFmtId="2" fontId="0" fillId="23" borderId="0" xfId="0" applyNumberFormat="1" applyFill="1" applyProtection="1">
      <protection locked="0"/>
    </xf>
    <xf numFmtId="0" fontId="39" fillId="22" borderId="0" xfId="0" applyFont="1" applyFill="1" applyProtection="1">
      <protection locked="0"/>
    </xf>
    <xf numFmtId="0" fontId="0" fillId="23" borderId="0" xfId="0" applyFill="1" applyProtection="1">
      <protection locked="0"/>
    </xf>
    <xf numFmtId="0" fontId="0" fillId="23" borderId="0" xfId="0" applyFill="1"/>
    <xf numFmtId="0" fontId="30" fillId="24" borderId="6" xfId="0" applyFont="1" applyFill="1" applyBorder="1"/>
    <xf numFmtId="0" fontId="30" fillId="24" borderId="7" xfId="0" applyFont="1" applyFill="1" applyBorder="1"/>
    <xf numFmtId="0" fontId="30" fillId="24" borderId="8" xfId="0" applyFont="1" applyFill="1" applyBorder="1"/>
    <xf numFmtId="0" fontId="4" fillId="0" borderId="11" xfId="0" applyFont="1" applyBorder="1" applyAlignment="1">
      <alignment horizontal="left"/>
    </xf>
    <xf numFmtId="0" fontId="0" fillId="0" borderId="11" xfId="0" applyBorder="1" applyAlignment="1">
      <alignment horizontal="left"/>
    </xf>
    <xf numFmtId="0" fontId="3" fillId="9" borderId="3" xfId="0" applyFont="1" applyFill="1" applyBorder="1"/>
    <xf numFmtId="0" fontId="3" fillId="0" borderId="11" xfId="0" applyFont="1" applyBorder="1" applyAlignment="1">
      <alignment horizontal="left"/>
    </xf>
    <xf numFmtId="0" fontId="3" fillId="9" borderId="4" xfId="0" applyFont="1" applyFill="1" applyBorder="1"/>
    <xf numFmtId="0" fontId="3" fillId="2" borderId="4" xfId="0" applyFont="1" applyFill="1" applyBorder="1" applyAlignment="1">
      <alignment horizontal="right"/>
    </xf>
    <xf numFmtId="0" fontId="38" fillId="0" borderId="0" xfId="0" applyFont="1"/>
    <xf numFmtId="0" fontId="2" fillId="7" borderId="4" xfId="0" applyFont="1" applyFill="1" applyBorder="1"/>
    <xf numFmtId="2" fontId="13" fillId="26" borderId="0" xfId="0" applyNumberFormat="1" applyFont="1" applyFill="1"/>
    <xf numFmtId="2" fontId="13" fillId="27" borderId="0" xfId="0" applyNumberFormat="1" applyFont="1" applyFill="1"/>
    <xf numFmtId="2" fontId="13" fillId="26" borderId="0" xfId="0" applyNumberFormat="1" applyFont="1" applyFill="1" applyAlignment="1">
      <alignment horizontal="right"/>
    </xf>
    <xf numFmtId="0" fontId="46" fillId="0" borderId="0" xfId="0" applyFont="1" applyProtection="1">
      <protection locked="0"/>
    </xf>
    <xf numFmtId="2" fontId="46" fillId="0" borderId="0" xfId="0" applyNumberFormat="1" applyFont="1" applyAlignment="1" applyProtection="1">
      <alignment horizontal="center" vertical="center"/>
      <protection locked="0"/>
    </xf>
    <xf numFmtId="0" fontId="0" fillId="0" borderId="0" xfId="0" applyAlignment="1" applyProtection="1">
      <alignment horizontal="left"/>
      <protection locked="0"/>
    </xf>
    <xf numFmtId="1" fontId="0" fillId="0" borderId="0" xfId="0" applyNumberFormat="1" applyProtection="1">
      <protection locked="0"/>
    </xf>
    <xf numFmtId="2" fontId="0" fillId="0" borderId="0" xfId="0" applyNumberFormat="1" applyProtection="1">
      <protection locked="0"/>
    </xf>
    <xf numFmtId="0" fontId="40" fillId="0" borderId="0" xfId="0" applyFont="1" applyAlignment="1" applyProtection="1">
      <alignment horizontal="left"/>
      <protection locked="0"/>
    </xf>
    <xf numFmtId="0" fontId="1" fillId="14" borderId="4" xfId="0" applyFont="1" applyFill="1" applyBorder="1"/>
    <xf numFmtId="2" fontId="16" fillId="26" borderId="0" xfId="0" applyNumberFormat="1" applyFont="1" applyFill="1"/>
    <xf numFmtId="0" fontId="14" fillId="26" borderId="0" xfId="0" applyFont="1" applyFill="1" applyAlignment="1">
      <alignment horizontal="right"/>
    </xf>
    <xf numFmtId="0" fontId="15" fillId="0" borderId="20" xfId="0" applyFont="1" applyBorder="1"/>
    <xf numFmtId="0" fontId="15" fillId="29" borderId="20" xfId="0" applyFont="1" applyFill="1" applyBorder="1"/>
    <xf numFmtId="0" fontId="15" fillId="29" borderId="19" xfId="0" applyFont="1" applyFill="1" applyBorder="1"/>
    <xf numFmtId="1" fontId="15" fillId="29" borderId="20" xfId="0" applyNumberFormat="1" applyFont="1" applyFill="1" applyBorder="1"/>
    <xf numFmtId="2" fontId="15" fillId="29" borderId="21" xfId="0" applyNumberFormat="1" applyFont="1" applyFill="1" applyBorder="1"/>
    <xf numFmtId="0" fontId="15" fillId="0" borderId="19" xfId="0" applyFont="1" applyBorder="1"/>
    <xf numFmtId="1" fontId="15" fillId="0" borderId="20" xfId="0" applyNumberFormat="1" applyFont="1" applyBorder="1"/>
    <xf numFmtId="2" fontId="15" fillId="0" borderId="21" xfId="0" applyNumberFormat="1" applyFont="1" applyBorder="1"/>
    <xf numFmtId="0" fontId="13" fillId="29" borderId="19" xfId="0" applyFont="1" applyFill="1" applyBorder="1"/>
    <xf numFmtId="0" fontId="13" fillId="29" borderId="20" xfId="0" applyFont="1" applyFill="1" applyBorder="1"/>
    <xf numFmtId="2" fontId="13" fillId="29" borderId="20" xfId="0" applyNumberFormat="1" applyFont="1" applyFill="1" applyBorder="1" applyAlignment="1">
      <alignment horizontal="right"/>
    </xf>
    <xf numFmtId="2" fontId="48" fillId="26" borderId="21" xfId="0" applyNumberFormat="1" applyFont="1" applyFill="1" applyBorder="1"/>
    <xf numFmtId="0" fontId="13" fillId="0" borderId="19" xfId="0" applyFont="1" applyBorder="1"/>
    <xf numFmtId="0" fontId="13" fillId="0" borderId="20" xfId="0" applyFont="1" applyBorder="1"/>
    <xf numFmtId="2" fontId="13" fillId="0" borderId="20" xfId="0" applyNumberFormat="1" applyFont="1" applyBorder="1" applyAlignment="1">
      <alignment horizontal="right"/>
    </xf>
    <xf numFmtId="2" fontId="48" fillId="29" borderId="21" xfId="0" applyNumberFormat="1" applyFont="1" applyFill="1" applyBorder="1"/>
    <xf numFmtId="2" fontId="13" fillId="26" borderId="20" xfId="0" applyNumberFormat="1" applyFont="1" applyFill="1" applyBorder="1" applyAlignment="1">
      <alignment horizontal="right"/>
    </xf>
    <xf numFmtId="2" fontId="48" fillId="0" borderId="21" xfId="0" applyNumberFormat="1" applyFont="1" applyBorder="1"/>
    <xf numFmtId="2" fontId="13" fillId="29" borderId="20" xfId="0" applyNumberFormat="1" applyFont="1" applyFill="1" applyBorder="1"/>
    <xf numFmtId="2" fontId="13" fillId="26" borderId="20" xfId="0" applyNumberFormat="1" applyFont="1" applyFill="1" applyBorder="1"/>
    <xf numFmtId="0" fontId="14" fillId="29" borderId="19" xfId="0" applyFont="1" applyFill="1" applyBorder="1"/>
    <xf numFmtId="0" fontId="14" fillId="29" borderId="20" xfId="0" applyFont="1" applyFill="1" applyBorder="1"/>
    <xf numFmtId="2" fontId="14" fillId="29" borderId="20" xfId="0" applyNumberFormat="1" applyFont="1" applyFill="1" applyBorder="1" applyAlignment="1">
      <alignment horizontal="right"/>
    </xf>
    <xf numFmtId="2" fontId="14" fillId="0" borderId="20" xfId="0" applyNumberFormat="1" applyFont="1" applyBorder="1"/>
    <xf numFmtId="0" fontId="14" fillId="0" borderId="20" xfId="0" applyFont="1" applyBorder="1"/>
    <xf numFmtId="0" fontId="14" fillId="26" borderId="20" xfId="0" applyFont="1" applyFill="1" applyBorder="1" applyAlignment="1">
      <alignment horizontal="right"/>
    </xf>
    <xf numFmtId="0" fontId="14" fillId="0" borderId="19" xfId="0" applyFont="1" applyBorder="1"/>
    <xf numFmtId="0" fontId="14" fillId="0" borderId="20" xfId="0" applyFont="1" applyBorder="1" applyAlignment="1">
      <alignment horizontal="right"/>
    </xf>
    <xf numFmtId="0" fontId="13" fillId="0" borderId="20" xfId="0" applyFont="1" applyBorder="1" applyAlignment="1">
      <alignment wrapText="1"/>
    </xf>
    <xf numFmtId="0" fontId="13" fillId="0" borderId="21" xfId="0" applyFont="1" applyBorder="1"/>
    <xf numFmtId="0" fontId="13" fillId="29" borderId="21" xfId="0" applyFont="1" applyFill="1" applyBorder="1"/>
    <xf numFmtId="0" fontId="13" fillId="0" borderId="19" xfId="0" applyFont="1" applyBorder="1" applyAlignment="1">
      <alignment wrapText="1"/>
    </xf>
    <xf numFmtId="2" fontId="13" fillId="0" borderId="20" xfId="0" applyNumberFormat="1" applyFont="1" applyBorder="1"/>
    <xf numFmtId="0" fontId="13" fillId="29" borderId="19" xfId="0" applyFont="1" applyFill="1" applyBorder="1" applyAlignment="1">
      <alignment wrapText="1"/>
    </xf>
    <xf numFmtId="0" fontId="47" fillId="28" borderId="22" xfId="0" applyFont="1" applyFill="1" applyBorder="1"/>
    <xf numFmtId="0" fontId="47" fillId="28" borderId="23" xfId="0" applyFont="1" applyFill="1" applyBorder="1"/>
    <xf numFmtId="0" fontId="47" fillId="28" borderId="24" xfId="0" applyFont="1" applyFill="1" applyBorder="1"/>
    <xf numFmtId="0" fontId="38" fillId="0" borderId="0" xfId="0" applyFont="1" applyAlignment="1">
      <alignment horizontal="center"/>
    </xf>
    <xf numFmtId="0" fontId="13" fillId="29" borderId="20" xfId="0" applyFont="1" applyFill="1" applyBorder="1" applyAlignment="1">
      <alignment wrapText="1"/>
    </xf>
    <xf numFmtId="0" fontId="13" fillId="29" borderId="0" xfId="0" applyFont="1" applyFill="1"/>
    <xf numFmtId="0" fontId="0" fillId="0" borderId="20" xfId="0" applyBorder="1"/>
    <xf numFmtId="0" fontId="15" fillId="29" borderId="0" xfId="0" applyFont="1" applyFill="1"/>
    <xf numFmtId="0" fontId="42" fillId="3" borderId="0" xfId="0" applyFont="1" applyFill="1" applyAlignment="1">
      <alignment horizontal="center"/>
    </xf>
    <xf numFmtId="0" fontId="29" fillId="0" borderId="17" xfId="0" applyFont="1" applyBorder="1" applyAlignment="1">
      <alignment horizontal="center"/>
    </xf>
    <xf numFmtId="0" fontId="0" fillId="0" borderId="17" xfId="0" applyBorder="1" applyAlignment="1">
      <alignment horizontal="center"/>
    </xf>
    <xf numFmtId="0" fontId="44" fillId="3" borderId="25" xfId="0" applyFont="1" applyFill="1" applyBorder="1" applyAlignment="1">
      <alignment horizontal="center"/>
    </xf>
    <xf numFmtId="0" fontId="44" fillId="3" borderId="26" xfId="0" applyFont="1" applyFill="1" applyBorder="1" applyAlignment="1">
      <alignment horizontal="center"/>
    </xf>
    <xf numFmtId="0" fontId="20" fillId="11" borderId="11" xfId="0" applyFont="1" applyFill="1" applyBorder="1"/>
    <xf numFmtId="0" fontId="4" fillId="0" borderId="4" xfId="0" applyFont="1" applyBorder="1" applyAlignment="1">
      <alignment horizontal="left"/>
    </xf>
    <xf numFmtId="0" fontId="4" fillId="0" borderId="15" xfId="0" applyFont="1" applyBorder="1" applyAlignment="1">
      <alignment horizontal="left"/>
    </xf>
    <xf numFmtId="0" fontId="29" fillId="0" borderId="18" xfId="0" applyFont="1" applyBorder="1" applyAlignment="1">
      <alignment horizontal="center"/>
    </xf>
    <xf numFmtId="0" fontId="45" fillId="3" borderId="11" xfId="0" applyFont="1" applyFill="1" applyBorder="1" applyAlignment="1">
      <alignment horizontal="center" vertical="center"/>
    </xf>
    <xf numFmtId="0" fontId="22" fillId="10" borderId="0" xfId="0" applyFont="1" applyFill="1" applyAlignment="1">
      <alignment horizontal="center"/>
    </xf>
    <xf numFmtId="0" fontId="0" fillId="0" borderId="0" xfId="0"/>
    <xf numFmtId="0" fontId="22" fillId="8" borderId="0" xfId="0" applyFont="1" applyFill="1" applyAlignment="1">
      <alignment horizontal="center"/>
    </xf>
    <xf numFmtId="0" fontId="13" fillId="0" borderId="0" xfId="0" applyFont="1" applyAlignment="1">
      <alignment horizontal="center"/>
    </xf>
    <xf numFmtId="0" fontId="22" fillId="6" borderId="1" xfId="0" applyFont="1" applyFill="1" applyBorder="1" applyAlignment="1">
      <alignment horizontal="center"/>
    </xf>
    <xf numFmtId="0" fontId="23" fillId="0" borderId="2" xfId="0" applyFont="1" applyBorder="1"/>
    <xf numFmtId="0" fontId="23" fillId="0" borderId="3" xfId="0" applyFont="1" applyBorder="1"/>
    <xf numFmtId="0" fontId="30" fillId="24" borderId="0" xfId="0" applyFont="1" applyFill="1" applyAlignment="1">
      <alignment horizontal="center"/>
    </xf>
    <xf numFmtId="0" fontId="0" fillId="25" borderId="0" xfId="0" applyFill="1"/>
    <xf numFmtId="0" fontId="22" fillId="13" borderId="0" xfId="0" applyFont="1" applyFill="1" applyAlignment="1">
      <alignment horizontal="center"/>
    </xf>
    <xf numFmtId="0" fontId="33" fillId="7" borderId="1" xfId="0" applyFont="1" applyFill="1" applyBorder="1" applyAlignment="1">
      <alignment horizontal="center"/>
    </xf>
    <xf numFmtId="0" fontId="22" fillId="15" borderId="0" xfId="0" applyFont="1" applyFill="1" applyAlignment="1">
      <alignment horizontal="center"/>
    </xf>
    <xf numFmtId="0" fontId="35" fillId="16" borderId="0" xfId="0" applyFont="1" applyFill="1" applyAlignment="1">
      <alignment horizontal="center"/>
    </xf>
    <xf numFmtId="0" fontId="36" fillId="15" borderId="0" xfId="0" applyFont="1" applyFill="1" applyAlignment="1">
      <alignment horizontal="center"/>
    </xf>
    <xf numFmtId="0" fontId="37" fillId="19" borderId="13" xfId="0" applyFont="1" applyFill="1" applyBorder="1" applyAlignment="1">
      <alignment horizontal="center" wrapText="1"/>
    </xf>
    <xf numFmtId="0" fontId="37" fillId="19" borderId="0" xfId="0" applyFont="1" applyFill="1" applyAlignment="1">
      <alignment horizontal="center" wrapText="1"/>
    </xf>
    <xf numFmtId="0" fontId="36" fillId="10" borderId="0" xfId="0" applyFont="1" applyFill="1" applyAlignment="1">
      <alignment horizontal="center"/>
    </xf>
  </cellXfs>
  <cellStyles count="1">
    <cellStyle name="Normal" xfId="0" builtinId="0"/>
  </cellStyles>
  <dxfs count="154">
    <dxf>
      <font>
        <b val="0"/>
        <i val="0"/>
        <strike val="0"/>
        <condense val="0"/>
        <extend val="0"/>
        <outline val="0"/>
        <shadow val="0"/>
        <u val="none"/>
        <vertAlign val="baseline"/>
        <sz val="11"/>
        <color rgb="FF000000"/>
        <name val="Arial"/>
        <family val="2"/>
        <scheme val="none"/>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none"/>
      </font>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none"/>
      </font>
      <fill>
        <patternFill patternType="solid">
          <fgColor rgb="FFFCE5CD"/>
          <bgColor rgb="FFFCE5CD"/>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none"/>
      </font>
      <fill>
        <patternFill patternType="solid">
          <fgColor rgb="FFFCE5CD"/>
          <bgColor rgb="FFFCE5CD"/>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none"/>
      </font>
      <fill>
        <patternFill patternType="solid">
          <fgColor rgb="FFFCE5CD"/>
          <bgColor rgb="FFFCE5CD"/>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6"/>
        <color rgb="FFFFFFFF"/>
        <name val="Arial"/>
        <family val="2"/>
        <scheme val="none"/>
      </font>
      <fill>
        <patternFill patternType="solid">
          <fgColor rgb="FFE69138"/>
          <bgColor rgb="FFE69138"/>
        </patternFill>
      </fill>
      <border diagonalUp="0" diagonalDown="0" outline="0">
        <left style="thin">
          <color rgb="FF000000"/>
        </left>
        <right style="thin">
          <color rgb="FF000000"/>
        </right>
        <top/>
        <bottom/>
      </border>
    </dxf>
    <dxf>
      <font>
        <b val="0"/>
        <i val="0"/>
        <strike val="0"/>
        <condense val="0"/>
        <extend val="0"/>
        <outline val="0"/>
        <shadow val="0"/>
        <u val="none"/>
        <vertAlign val="baseline"/>
        <sz val="11"/>
        <color rgb="FF000000"/>
        <name val="Arial"/>
        <family val="2"/>
        <scheme val="minor"/>
      </font>
      <numFmt numFmtId="2" formatCode="0.00"/>
      <fill>
        <patternFill patternType="solid">
          <fgColor indexed="64"/>
          <bgColor rgb="FFFFFFFF"/>
        </patternFill>
      </fill>
      <alignment horizontal="right" vertical="bottom"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0000"/>
        <name val="Arial"/>
        <family val="2"/>
        <scheme val="minor"/>
      </font>
      <numFmt numFmtId="1" formatCode="0"/>
      <fill>
        <patternFill patternType="solid">
          <fgColor indexed="64"/>
          <bgColor rgb="FFFFFFFF"/>
        </patternFill>
      </fill>
      <alignment horizontal="right"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2"/>
        <color theme="1"/>
        <name val="Arial"/>
        <family val="2"/>
        <scheme val="minor"/>
      </font>
      <fill>
        <patternFill patternType="solid">
          <fgColor rgb="FFA4C2F4"/>
          <bgColor rgb="FFA4C2F4"/>
        </patternFill>
      </fill>
      <border diagonalUp="0" diagonalDown="0">
        <left style="thin">
          <color rgb="FF000000"/>
        </left>
        <right/>
        <top style="thin">
          <color rgb="FF000000"/>
        </top>
        <bottom/>
        <vertical/>
        <horizontal/>
      </border>
    </dxf>
    <dxf>
      <font>
        <b val="0"/>
        <i val="0"/>
        <strike val="0"/>
        <condense val="0"/>
        <extend val="0"/>
        <outline val="0"/>
        <shadow val="0"/>
        <u val="none"/>
        <vertAlign val="baseline"/>
        <sz val="12"/>
        <color theme="1"/>
        <name val="Arial"/>
        <family val="2"/>
        <scheme val="minor"/>
      </font>
      <fill>
        <patternFill patternType="solid">
          <fgColor rgb="FFA4C2F4"/>
          <bgColor rgb="FFA4C2F4"/>
        </patternFill>
      </fill>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2"/>
        <color theme="1"/>
        <name val="Arial"/>
        <family val="2"/>
        <scheme val="minor"/>
      </font>
      <fill>
        <patternFill patternType="solid">
          <fgColor rgb="FFA4C2F4"/>
          <bgColor rgb="FFA4C2F4"/>
        </patternFill>
      </fill>
      <border diagonalUp="0" diagonalDown="0">
        <left style="thin">
          <color rgb="FF000000"/>
        </left>
        <right style="thin">
          <color rgb="FF000000"/>
        </right>
        <top style="thin">
          <color rgb="FF000000"/>
        </top>
        <bottom/>
        <vertical/>
        <horizontal/>
      </border>
    </dxf>
    <dxf>
      <border outline="0">
        <right style="thin">
          <color auto="1"/>
        </right>
        <bottom style="thin">
          <color auto="1"/>
        </bottom>
      </border>
    </dxf>
    <dxf>
      <font>
        <b/>
        <i val="0"/>
        <strike val="0"/>
        <condense val="0"/>
        <extend val="0"/>
        <outline val="0"/>
        <shadow val="0"/>
        <u val="none"/>
        <vertAlign val="baseline"/>
        <sz val="14"/>
        <color rgb="FFFFFFFF"/>
        <name val="Arial"/>
        <family val="2"/>
        <scheme val="none"/>
      </font>
      <fill>
        <patternFill patternType="solid">
          <fgColor rgb="FF7F6000"/>
          <bgColor theme="4"/>
        </patternFill>
      </fill>
    </dxf>
    <dxf>
      <font>
        <b val="0"/>
        <i val="0"/>
        <strike val="0"/>
        <condense val="0"/>
        <extend val="0"/>
        <outline val="0"/>
        <shadow val="0"/>
        <u val="none"/>
        <vertAlign val="baseline"/>
        <sz val="11"/>
        <color rgb="FF000000"/>
        <name val="Arial"/>
        <family val="2"/>
        <scheme val="none"/>
      </font>
      <numFmt numFmtId="2" formatCode="0.00"/>
      <fill>
        <patternFill patternType="solid">
          <fgColor rgb="FFFFFFFF"/>
          <bgColor rgb="FFFFFFFF"/>
        </patternFill>
      </fill>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theme="1"/>
        <name val="Arial"/>
        <family val="2"/>
        <scheme val="none"/>
      </font>
      <numFmt numFmtId="165" formatCode="0.0"/>
      <alignment horizontal="right"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Arial"/>
        <family val="2"/>
        <scheme val="none"/>
      </font>
      <fill>
        <patternFill patternType="solid">
          <fgColor rgb="FFC9DAF8"/>
          <bgColor rgb="FFC9DAF8"/>
        </patternFill>
      </fill>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Arial"/>
        <family val="2"/>
        <scheme val="none"/>
      </font>
      <fill>
        <patternFill patternType="solid">
          <fgColor rgb="FFC9DAF8"/>
          <bgColor rgb="FFC9DAF8"/>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none"/>
      </font>
      <fill>
        <patternFill patternType="solid">
          <fgColor rgb="FFC9DAF8"/>
          <bgColor rgb="FFC9DAF8"/>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6"/>
        <color rgb="FFFFFFFF"/>
        <name val="Arial"/>
        <family val="2"/>
        <scheme val="none"/>
      </font>
      <fill>
        <patternFill patternType="solid">
          <fgColor rgb="FF3D85C6"/>
          <bgColor rgb="FF3D85C6"/>
        </patternFill>
      </fill>
      <border diagonalUp="0" diagonalDown="0" outline="0">
        <left style="thin">
          <color rgb="FF000000"/>
        </left>
        <right style="thin">
          <color rgb="FF000000"/>
        </right>
        <top/>
        <bottom/>
      </border>
    </dxf>
    <dxf>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none"/>
      </font>
      <fill>
        <patternFill patternType="solid">
          <fgColor rgb="FFD9D2E9"/>
          <bgColor rgb="FFD9D2E9"/>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none"/>
      </font>
      <fill>
        <patternFill patternType="solid">
          <fgColor rgb="FFD9D2E9"/>
          <bgColor rgb="FFD9D2E9"/>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none"/>
      </font>
      <fill>
        <patternFill patternType="solid">
          <fgColor rgb="FFD9D2E9"/>
          <bgColor rgb="FFD9D2E9"/>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6"/>
        <color rgb="FFFFFFFF"/>
        <name val="Arial"/>
        <family val="2"/>
        <scheme val="none"/>
      </font>
      <fill>
        <patternFill patternType="solid">
          <fgColor rgb="FF674EA7"/>
          <bgColor rgb="FF674EA7"/>
        </patternFill>
      </fill>
      <border diagonalUp="0" diagonalDown="0" outline="0">
        <left style="thin">
          <color rgb="FF000000"/>
        </left>
        <right style="thin">
          <color rgb="FF000000"/>
        </right>
        <top/>
        <bottom/>
      </border>
    </dxf>
    <dxf>
      <font>
        <b val="0"/>
        <i val="0"/>
        <strike val="0"/>
        <condense val="0"/>
        <extend val="0"/>
        <outline val="0"/>
        <shadow val="0"/>
        <u val="none"/>
        <vertAlign val="baseline"/>
        <sz val="11"/>
        <color rgb="FF000000"/>
        <name val="Arial"/>
        <family val="2"/>
        <scheme val="minor"/>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rgb="FF000000"/>
        <name val="Arial"/>
        <family val="2"/>
        <scheme val="minor"/>
      </font>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family val="2"/>
        <scheme val="minor"/>
      </font>
      <fill>
        <patternFill patternType="solid">
          <fgColor rgb="FFA4C2F4"/>
          <bgColor rgb="FFA4C2F4"/>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family val="2"/>
        <scheme val="minor"/>
      </font>
      <fill>
        <patternFill patternType="solid">
          <fgColor rgb="FFA4C2F4"/>
          <bgColor rgb="FFA4C2F4"/>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A4C2F4"/>
          <bgColor rgb="FFA4C2F4"/>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4"/>
        <color rgb="FFFFFFFF"/>
        <name val="Arial"/>
        <family val="2"/>
        <scheme val="none"/>
      </font>
      <fill>
        <patternFill patternType="solid">
          <fgColor rgb="FF3D85C6"/>
          <bgColor rgb="FF3D85C6"/>
        </patternFill>
      </fill>
      <border diagonalUp="0" diagonalDown="0" outline="0">
        <left style="thin">
          <color rgb="FF000000"/>
        </left>
        <right style="thin">
          <color rgb="FF000000"/>
        </right>
        <top/>
        <bottom/>
      </border>
    </dxf>
    <dxf>
      <font>
        <b val="0"/>
        <i val="0"/>
        <strike val="0"/>
        <condense val="0"/>
        <extend val="0"/>
        <outline val="0"/>
        <shadow val="0"/>
        <u val="none"/>
        <vertAlign val="baseline"/>
        <sz val="11"/>
        <color theme="1"/>
        <name val="Arial"/>
        <family val="2"/>
        <scheme val="minor"/>
      </font>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EAD1DC"/>
          <bgColor rgb="FFEAD1DC"/>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EAD1DC"/>
          <bgColor rgb="FFEAD1DC"/>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EAD1DC"/>
          <bgColor rgb="FFEAD1DC"/>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6"/>
        <color rgb="FFFFFFFF"/>
        <name val="Arial"/>
        <family val="2"/>
        <scheme val="minor"/>
      </font>
      <fill>
        <patternFill patternType="solid">
          <fgColor rgb="FFEAD1DC"/>
          <bgColor rgb="FFEAD1DC"/>
        </patternFill>
      </fill>
      <border diagonalUp="0" diagonalDown="0" outline="0">
        <left style="thin">
          <color rgb="FF000000"/>
        </left>
        <right style="thin">
          <color rgb="FF000000"/>
        </right>
        <top/>
        <bottom/>
      </border>
    </dxf>
    <dxf>
      <font>
        <b val="0"/>
        <i val="0"/>
        <strike val="0"/>
        <condense val="0"/>
        <extend val="0"/>
        <outline val="0"/>
        <shadow val="0"/>
        <u val="none"/>
        <vertAlign val="baseline"/>
        <sz val="11"/>
        <color rgb="FF000000"/>
        <name val="Arial"/>
        <family val="2"/>
        <scheme val="minor"/>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FFFF"/>
          <bgColor rgb="FFFFFFFF"/>
        </patternFill>
      </fill>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EBB1"/>
          <bgColor rgb="FFFFEBB1"/>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EBB1"/>
          <bgColor rgb="FFFFEBB1"/>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EBB1"/>
          <bgColor rgb="FFFFEBB1"/>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4"/>
        <color rgb="FFFFFFFF"/>
        <name val="Arial"/>
        <family val="2"/>
        <scheme val="none"/>
      </font>
      <fill>
        <patternFill patternType="solid">
          <fgColor rgb="FFF1C232"/>
          <bgColor rgb="FFF1C232"/>
        </patternFill>
      </fill>
      <border diagonalUp="0" diagonalDown="0" outline="0">
        <left style="thin">
          <color rgb="FF000000"/>
        </left>
        <right style="thin">
          <color rgb="FF000000"/>
        </right>
        <top/>
        <bottom/>
      </border>
    </dxf>
    <dxf>
      <font>
        <b val="0"/>
        <i val="0"/>
        <strike val="0"/>
        <condense val="0"/>
        <extend val="0"/>
        <outline val="0"/>
        <shadow val="0"/>
        <u val="none"/>
        <vertAlign val="baseline"/>
        <sz val="11"/>
        <color rgb="FF000000"/>
        <name val="Arial"/>
        <family val="2"/>
        <scheme val="minor"/>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protection locked="1" hidden="0"/>
    </dxf>
    <dxf>
      <font>
        <b val="0"/>
        <i val="0"/>
        <strike val="0"/>
        <condense val="0"/>
        <extend val="0"/>
        <outline val="0"/>
        <shadow val="0"/>
        <u val="none"/>
        <vertAlign val="baseline"/>
        <sz val="12"/>
        <color theme="1"/>
        <name val="Calibri"/>
        <family val="2"/>
        <scheme val="none"/>
      </font>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1" hidden="0"/>
    </dxf>
    <dxf>
      <font>
        <b val="0"/>
        <i val="0"/>
        <strike val="0"/>
        <condense val="0"/>
        <extend val="0"/>
        <outline val="0"/>
        <shadow val="0"/>
        <u val="none"/>
        <vertAlign val="baseline"/>
        <sz val="11"/>
        <color theme="1"/>
        <name val="Arial"/>
        <family val="2"/>
        <scheme val="none"/>
      </font>
      <fill>
        <patternFill patternType="solid">
          <fgColor rgb="FFEA9999"/>
          <bgColor rgb="FFEA9999"/>
        </patternFill>
      </fill>
      <border diagonalUp="0" diagonalDown="0">
        <left style="thin">
          <color rgb="FF000000"/>
        </left>
        <right style="thin">
          <color rgb="FF000000"/>
        </right>
        <top style="thin">
          <color rgb="FF000000"/>
        </top>
        <bottom style="thin">
          <color rgb="FF000000"/>
        </bottom>
        <vertical/>
        <horizontal/>
      </border>
      <protection locked="1" hidden="0"/>
    </dxf>
    <dxf>
      <font>
        <b val="0"/>
        <i val="0"/>
        <strike val="0"/>
        <condense val="0"/>
        <extend val="0"/>
        <outline val="0"/>
        <shadow val="0"/>
        <u val="none"/>
        <vertAlign val="baseline"/>
        <sz val="11"/>
        <color theme="1"/>
        <name val="Calibri"/>
        <family val="2"/>
        <scheme val="none"/>
      </font>
      <fill>
        <patternFill patternType="solid">
          <fgColor rgb="FFEA9999"/>
          <bgColor rgb="FFEA9999"/>
        </patternFill>
      </fill>
      <border diagonalUp="0" diagonalDown="0">
        <left style="thin">
          <color rgb="FF000000"/>
        </left>
        <right style="thin">
          <color rgb="FF000000"/>
        </right>
        <top style="thin">
          <color rgb="FF000000"/>
        </top>
        <bottom style="thin">
          <color rgb="FF000000"/>
        </bottom>
        <vertical/>
        <horizontal/>
      </border>
      <protection locked="1" hidden="0"/>
    </dxf>
    <dxf>
      <font>
        <b val="0"/>
        <i val="0"/>
        <strike val="0"/>
        <condense val="0"/>
        <extend val="0"/>
        <outline val="0"/>
        <shadow val="0"/>
        <u val="none"/>
        <vertAlign val="baseline"/>
        <sz val="11"/>
        <color theme="1"/>
        <name val="Arial"/>
        <family val="2"/>
        <scheme val="none"/>
      </font>
      <fill>
        <patternFill patternType="solid">
          <fgColor rgb="FFEA9999"/>
          <bgColor rgb="FFEA9999"/>
        </patternFill>
      </fill>
      <border diagonalUp="0" diagonalDown="0">
        <left/>
        <right style="thin">
          <color rgb="FF000000"/>
        </right>
        <top style="thin">
          <color rgb="FF000000"/>
        </top>
        <bottom style="thin">
          <color rgb="FF000000"/>
        </bottom>
        <vertical/>
        <horizontal/>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val="0"/>
        <strike val="0"/>
        <condense val="0"/>
        <extend val="0"/>
        <outline val="0"/>
        <shadow val="0"/>
        <u val="none"/>
        <vertAlign val="baseline"/>
        <sz val="15"/>
        <color rgb="FFFFFFFF"/>
        <name val="Arial"/>
        <family val="2"/>
        <scheme val="minor"/>
      </font>
      <fill>
        <patternFill patternType="solid">
          <fgColor rgb="FFCC0000"/>
          <bgColor rgb="FFEE2626"/>
        </patternFill>
      </fill>
      <border diagonalUp="0" diagonalDown="0" outline="0">
        <left style="thin">
          <color rgb="FF000000"/>
        </left>
        <right style="thin">
          <color rgb="FF000000"/>
        </right>
        <top/>
        <bottom/>
      </border>
      <protection locked="1" hidden="0"/>
    </dxf>
    <dxf>
      <font>
        <b val="0"/>
        <i val="0"/>
        <strike val="0"/>
        <condense val="0"/>
        <extend val="0"/>
        <outline val="0"/>
        <shadow val="0"/>
        <u val="none"/>
        <vertAlign val="baseline"/>
        <sz val="11"/>
        <color rgb="FF000000"/>
        <name val="Arial"/>
        <family val="2"/>
        <scheme val="minor"/>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EAD1DC"/>
          <bgColor rgb="FFEAD1DC"/>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EAD1DC"/>
          <bgColor rgb="FFEAD1DC"/>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EAD1DC"/>
          <bgColor rgb="FFEAD1DC"/>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4"/>
        <color rgb="FFFFFFFF"/>
        <name val="Arial"/>
        <family val="2"/>
        <scheme val="none"/>
      </font>
      <fill>
        <patternFill patternType="solid">
          <fgColor rgb="FFE06666"/>
          <bgColor rgb="FFE06666"/>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1"/>
        <color rgb="FF000000"/>
        <name val="Arial"/>
        <family val="2"/>
        <scheme val="minor"/>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FFFF"/>
          <bgColor rgb="FFFFFFFF"/>
        </patternFill>
      </fill>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7D979"/>
          <bgColor rgb="FFF7D979"/>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7D979"/>
          <bgColor rgb="FFF7D979"/>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7D979"/>
          <bgColor rgb="FFF7D979"/>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4"/>
        <color rgb="FFFFFFFF"/>
        <name val="Arial"/>
        <family val="2"/>
        <scheme val="none"/>
      </font>
      <fill>
        <patternFill patternType="solid">
          <fgColor rgb="FF7F6000"/>
          <bgColor rgb="FF7F6000"/>
        </patternFill>
      </fill>
      <border diagonalUp="0" diagonalDown="0" outline="0">
        <left style="thin">
          <color rgb="FF000000"/>
        </left>
        <right style="thin">
          <color rgb="FF000000"/>
        </right>
        <top/>
        <bottom/>
      </border>
    </dxf>
    <dxf>
      <font>
        <b val="0"/>
        <i val="0"/>
        <strike val="0"/>
        <condense val="0"/>
        <extend val="0"/>
        <outline val="0"/>
        <shadow val="0"/>
        <u val="none"/>
        <vertAlign val="baseline"/>
        <sz val="11"/>
        <color rgb="FF000000"/>
        <name val="Arial"/>
        <family val="2"/>
        <scheme val="minor"/>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CE5CD"/>
          <bgColor rgb="FFFCE5CD"/>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CE5CD"/>
          <bgColor rgb="FFFCE5CD"/>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CE5CD"/>
          <bgColor rgb="FFFCE5CD"/>
        </patternFill>
      </fill>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4"/>
        <color rgb="FFFFFFFF"/>
        <name val="Arial"/>
        <family val="2"/>
        <scheme val="none"/>
      </font>
      <fill>
        <patternFill patternType="solid">
          <fgColor rgb="FFE69138"/>
          <bgColor rgb="FFE69138"/>
        </patternFill>
      </fill>
      <border diagonalUp="0" diagonalDown="0" outline="0">
        <left style="thin">
          <color rgb="FF000000"/>
        </left>
        <right style="thin">
          <color rgb="FF000000"/>
        </right>
        <top/>
        <bottom/>
      </border>
    </dxf>
    <dxf>
      <alignment horizontal="center" vertical="bottom"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minor"/>
      </font>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rgb="FFFFFFFF"/>
        <name val="&quot;Open Sans&quot;"/>
        <scheme val="none"/>
      </font>
      <fill>
        <patternFill patternType="solid">
          <fgColor rgb="FF348558"/>
          <bgColor rgb="FF348558"/>
        </patternFill>
      </fill>
      <alignment horizontal="center" vertical="bottom" textRotation="0" wrapText="0" indent="0" justifyLastLine="0" shrinkToFit="0" readingOrder="0"/>
      <border diagonalUp="0" diagonalDown="0" outline="0">
        <left style="thin">
          <color auto="1"/>
        </left>
        <right style="thin">
          <color auto="1"/>
        </right>
        <top/>
        <bottom/>
      </border>
    </dxf>
    <dxf>
      <protection locked="0"/>
    </dxf>
    <dxf>
      <protection locked="0"/>
    </dxf>
    <dxf>
      <protection locked="0"/>
    </dxf>
    <dxf>
      <protection locked="0"/>
    </dxf>
    <dxf>
      <protection locked="0"/>
    </dxf>
    <dxf>
      <protection locked="0"/>
    </dxf>
    <dxf>
      <font>
        <color theme="1"/>
      </font>
    </dxf>
    <dxf>
      <numFmt numFmtId="1" formatCode="0"/>
    </dxf>
    <dxf>
      <fill>
        <patternFill patternType="none">
          <bgColor auto="1"/>
        </patternFill>
      </fill>
    </dxf>
    <dxf>
      <alignment horizontal="center" indent="0"/>
    </dxf>
    <dxf>
      <alignment vertical="center"/>
    </dxf>
    <dxf>
      <alignment vertical="center"/>
    </dxf>
    <dxf>
      <alignment horizontal="center"/>
    </dxf>
    <dxf>
      <alignment relativeIndent="-1"/>
    </dxf>
    <dxf>
      <alignment horizontal="left" relativeIndent="1"/>
    </dxf>
    <dxf>
      <alignment horizontal="left" relativeIndent="1"/>
    </dxf>
    <dxf>
      <font>
        <color theme="3"/>
      </font>
    </dxf>
    <dxf>
      <font>
        <color theme="3"/>
      </font>
    </dxf>
    <dxf>
      <font>
        <color rgb="FF454E52"/>
      </font>
    </dxf>
    <dxf>
      <font>
        <color rgb="FF454E52"/>
      </font>
    </dxf>
    <dxf>
      <numFmt numFmtId="2" formatCode="0.00"/>
    </dxf>
    <dxf>
      <numFmt numFmtId="2" formatCode="0.00"/>
    </dxf>
    <dxf>
      <numFmt numFmtId="2" formatCode="0.00"/>
    </dxf>
    <dxf>
      <fill>
        <patternFill>
          <bgColor rgb="FFF5F6FA"/>
        </patternFill>
      </fill>
    </dxf>
    <dxf>
      <fill>
        <patternFill>
          <bgColor rgb="FFF5F6FA"/>
        </patternFill>
      </fill>
    </dxf>
    <dxf>
      <fill>
        <patternFill>
          <bgColor rgb="FFF5F6FA"/>
        </patternFill>
      </fill>
    </dxf>
    <dxf>
      <fill>
        <patternFill>
          <bgColor rgb="FFF5F6FA"/>
        </patternFill>
      </fill>
    </dxf>
    <dxf>
      <fill>
        <patternFill>
          <bgColor rgb="FFF5F6FA"/>
        </patternFill>
      </fil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0"/>
        <color theme="0"/>
        <name val="Arial"/>
        <family val="2"/>
        <scheme val="minor"/>
      </font>
      <fill>
        <patternFill patternType="solid">
          <fgColor theme="4"/>
          <bgColor theme="4"/>
        </patternFill>
      </fill>
    </dxf>
    <dxf>
      <numFmt numFmtId="2" formatCode="0.00"/>
    </dxf>
    <dxf>
      <numFmt numFmtId="1" formatCode="0"/>
    </dxf>
    <dxf>
      <numFmt numFmtId="0" formatCode="General"/>
    </dxf>
    <dxf>
      <numFmt numFmtId="0" formatCode="General"/>
    </dxf>
    <dxf>
      <numFmt numFmtId="0" formatCode="General"/>
    </dxf>
    <dxf>
      <font>
        <color theme="0"/>
      </font>
      <fill>
        <patternFill patternType="none">
          <bgColor auto="1"/>
        </patternFill>
      </fill>
    </dxf>
    <dxf>
      <font>
        <color theme="0"/>
      </font>
      <fill>
        <patternFill patternType="solid">
          <bgColor rgb="FF454E52"/>
        </patternFill>
      </fill>
      <border>
        <left style="thin">
          <color theme="0"/>
        </left>
        <right style="thin">
          <color theme="0"/>
        </right>
        <top style="thin">
          <color theme="0"/>
        </top>
        <bottom style="thin">
          <color theme="0"/>
        </bottom>
      </border>
    </dxf>
    <dxf>
      <font>
        <b/>
        <color theme="1"/>
      </font>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
      <fill>
        <patternFill>
          <bgColor rgb="FFFF0000"/>
        </patternFill>
      </fill>
    </dxf>
    <dxf>
      <font>
        <color rgb="FFC00000"/>
      </font>
      <fill>
        <patternFill>
          <bgColor theme="1"/>
        </patternFill>
      </fill>
    </dxf>
    <dxf>
      <font>
        <color rgb="FFC00000"/>
      </font>
      <fill>
        <patternFill>
          <bgColor theme="1"/>
        </patternFill>
      </fill>
    </dxf>
    <dxf>
      <font>
        <color theme="0"/>
      </font>
      <border>
        <left style="thin">
          <color auto="1"/>
        </left>
        <right style="thin">
          <color auto="1"/>
        </right>
        <top style="thin">
          <color auto="1"/>
        </top>
        <bottom style="thin">
          <color auto="1"/>
        </bottom>
      </border>
    </dxf>
    <dxf>
      <font>
        <color theme="2"/>
      </font>
      <border>
        <left style="thin">
          <color auto="1"/>
        </left>
        <right style="thin">
          <color auto="1"/>
        </right>
        <top style="thin">
          <color auto="1"/>
        </top>
        <bottom style="thin">
          <color auto="1"/>
        </bottom>
      </border>
    </dxf>
    <dxf>
      <font>
        <color theme="0"/>
      </font>
      <border>
        <left style="thin">
          <color auto="1"/>
        </left>
        <right style="thin">
          <color auto="1"/>
        </right>
        <top style="thin">
          <color auto="1"/>
        </top>
        <bottom style="thin">
          <color auto="1"/>
        </bottom>
      </border>
    </dxf>
    <dxf>
      <font>
        <color theme="0"/>
      </font>
      <fill>
        <gradientFill>
          <stop position="0">
            <color rgb="FFFF6161"/>
          </stop>
          <stop position="1">
            <color theme="1"/>
          </stop>
        </gradientFill>
      </fill>
      <border>
        <left style="thin">
          <color auto="1"/>
        </left>
        <right style="thin">
          <color auto="1"/>
        </right>
        <top style="thin">
          <color auto="1"/>
        </top>
        <bottom style="thin">
          <color auto="1"/>
        </bottom>
      </border>
    </dxf>
    <dxf>
      <fill>
        <gradientFill degree="180">
          <stop position="0">
            <color rgb="FFFF6161"/>
          </stop>
          <stop position="1">
            <color theme="1"/>
          </stop>
        </gradientFill>
      </fill>
    </dxf>
    <dxf>
      <fill>
        <patternFill patternType="solid">
          <fgColor rgb="FFE0F7FA"/>
          <bgColor rgb="FFE0F7FA"/>
        </patternFill>
      </fill>
    </dxf>
    <dxf>
      <fill>
        <patternFill patternType="solid">
          <fgColor rgb="FFA2E8F1"/>
          <bgColor rgb="FFA2E8F1"/>
        </patternFill>
      </fill>
    </dxf>
    <dxf>
      <fill>
        <patternFill patternType="solid">
          <fgColor rgb="FF26A69A"/>
          <bgColor rgb="FF26A69A"/>
        </patternFill>
      </fill>
    </dxf>
  </dxfs>
  <tableStyles count="4" defaultTableStyle="TableStyleMedium2" defaultPivotStyle="PivotStyleLight16">
    <tableStyle name="Namkeen-style" pivot="0" count="3" xr9:uid="{00000000-0011-0000-FFFF-FFFF00000000}">
      <tableStyleElement type="totalRow" dxfId="153"/>
      <tableStyleElement type="firstRowStripe" dxfId="152"/>
      <tableStyleElement type="secondRowStripe" dxfId="151"/>
    </tableStyle>
    <tableStyle name="PivotTable Style 1" table="0" count="8" xr9:uid="{15AA7331-CF80-4F64-9D8A-CD5DB2A1EEE1}">
      <tableStyleElement type="wholeTable" dxfId="150"/>
      <tableStyleElement type="headerRow" dxfId="149"/>
      <tableStyleElement type="firstColumn" dxfId="148"/>
      <tableStyleElement type="firstRowStripe" dxfId="147"/>
      <tableStyleElement type="secondRowStripe" dxfId="146"/>
      <tableStyleElement type="firstColumnStripe" dxfId="145"/>
      <tableStyleElement type="secondColumnStripe" dxfId="144"/>
      <tableStyleElement type="pageFieldLabels" dxfId="143"/>
    </tableStyle>
    <tableStyle name="Slice 2" pivot="0" table="0" count="10" xr9:uid="{6BB8558F-B782-4DC9-B10E-167FF4CE8C33}">
      <tableStyleElement type="wholeTable" dxfId="142"/>
      <tableStyleElement type="headerRow" dxfId="141"/>
    </tableStyle>
    <tableStyle name="Slicer Style 1" pivot="0" table="0" count="9" xr9:uid="{1FDF6D1E-3B8A-4F8F-8E74-0F5A17DEEAC5}">
      <tableStyleElement type="wholeTable" dxfId="140"/>
      <tableStyleElement type="headerRow" dxfId="139"/>
    </tableStyle>
  </tableStyles>
  <colors>
    <mruColors>
      <color rgb="FFEE2626"/>
      <color rgb="FFF5F6FA"/>
      <color rgb="FF008E40"/>
      <color rgb="FFFE829A"/>
      <color rgb="FFFE375F"/>
      <color rgb="FF01C488"/>
      <color rgb="FFC0C0C0"/>
      <color rgb="FFFFC1CD"/>
      <color rgb="FF5000E8"/>
      <color rgb="FF454E52"/>
    </mruColors>
  </colors>
  <extLst>
    <ext xmlns:x14="http://schemas.microsoft.com/office/spreadsheetml/2009/9/main" uri="{46F421CA-312F-682f-3DD2-61675219B42D}">
      <x14:dxfs count="15">
        <dxf>
          <font>
            <color theme="0"/>
          </font>
          <fill>
            <patternFill>
              <bgColor theme="1"/>
            </patternFill>
          </fill>
        </dxf>
        <dxf>
          <font>
            <color theme="0"/>
          </font>
          <fill>
            <patternFill>
              <bgColor theme="1"/>
            </patternFill>
          </fill>
        </dxf>
        <dxf>
          <font>
            <color theme="0"/>
          </font>
          <fill>
            <patternFill patternType="none">
              <bgColor auto="1"/>
            </patternFill>
          </fill>
        </dxf>
        <dxf>
          <font>
            <color theme="0"/>
          </font>
          <fill>
            <patternFill patternType="none">
              <bgColor auto="1"/>
            </patternFill>
          </fill>
        </dxf>
        <dxf>
          <font>
            <color theme="0"/>
          </font>
          <fill>
            <patternFill patternType="solid">
              <bgColor theme="3" tint="0.24994659260841701"/>
            </patternFill>
          </fill>
        </dxf>
        <dxf>
          <font>
            <color theme="0"/>
          </font>
          <fill>
            <patternFill patternType="none">
              <bgColor auto="1"/>
            </patternFill>
          </fill>
        </dxf>
        <dxf>
          <font>
            <color theme="0"/>
          </font>
          <fill>
            <patternFill patternType="none">
              <bgColor auto="1"/>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59999389629810485"/>
              <bgColor rgb="FFFE375F"/>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rgb="FFFE375F"/>
            </patternFill>
          </fill>
          <border>
            <left style="thin">
              <color theme="5"/>
            </left>
            <right style="thin">
              <color theme="5"/>
            </right>
            <top style="thin">
              <color theme="5"/>
            </top>
            <bottom style="thin">
              <color theme="5"/>
            </bottom>
            <vertical/>
            <horizontal/>
          </border>
        </dxf>
        <dxf>
          <font>
            <color theme="1"/>
          </font>
          <fill>
            <patternFill patternType="solid">
              <fgColor rgb="FFDFDFDF"/>
              <bgColor rgb="FFC0C0C0"/>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 2">
          <x14:slicerStyleElements>
            <x14:slicerStyleElement type="unselectedItemWithData" dxfId="14"/>
            <x14:slicerStyleElement type="unselectedItemWithNoData" dxfId="13"/>
            <x14:slicerStyleElement type="selectedItemWithData" dxfId="12"/>
            <x14:slicerStyleElement type="selectedItemWithNoData" dxfId="11"/>
            <x14:slicerStyleElement type="hoveredUnselectedItemWithData" dxfId="10"/>
            <x14:slicerStyleElement type="hoveredSelectedItemWithData" dxfId="9"/>
            <x14:slicerStyleElement type="hoveredUnselectedItemWithNoData" dxfId="8"/>
            <x14:slicerStyleElement type="hoveredSelectedItemWithNoData" dxfId="7"/>
          </x14:slicerStyleElements>
        </x14:slicerStyle>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FFC1CD"/>
            </a:solidFill>
          </c:spPr>
          <c:dPt>
            <c:idx val="0"/>
            <c:bubble3D val="0"/>
            <c:spPr>
              <a:solidFill>
                <a:srgbClr val="FE375F"/>
              </a:solidFill>
              <a:ln w="19050">
                <a:solidFill>
                  <a:schemeClr val="lt1"/>
                </a:solidFill>
              </a:ln>
              <a:effectLst/>
            </c:spPr>
            <c:extLst>
              <c:ext xmlns:c16="http://schemas.microsoft.com/office/drawing/2014/chart" uri="{C3380CC4-5D6E-409C-BE32-E72D297353CC}">
                <c16:uniqueId val="{00000001-58A4-45AB-BB32-02FE54D9303E}"/>
              </c:ext>
            </c:extLst>
          </c:dPt>
          <c:dPt>
            <c:idx val="1"/>
            <c:bubble3D val="0"/>
            <c:spPr>
              <a:solidFill>
                <a:srgbClr val="FFC1CD"/>
              </a:solidFill>
              <a:ln w="19050">
                <a:solidFill>
                  <a:schemeClr val="lt1"/>
                </a:solidFill>
              </a:ln>
              <a:effectLst/>
            </c:spPr>
            <c:extLst>
              <c:ext xmlns:c16="http://schemas.microsoft.com/office/drawing/2014/chart" uri="{C3380CC4-5D6E-409C-BE32-E72D297353CC}">
                <c16:uniqueId val="{00000003-58A4-45AB-BB32-02FE54D930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Sheet7!$G$4:$H$4</c:f>
              <c:strCache>
                <c:ptCount val="2"/>
                <c:pt idx="0">
                  <c:v>PROFIT</c:v>
                </c:pt>
                <c:pt idx="1">
                  <c:v>COST</c:v>
                </c:pt>
              </c:strCache>
            </c:strRef>
          </c:cat>
          <c:val>
            <c:numRef>
              <c:f>Sheet7!$G$5:$H$5</c:f>
              <c:numCache>
                <c:formatCode>"₹"\ #,##0.00</c:formatCode>
                <c:ptCount val="2"/>
                <c:pt idx="0">
                  <c:v>88.831519432443912</c:v>
                </c:pt>
                <c:pt idx="1">
                  <c:v>51.168480567556095</c:v>
                </c:pt>
              </c:numCache>
            </c:numRef>
          </c:val>
          <c:extLst>
            <c:ext xmlns:c16="http://schemas.microsoft.com/office/drawing/2014/chart" uri="{C3380CC4-5D6E-409C-BE32-E72D297353CC}">
              <c16:uniqueId val="{00000004-58A4-45AB-BB32-02FE54D9303E}"/>
            </c:ext>
          </c:extLst>
        </c:ser>
        <c:dLbls>
          <c:showLegendKey val="0"/>
          <c:showVal val="0"/>
          <c:showCatName val="1"/>
          <c:showSerName val="0"/>
          <c:showPercent val="0"/>
          <c:showBubbleSize val="0"/>
          <c:showLeaderLines val="1"/>
        </c:dLbls>
        <c:firstSliceAng val="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25263737670419"/>
          <c:y val="3.8419467435383096E-2"/>
          <c:w val="0.7046807491171555"/>
          <c:h val="0.84718160643332918"/>
        </c:manualLayout>
      </c:layout>
      <c:doughnutChart>
        <c:varyColors val="1"/>
        <c:ser>
          <c:idx val="0"/>
          <c:order val="0"/>
          <c:spPr>
            <a:solidFill>
              <a:srgbClr val="FFC1CD"/>
            </a:solidFill>
          </c:spPr>
          <c:dPt>
            <c:idx val="0"/>
            <c:bubble3D val="0"/>
            <c:spPr>
              <a:solidFill>
                <a:srgbClr val="FE375F"/>
              </a:solidFill>
              <a:ln w="19050">
                <a:solidFill>
                  <a:schemeClr val="lt1"/>
                </a:solidFill>
              </a:ln>
              <a:effectLst/>
            </c:spPr>
            <c:extLst>
              <c:ext xmlns:c16="http://schemas.microsoft.com/office/drawing/2014/chart" uri="{C3380CC4-5D6E-409C-BE32-E72D297353CC}">
                <c16:uniqueId val="{00000001-FFE5-4D4C-8309-45DE19C1E022}"/>
              </c:ext>
            </c:extLst>
          </c:dPt>
          <c:dPt>
            <c:idx val="1"/>
            <c:bubble3D val="0"/>
            <c:spPr>
              <a:solidFill>
                <a:srgbClr val="FFC1CD"/>
              </a:solidFill>
              <a:ln w="19050">
                <a:solidFill>
                  <a:schemeClr val="lt1"/>
                </a:solidFill>
              </a:ln>
              <a:effectLst/>
            </c:spPr>
            <c:extLst>
              <c:ext xmlns:c16="http://schemas.microsoft.com/office/drawing/2014/chart" uri="{C3380CC4-5D6E-409C-BE32-E72D297353CC}">
                <c16:uniqueId val="{00000003-FFE5-4D4C-8309-45DE19C1E0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Sheet7!$G$4:$H$4</c:f>
              <c:strCache>
                <c:ptCount val="2"/>
                <c:pt idx="0">
                  <c:v>PROFIT</c:v>
                </c:pt>
                <c:pt idx="1">
                  <c:v>COST</c:v>
                </c:pt>
              </c:strCache>
            </c:strRef>
          </c:cat>
          <c:val>
            <c:numRef>
              <c:f>Sheet7!$G$5:$H$5</c:f>
              <c:numCache>
                <c:formatCode>"₹"\ #,##0.00</c:formatCode>
                <c:ptCount val="2"/>
                <c:pt idx="0">
                  <c:v>88.831519432443912</c:v>
                </c:pt>
                <c:pt idx="1">
                  <c:v>51.168480567556095</c:v>
                </c:pt>
              </c:numCache>
            </c:numRef>
          </c:val>
          <c:extLst>
            <c:ext xmlns:c16="http://schemas.microsoft.com/office/drawing/2014/chart" uri="{C3380CC4-5D6E-409C-BE32-E72D297353CC}">
              <c16:uniqueId val="{00000004-FFE5-4D4C-8309-45DE19C1E022}"/>
            </c:ext>
          </c:extLst>
        </c:ser>
        <c:dLbls>
          <c:showLegendKey val="0"/>
          <c:showVal val="0"/>
          <c:showCatName val="1"/>
          <c:showSerName val="0"/>
          <c:showPercent val="0"/>
          <c:showBubbleSize val="0"/>
          <c:showLeaderLines val="1"/>
        </c:dLbls>
        <c:firstSliceAng val="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8.png"/><Relationship Id="rId18" Type="http://schemas.openxmlformats.org/officeDocument/2006/relationships/hyperlink" Target="#Specials!A1"/><Relationship Id="rId26" Type="http://schemas.openxmlformats.org/officeDocument/2006/relationships/image" Target="../media/image17.svg"/><Relationship Id="rId39" Type="http://schemas.openxmlformats.org/officeDocument/2006/relationships/image" Target="../media/image24.png"/><Relationship Id="rId21" Type="http://schemas.openxmlformats.org/officeDocument/2006/relationships/hyperlink" Target="#Chinese!A1"/><Relationship Id="rId34" Type="http://schemas.openxmlformats.org/officeDocument/2006/relationships/hyperlink" Target="#Breads!A1"/><Relationship Id="rId7" Type="http://schemas.openxmlformats.org/officeDocument/2006/relationships/image" Target="../media/image4.png"/><Relationship Id="rId12" Type="http://schemas.openxmlformats.org/officeDocument/2006/relationships/hyperlink" Target="#'South Indian'!A1"/><Relationship Id="rId17" Type="http://schemas.openxmlformats.org/officeDocument/2006/relationships/image" Target="../media/image11.svg"/><Relationship Id="rId25" Type="http://schemas.openxmlformats.org/officeDocument/2006/relationships/image" Target="../media/image16.png"/><Relationship Id="rId33" Type="http://schemas.openxmlformats.org/officeDocument/2006/relationships/image" Target="../media/image21.svg"/><Relationship Id="rId38" Type="http://schemas.openxmlformats.org/officeDocument/2006/relationships/hyperlink" Target="#'SELLING PRICE'!A1"/><Relationship Id="rId2" Type="http://schemas.microsoft.com/office/2007/relationships/hdphoto" Target="../media/hdphoto1.wdp"/><Relationship Id="rId16" Type="http://schemas.openxmlformats.org/officeDocument/2006/relationships/image" Target="../media/image10.png"/><Relationship Id="rId20" Type="http://schemas.openxmlformats.org/officeDocument/2006/relationships/image" Target="../media/image13.svg"/><Relationship Id="rId29" Type="http://schemas.openxmlformats.org/officeDocument/2006/relationships/image" Target="../media/image18.png"/><Relationship Id="rId1" Type="http://schemas.openxmlformats.org/officeDocument/2006/relationships/image" Target="../media/image1.png"/><Relationship Id="rId6" Type="http://schemas.openxmlformats.org/officeDocument/2006/relationships/hyperlink" Target="#'North INdian'!A1"/><Relationship Id="rId11" Type="http://schemas.openxmlformats.org/officeDocument/2006/relationships/image" Target="../media/image7.svg"/><Relationship Id="rId24" Type="http://schemas.openxmlformats.org/officeDocument/2006/relationships/hyperlink" Target="#CHAAT!A1"/><Relationship Id="rId32" Type="http://schemas.openxmlformats.org/officeDocument/2006/relationships/image" Target="../media/image20.png"/><Relationship Id="rId37" Type="http://schemas.openxmlformats.org/officeDocument/2006/relationships/chart" Target="../charts/chart2.xml"/><Relationship Id="rId40" Type="http://schemas.openxmlformats.org/officeDocument/2006/relationships/image" Target="../media/image25.svg"/><Relationship Id="rId5" Type="http://schemas.openxmlformats.org/officeDocument/2006/relationships/image" Target="../media/image3.svg"/><Relationship Id="rId15" Type="http://schemas.openxmlformats.org/officeDocument/2006/relationships/hyperlink" Target="#'Grill special'!A1"/><Relationship Id="rId23" Type="http://schemas.openxmlformats.org/officeDocument/2006/relationships/image" Target="../media/image15.svg"/><Relationship Id="rId28" Type="http://schemas.openxmlformats.org/officeDocument/2006/relationships/hyperlink" Target="#Drinks!A1"/><Relationship Id="rId36" Type="http://schemas.openxmlformats.org/officeDocument/2006/relationships/image" Target="../media/image23.svg"/><Relationship Id="rId10" Type="http://schemas.openxmlformats.org/officeDocument/2006/relationships/image" Target="../media/image6.png"/><Relationship Id="rId19" Type="http://schemas.openxmlformats.org/officeDocument/2006/relationships/image" Target="../media/image12.png"/><Relationship Id="rId31" Type="http://schemas.openxmlformats.org/officeDocument/2006/relationships/hyperlink" Target="#Sweets!A1"/><Relationship Id="rId4" Type="http://schemas.openxmlformats.org/officeDocument/2006/relationships/image" Target="../media/image2.png"/><Relationship Id="rId9" Type="http://schemas.openxmlformats.org/officeDocument/2006/relationships/hyperlink" Target="#'Item List'!A1"/><Relationship Id="rId14" Type="http://schemas.openxmlformats.org/officeDocument/2006/relationships/image" Target="../media/image9.svg"/><Relationship Id="rId22" Type="http://schemas.openxmlformats.org/officeDocument/2006/relationships/image" Target="../media/image14.png"/><Relationship Id="rId27" Type="http://schemas.openxmlformats.org/officeDocument/2006/relationships/hyperlink" Target="#KULFI!A1"/><Relationship Id="rId30" Type="http://schemas.openxmlformats.org/officeDocument/2006/relationships/image" Target="../media/image19.svg"/><Relationship Id="rId35" Type="http://schemas.openxmlformats.org/officeDocument/2006/relationships/image" Target="../media/image22.png"/><Relationship Id="rId8" Type="http://schemas.openxmlformats.org/officeDocument/2006/relationships/image" Target="../media/image5.svg"/><Relationship Id="rId3" Type="http://schemas.openxmlformats.org/officeDocument/2006/relationships/hyperlink" Target="#'Sub recipe list'!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5.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5</xdr:row>
      <xdr:rowOff>114300</xdr:rowOff>
    </xdr:from>
    <xdr:to>
      <xdr:col>7</xdr:col>
      <xdr:colOff>0</xdr:colOff>
      <xdr:row>20</xdr:row>
      <xdr:rowOff>66675</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F2E8D433-8597-F4E7-10A1-7E6A864F2E9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095625" y="923925"/>
              <a:ext cx="1828800" cy="2381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241300</xdr:colOff>
      <xdr:row>5</xdr:row>
      <xdr:rowOff>85725</xdr:rowOff>
    </xdr:from>
    <xdr:to>
      <xdr:col>11</xdr:col>
      <xdr:colOff>241301</xdr:colOff>
      <xdr:row>20</xdr:row>
      <xdr:rowOff>38100</xdr:rowOff>
    </xdr:to>
    <mc:AlternateContent xmlns:mc="http://schemas.openxmlformats.org/markup-compatibility/2006" xmlns:a14="http://schemas.microsoft.com/office/drawing/2010/main">
      <mc:Choice Requires="a14">
        <xdr:graphicFrame macro="">
          <xdr:nvGraphicFramePr>
            <xdr:cNvPr id="4" name="Dish 2">
              <a:extLst>
                <a:ext uri="{FF2B5EF4-FFF2-40B4-BE49-F238E27FC236}">
                  <a16:creationId xmlns:a16="http://schemas.microsoft.com/office/drawing/2014/main" id="{32C3B0CA-CDBD-616D-83DC-E42B3CF440BA}"/>
                </a:ext>
              </a:extLst>
            </xdr:cNvPr>
            <xdr:cNvGraphicFramePr/>
          </xdr:nvGraphicFramePr>
          <xdr:xfrm>
            <a:off x="0" y="0"/>
            <a:ext cx="0" cy="0"/>
          </xdr:xfrm>
          <a:graphic>
            <a:graphicData uri="http://schemas.microsoft.com/office/drawing/2010/slicer">
              <sle:slicer xmlns:sle="http://schemas.microsoft.com/office/drawing/2010/slicer" name="Dish 2"/>
            </a:graphicData>
          </a:graphic>
        </xdr:graphicFrame>
      </mc:Choice>
      <mc:Fallback xmlns="">
        <xdr:sp macro="" textlink="">
          <xdr:nvSpPr>
            <xdr:cNvPr id="0" name=""/>
            <xdr:cNvSpPr>
              <a:spLocks noTextEdit="1"/>
            </xdr:cNvSpPr>
          </xdr:nvSpPr>
          <xdr:spPr>
            <a:xfrm>
              <a:off x="6493608" y="888198"/>
              <a:ext cx="1821265" cy="23597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600110</xdr:colOff>
      <xdr:row>0</xdr:row>
      <xdr:rowOff>55824</xdr:rowOff>
    </xdr:from>
    <xdr:to>
      <xdr:col>14</xdr:col>
      <xdr:colOff>575897</xdr:colOff>
      <xdr:row>10</xdr:row>
      <xdr:rowOff>138392</xdr:rowOff>
    </xdr:to>
    <xdr:graphicFrame macro="">
      <xdr:nvGraphicFramePr>
        <xdr:cNvPr id="3" name="Chart 2">
          <a:extLst>
            <a:ext uri="{FF2B5EF4-FFF2-40B4-BE49-F238E27FC236}">
              <a16:creationId xmlns:a16="http://schemas.microsoft.com/office/drawing/2014/main" id="{B49FA1CA-11C5-4C55-B3B5-54818BFA97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20161</xdr:rowOff>
    </xdr:from>
    <xdr:to>
      <xdr:col>1</xdr:col>
      <xdr:colOff>1041797</xdr:colOff>
      <xdr:row>38</xdr:row>
      <xdr:rowOff>60477</xdr:rowOff>
    </xdr:to>
    <xdr:sp macro="" textlink="">
      <xdr:nvSpPr>
        <xdr:cNvPr id="79" name="Rectangle: Rounded Corners 78">
          <a:extLst>
            <a:ext uri="{FF2B5EF4-FFF2-40B4-BE49-F238E27FC236}">
              <a16:creationId xmlns:a16="http://schemas.microsoft.com/office/drawing/2014/main" id="{0F63009B-53E4-ED32-8894-EC47D18BF68F}"/>
            </a:ext>
          </a:extLst>
        </xdr:cNvPr>
        <xdr:cNvSpPr/>
      </xdr:nvSpPr>
      <xdr:spPr>
        <a:xfrm>
          <a:off x="0" y="536099"/>
          <a:ext cx="1647031" cy="5914066"/>
        </a:xfrm>
        <a:prstGeom prst="roundRect">
          <a:avLst>
            <a:gd name="adj" fmla="val 3041"/>
          </a:avLst>
        </a:prstGeom>
        <a:solidFill>
          <a:schemeClr val="bg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473730</xdr:rowOff>
    </xdr:from>
    <xdr:to>
      <xdr:col>1</xdr:col>
      <xdr:colOff>1300238</xdr:colOff>
      <xdr:row>38</xdr:row>
      <xdr:rowOff>60476</xdr:rowOff>
    </xdr:to>
    <xdr:sp macro="" textlink="">
      <xdr:nvSpPr>
        <xdr:cNvPr id="25" name="Rectangle: Rounded Corners 24">
          <a:extLst>
            <a:ext uri="{FF2B5EF4-FFF2-40B4-BE49-F238E27FC236}">
              <a16:creationId xmlns:a16="http://schemas.microsoft.com/office/drawing/2014/main" id="{6BB6A4CE-DC62-430C-9AA7-76F5E6867365}"/>
            </a:ext>
          </a:extLst>
        </xdr:cNvPr>
        <xdr:cNvSpPr/>
      </xdr:nvSpPr>
      <xdr:spPr>
        <a:xfrm>
          <a:off x="0" y="473730"/>
          <a:ext cx="1905000" cy="6067778"/>
        </a:xfrm>
        <a:prstGeom prst="roundRect">
          <a:avLst>
            <a:gd name="adj" fmla="val 3041"/>
          </a:avLst>
        </a:prstGeom>
        <a:solidFill>
          <a:srgbClr val="FE375F"/>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275608</xdr:colOff>
      <xdr:row>0</xdr:row>
      <xdr:rowOff>100795</xdr:rowOff>
    </xdr:from>
    <xdr:to>
      <xdr:col>1</xdr:col>
      <xdr:colOff>1048254</xdr:colOff>
      <xdr:row>2</xdr:row>
      <xdr:rowOff>90774</xdr:rowOff>
    </xdr:to>
    <xdr:pic>
      <xdr:nvPicPr>
        <xdr:cNvPr id="10" name="Picture 9" descr="Roshan di kulfi | Delhi">
          <a:extLst>
            <a:ext uri="{FF2B5EF4-FFF2-40B4-BE49-F238E27FC236}">
              <a16:creationId xmlns:a16="http://schemas.microsoft.com/office/drawing/2014/main" id="{889D7FE2-184B-323C-8B50-1874686EFA5E}"/>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948" t="31882" r="14939" b="29855"/>
        <a:stretch/>
      </xdr:blipFill>
      <xdr:spPr bwMode="auto">
        <a:xfrm>
          <a:off x="275608" y="100795"/>
          <a:ext cx="1377408" cy="665296"/>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70672</xdr:colOff>
      <xdr:row>4</xdr:row>
      <xdr:rowOff>146844</xdr:rowOff>
    </xdr:from>
    <xdr:to>
      <xdr:col>7</xdr:col>
      <xdr:colOff>267293</xdr:colOff>
      <xdr:row>9</xdr:row>
      <xdr:rowOff>35782</xdr:rowOff>
    </xdr:to>
    <xdr:sp macro="" textlink="">
      <xdr:nvSpPr>
        <xdr:cNvPr id="72" name="TextBox 71">
          <a:extLst>
            <a:ext uri="{FF2B5EF4-FFF2-40B4-BE49-F238E27FC236}">
              <a16:creationId xmlns:a16="http://schemas.microsoft.com/office/drawing/2014/main" id="{B584A671-4DC1-4B50-AD75-7E3C18586701}"/>
            </a:ext>
          </a:extLst>
        </xdr:cNvPr>
        <xdr:cNvSpPr txBox="1"/>
      </xdr:nvSpPr>
      <xdr:spPr>
        <a:xfrm>
          <a:off x="4793485" y="1139032"/>
          <a:ext cx="2151230" cy="682688"/>
        </a:xfrm>
        <a:prstGeom prst="roundRect">
          <a:avLst/>
        </a:prstGeom>
        <a:solidFill>
          <a:srgbClr val="F5F6FA"/>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IN" sz="1400" b="1">
              <a:ln>
                <a:noFill/>
              </a:ln>
              <a:solidFill>
                <a:srgbClr val="454E52"/>
              </a:solidFill>
              <a:latin typeface="+mn-lt"/>
              <a:ea typeface="+mn-ea"/>
              <a:cs typeface="+mn-cs"/>
            </a:rPr>
            <a:t>DISH</a:t>
          </a:r>
        </a:p>
        <a:p>
          <a:r>
            <a:rPr lang="en-IN" sz="1100" b="0" i="0" u="none" strike="noStrike">
              <a:solidFill>
                <a:schemeClr val="dk1"/>
              </a:solidFill>
              <a:effectLst/>
              <a:latin typeface="+mn-lt"/>
              <a:ea typeface="+mn-ea"/>
              <a:cs typeface="+mn-cs"/>
            </a:rPr>
            <a:t>               </a:t>
          </a:r>
        </a:p>
        <a:p>
          <a:pPr algn="ctr"/>
          <a:endParaRPr lang="en-IN" sz="2000">
            <a:solidFill>
              <a:schemeClr val="bg1"/>
            </a:solidFill>
          </a:endParaRPr>
        </a:p>
      </xdr:txBody>
    </xdr:sp>
    <xdr:clientData/>
  </xdr:twoCellAnchor>
  <xdr:twoCellAnchor>
    <xdr:from>
      <xdr:col>5</xdr:col>
      <xdr:colOff>90714</xdr:colOff>
      <xdr:row>12</xdr:row>
      <xdr:rowOff>11843</xdr:rowOff>
    </xdr:from>
    <xdr:to>
      <xdr:col>7</xdr:col>
      <xdr:colOff>205695</xdr:colOff>
      <xdr:row>18</xdr:row>
      <xdr:rowOff>101255</xdr:rowOff>
    </xdr:to>
    <xdr:sp macro="" textlink="">
      <xdr:nvSpPr>
        <xdr:cNvPr id="73" name="TextBox 72">
          <a:extLst>
            <a:ext uri="{FF2B5EF4-FFF2-40B4-BE49-F238E27FC236}">
              <a16:creationId xmlns:a16="http://schemas.microsoft.com/office/drawing/2014/main" id="{70AF729C-CE68-4A5A-8832-4BF4CB5F2A9A}"/>
            </a:ext>
          </a:extLst>
        </xdr:cNvPr>
        <xdr:cNvSpPr txBox="1"/>
      </xdr:nvSpPr>
      <xdr:spPr>
        <a:xfrm>
          <a:off x="4813527" y="2274031"/>
          <a:ext cx="2069590" cy="1041912"/>
        </a:xfrm>
        <a:prstGeom prst="roundRect">
          <a:avLst/>
        </a:prstGeom>
        <a:solidFill>
          <a:srgbClr val="F5F6FA"/>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IN" sz="1400" b="1">
              <a:ln>
                <a:noFill/>
              </a:ln>
              <a:solidFill>
                <a:srgbClr val="454E52"/>
              </a:solidFill>
              <a:latin typeface="+mn-lt"/>
              <a:ea typeface="+mn-ea"/>
              <a:cs typeface="+mn-cs"/>
            </a:rPr>
            <a:t>TOTAL</a:t>
          </a:r>
          <a:r>
            <a:rPr lang="en-IN" sz="1400">
              <a:ln>
                <a:solidFill>
                  <a:schemeClr val="accent2"/>
                </a:solidFill>
              </a:ln>
              <a:solidFill>
                <a:schemeClr val="bg1"/>
              </a:solidFill>
            </a:rPr>
            <a:t> </a:t>
          </a:r>
          <a:r>
            <a:rPr lang="en-IN" sz="1400" b="1">
              <a:ln>
                <a:noFill/>
              </a:ln>
              <a:solidFill>
                <a:srgbClr val="454E52"/>
              </a:solidFill>
              <a:latin typeface="+mn-lt"/>
              <a:ea typeface="+mn-ea"/>
              <a:cs typeface="+mn-cs"/>
            </a:rPr>
            <a:t>COST</a:t>
          </a:r>
        </a:p>
        <a:p>
          <a:r>
            <a:rPr lang="en-IN" sz="1100" b="0" i="0" u="none" strike="noStrike">
              <a:solidFill>
                <a:schemeClr val="dk1"/>
              </a:solidFill>
              <a:effectLst/>
              <a:latin typeface="+mn-lt"/>
              <a:ea typeface="+mn-ea"/>
              <a:cs typeface="+mn-cs"/>
            </a:rPr>
            <a:t>               </a:t>
          </a:r>
        </a:p>
        <a:p>
          <a:pPr algn="ctr"/>
          <a:endParaRPr lang="en-IN" sz="2000">
            <a:solidFill>
              <a:schemeClr val="bg1"/>
            </a:solidFill>
          </a:endParaRPr>
        </a:p>
      </xdr:txBody>
    </xdr:sp>
    <xdr:clientData/>
  </xdr:twoCellAnchor>
  <xdr:twoCellAnchor>
    <xdr:from>
      <xdr:col>5</xdr:col>
      <xdr:colOff>248697</xdr:colOff>
      <xdr:row>14</xdr:row>
      <xdr:rowOff>61589</xdr:rowOff>
    </xdr:from>
    <xdr:to>
      <xdr:col>7</xdr:col>
      <xdr:colOff>89268</xdr:colOff>
      <xdr:row>18</xdr:row>
      <xdr:rowOff>8138</xdr:rowOff>
    </xdr:to>
    <xdr:sp macro="" textlink="Sheet7!D23">
      <xdr:nvSpPr>
        <xdr:cNvPr id="74" name="TextBox 73">
          <a:extLst>
            <a:ext uri="{FF2B5EF4-FFF2-40B4-BE49-F238E27FC236}">
              <a16:creationId xmlns:a16="http://schemas.microsoft.com/office/drawing/2014/main" id="{8DA8739B-E95D-4640-8824-52A5456C2090}"/>
            </a:ext>
          </a:extLst>
        </xdr:cNvPr>
        <xdr:cNvSpPr txBox="1"/>
      </xdr:nvSpPr>
      <xdr:spPr>
        <a:xfrm>
          <a:off x="5229089" y="2676295"/>
          <a:ext cx="1807826" cy="594000"/>
        </a:xfrm>
        <a:prstGeom prst="rect">
          <a:avLst/>
        </a:prstGeom>
        <a:solidFill>
          <a:srgbClr val="F5F6FA"/>
        </a:soli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marL="0" indent="0" algn="ctr"/>
          <a:fld id="{5CC0614F-8F77-4157-97FB-8DC4559260C3}" type="TxLink">
            <a:rPr lang="en-US" sz="1600" b="0" i="0" u="none" strike="noStrike">
              <a:solidFill>
                <a:schemeClr val="tx1">
                  <a:lumMod val="75000"/>
                  <a:lumOff val="25000"/>
                </a:schemeClr>
              </a:solidFill>
              <a:latin typeface="Arial"/>
              <a:ea typeface="+mn-ea"/>
              <a:cs typeface="Arial"/>
            </a:rPr>
            <a:pPr marL="0" indent="0" algn="ctr"/>
            <a:t>₹ 51.17</a:t>
          </a:fld>
          <a:endParaRPr lang="en-US" sz="1600" b="0" i="0" u="none" strike="noStrike">
            <a:solidFill>
              <a:schemeClr val="tx1">
                <a:lumMod val="75000"/>
                <a:lumOff val="25000"/>
              </a:schemeClr>
            </a:solidFill>
            <a:latin typeface="Arial"/>
            <a:ea typeface="+mn-ea"/>
            <a:cs typeface="Arial"/>
          </a:endParaRPr>
        </a:p>
      </xdr:txBody>
    </xdr:sp>
    <xdr:clientData/>
  </xdr:twoCellAnchor>
  <xdr:twoCellAnchor editAs="absolute">
    <xdr:from>
      <xdr:col>5</xdr:col>
      <xdr:colOff>248697</xdr:colOff>
      <xdr:row>7</xdr:row>
      <xdr:rowOff>54257</xdr:rowOff>
    </xdr:from>
    <xdr:to>
      <xdr:col>7</xdr:col>
      <xdr:colOff>89268</xdr:colOff>
      <xdr:row>11</xdr:row>
      <xdr:rowOff>0</xdr:rowOff>
    </xdr:to>
    <xdr:sp macro="" textlink="Sheet7!C2">
      <xdr:nvSpPr>
        <xdr:cNvPr id="76" name="TextBox 75">
          <a:extLst>
            <a:ext uri="{FF2B5EF4-FFF2-40B4-BE49-F238E27FC236}">
              <a16:creationId xmlns:a16="http://schemas.microsoft.com/office/drawing/2014/main" id="{58763E78-C8F2-43B5-82B1-11EB3BDD4F0F}"/>
            </a:ext>
          </a:extLst>
        </xdr:cNvPr>
        <xdr:cNvSpPr txBox="1"/>
      </xdr:nvSpPr>
      <xdr:spPr>
        <a:xfrm>
          <a:off x="5229089" y="1535924"/>
          <a:ext cx="1807826" cy="593194"/>
        </a:xfrm>
        <a:prstGeom prst="rect">
          <a:avLst/>
        </a:prstGeom>
        <a:solidFill>
          <a:srgbClr val="F5F6FA"/>
        </a:soli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marL="0" indent="0" algn="ctr"/>
          <a:fld id="{17F96D7F-188E-42C7-AA25-7329789DB669}" type="TxLink">
            <a:rPr lang="en-US" sz="1600" b="0" i="0" u="none" strike="noStrike">
              <a:solidFill>
                <a:schemeClr val="tx1">
                  <a:lumMod val="75000"/>
                  <a:lumOff val="25000"/>
                </a:schemeClr>
              </a:solidFill>
              <a:latin typeface="Arial"/>
              <a:ea typeface="+mn-ea"/>
              <a:cs typeface="Arial"/>
            </a:rPr>
            <a:pPr marL="0" indent="0" algn="ctr"/>
            <a:t>Papri Chaat</a:t>
          </a:fld>
          <a:endParaRPr lang="en-IN" sz="1600" b="0" i="0" u="none" strike="noStrike">
            <a:solidFill>
              <a:schemeClr val="tx1">
                <a:lumMod val="75000"/>
                <a:lumOff val="25000"/>
              </a:schemeClr>
            </a:solidFill>
            <a:latin typeface="Arial"/>
            <a:ea typeface="+mn-ea"/>
            <a:cs typeface="Arial"/>
          </a:endParaRPr>
        </a:p>
      </xdr:txBody>
    </xdr:sp>
    <xdr:clientData/>
  </xdr:twoCellAnchor>
  <xdr:twoCellAnchor>
    <xdr:from>
      <xdr:col>7</xdr:col>
      <xdr:colOff>192675</xdr:colOff>
      <xdr:row>4</xdr:row>
      <xdr:rowOff>114590</xdr:rowOff>
    </xdr:from>
    <xdr:to>
      <xdr:col>10</xdr:col>
      <xdr:colOff>600367</xdr:colOff>
      <xdr:row>10</xdr:row>
      <xdr:rowOff>79376</xdr:rowOff>
    </xdr:to>
    <xdr:sp macro="" textlink="">
      <xdr:nvSpPr>
        <xdr:cNvPr id="77" name="TextBox 76">
          <a:extLst>
            <a:ext uri="{FF2B5EF4-FFF2-40B4-BE49-F238E27FC236}">
              <a16:creationId xmlns:a16="http://schemas.microsoft.com/office/drawing/2014/main" id="{9A5149E4-2795-4D9E-B1FF-D86B2FA0A621}"/>
            </a:ext>
          </a:extLst>
        </xdr:cNvPr>
        <xdr:cNvSpPr txBox="1"/>
      </xdr:nvSpPr>
      <xdr:spPr>
        <a:xfrm>
          <a:off x="6870097" y="1106778"/>
          <a:ext cx="2451598" cy="917286"/>
        </a:xfrm>
        <a:prstGeom prst="roundRect">
          <a:avLst/>
        </a:prstGeom>
        <a:solidFill>
          <a:srgbClr val="F5F6FA"/>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IN" sz="1400" b="1">
              <a:ln>
                <a:noFill/>
              </a:ln>
              <a:solidFill>
                <a:srgbClr val="454E52"/>
              </a:solidFill>
              <a:latin typeface="+mn-lt"/>
              <a:ea typeface="+mn-ea"/>
              <a:cs typeface="+mn-cs"/>
            </a:rPr>
            <a:t>TOTAL</a:t>
          </a:r>
          <a:r>
            <a:rPr lang="en-IN" sz="1400" baseline="0">
              <a:ln>
                <a:solidFill>
                  <a:schemeClr val="accent2"/>
                </a:solidFill>
              </a:ln>
              <a:solidFill>
                <a:schemeClr val="bg1"/>
              </a:solidFill>
            </a:rPr>
            <a:t> </a:t>
          </a:r>
          <a:r>
            <a:rPr lang="en-IN" sz="1400" b="1">
              <a:ln>
                <a:noFill/>
              </a:ln>
              <a:solidFill>
                <a:srgbClr val="454E52"/>
              </a:solidFill>
              <a:latin typeface="+mn-lt"/>
              <a:ea typeface="+mn-ea"/>
              <a:cs typeface="+mn-cs"/>
            </a:rPr>
            <a:t>QTY</a:t>
          </a:r>
        </a:p>
        <a:p>
          <a:r>
            <a:rPr lang="en-IN" sz="1100" b="0" i="0" u="none" strike="noStrike">
              <a:solidFill>
                <a:schemeClr val="dk1"/>
              </a:solidFill>
              <a:effectLst/>
              <a:latin typeface="+mn-lt"/>
              <a:ea typeface="+mn-ea"/>
              <a:cs typeface="+mn-cs"/>
            </a:rPr>
            <a:t>               </a:t>
          </a:r>
        </a:p>
        <a:p>
          <a:pPr algn="ctr"/>
          <a:endParaRPr lang="en-IN" sz="2000">
            <a:solidFill>
              <a:schemeClr val="bg1"/>
            </a:solidFill>
          </a:endParaRPr>
        </a:p>
      </xdr:txBody>
    </xdr:sp>
    <xdr:clientData/>
  </xdr:twoCellAnchor>
  <xdr:twoCellAnchor>
    <xdr:from>
      <xdr:col>7</xdr:col>
      <xdr:colOff>521591</xdr:colOff>
      <xdr:row>7</xdr:row>
      <xdr:rowOff>51704</xdr:rowOff>
    </xdr:from>
    <xdr:to>
      <xdr:col>10</xdr:col>
      <xdr:colOff>274379</xdr:colOff>
      <xdr:row>10</xdr:row>
      <xdr:rowOff>160116</xdr:rowOff>
    </xdr:to>
    <xdr:sp macro="" textlink="Sheet7!D24">
      <xdr:nvSpPr>
        <xdr:cNvPr id="78" name="TextBox 77">
          <a:extLst>
            <a:ext uri="{FF2B5EF4-FFF2-40B4-BE49-F238E27FC236}">
              <a16:creationId xmlns:a16="http://schemas.microsoft.com/office/drawing/2014/main" id="{EDC14517-C23D-4C37-A90D-7F63C75A3091}"/>
            </a:ext>
          </a:extLst>
        </xdr:cNvPr>
        <xdr:cNvSpPr txBox="1"/>
      </xdr:nvSpPr>
      <xdr:spPr>
        <a:xfrm>
          <a:off x="7469238" y="1533371"/>
          <a:ext cx="1807200" cy="594000"/>
        </a:xfrm>
        <a:prstGeom prst="rect">
          <a:avLst/>
        </a:prstGeom>
        <a:solidFill>
          <a:srgbClr val="F5F6FA"/>
        </a:soli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marL="0" indent="0" algn="ctr"/>
          <a:fld id="{6C2FA473-3623-42C7-8DE8-87D88652E300}" type="TxLink">
            <a:rPr lang="en-US" sz="1600" b="0" i="0" u="none" strike="noStrike">
              <a:solidFill>
                <a:schemeClr val="tx1">
                  <a:lumMod val="75000"/>
                  <a:lumOff val="25000"/>
                </a:schemeClr>
              </a:solidFill>
              <a:latin typeface="Arial"/>
              <a:ea typeface="+mn-ea"/>
              <a:cs typeface="Arial"/>
            </a:rPr>
            <a:pPr marL="0" indent="0" algn="ctr"/>
            <a:t>639.00</a:t>
          </a:fld>
          <a:endParaRPr lang="en-IN" sz="1600" b="0" i="0" u="none" strike="noStrike">
            <a:solidFill>
              <a:schemeClr val="tx1">
                <a:lumMod val="75000"/>
                <a:lumOff val="25000"/>
              </a:schemeClr>
            </a:solidFill>
            <a:latin typeface="Arial"/>
            <a:ea typeface="+mn-ea"/>
            <a:cs typeface="Arial"/>
          </a:endParaRPr>
        </a:p>
      </xdr:txBody>
    </xdr:sp>
    <xdr:clientData/>
  </xdr:twoCellAnchor>
  <xdr:twoCellAnchor editAs="oneCell">
    <xdr:from>
      <xdr:col>16</xdr:col>
      <xdr:colOff>595313</xdr:colOff>
      <xdr:row>2</xdr:row>
      <xdr:rowOff>0</xdr:rowOff>
    </xdr:from>
    <xdr:to>
      <xdr:col>18</xdr:col>
      <xdr:colOff>1607343</xdr:colOff>
      <xdr:row>26</xdr:row>
      <xdr:rowOff>0</xdr:rowOff>
    </xdr:to>
    <mc:AlternateContent xmlns:mc="http://schemas.openxmlformats.org/markup-compatibility/2006" xmlns:a14="http://schemas.microsoft.com/office/drawing/2010/main">
      <mc:Choice Requires="a14">
        <xdr:graphicFrame macro="">
          <xdr:nvGraphicFramePr>
            <xdr:cNvPr id="3" name="Dish 3">
              <a:extLst>
                <a:ext uri="{FF2B5EF4-FFF2-40B4-BE49-F238E27FC236}">
                  <a16:creationId xmlns:a16="http://schemas.microsoft.com/office/drawing/2014/main" id="{5761F2B0-0802-4662-ADAD-8430AB99A563}"/>
                </a:ext>
              </a:extLst>
            </xdr:cNvPr>
            <xdr:cNvGraphicFramePr/>
          </xdr:nvGraphicFramePr>
          <xdr:xfrm>
            <a:off x="0" y="0"/>
            <a:ext cx="0" cy="0"/>
          </xdr:xfrm>
          <a:graphic>
            <a:graphicData uri="http://schemas.microsoft.com/office/drawing/2010/slicer">
              <sle:slicer xmlns:sle="http://schemas.microsoft.com/office/drawing/2010/slicer" name="Dish 3"/>
            </a:graphicData>
          </a:graphic>
        </xdr:graphicFrame>
      </mc:Choice>
      <mc:Fallback xmlns="">
        <xdr:sp macro="" textlink="">
          <xdr:nvSpPr>
            <xdr:cNvPr id="0" name=""/>
            <xdr:cNvSpPr>
              <a:spLocks noTextEdit="1"/>
            </xdr:cNvSpPr>
          </xdr:nvSpPr>
          <xdr:spPr>
            <a:xfrm>
              <a:off x="12726766" y="679302"/>
              <a:ext cx="1924378" cy="38986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27</xdr:row>
      <xdr:rowOff>125012</xdr:rowOff>
    </xdr:from>
    <xdr:to>
      <xdr:col>18</xdr:col>
      <xdr:colOff>917751</xdr:colOff>
      <xdr:row>33</xdr:row>
      <xdr:rowOff>0</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20FC94C2-1CAE-456D-9562-E1D721383AA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948295" y="4865864"/>
              <a:ext cx="11727461" cy="8491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229307</xdr:colOff>
      <xdr:row>0</xdr:row>
      <xdr:rowOff>0</xdr:rowOff>
    </xdr:from>
    <xdr:to>
      <xdr:col>20</xdr:col>
      <xdr:colOff>11339</xdr:colOff>
      <xdr:row>1</xdr:row>
      <xdr:rowOff>20159</xdr:rowOff>
    </xdr:to>
    <xdr:sp macro="" textlink="">
      <xdr:nvSpPr>
        <xdr:cNvPr id="5" name="TextBox 4">
          <a:extLst>
            <a:ext uri="{FF2B5EF4-FFF2-40B4-BE49-F238E27FC236}">
              <a16:creationId xmlns:a16="http://schemas.microsoft.com/office/drawing/2014/main" id="{727BE568-3B86-4B2F-500D-D7EEEE736325}"/>
            </a:ext>
          </a:extLst>
        </xdr:cNvPr>
        <xdr:cNvSpPr txBox="1"/>
      </xdr:nvSpPr>
      <xdr:spPr>
        <a:xfrm>
          <a:off x="807611" y="0"/>
          <a:ext cx="13048996" cy="5304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rgbClr val="F5F6FA"/>
              </a:solidFill>
            </a:rPr>
            <a:t>ROSHAN DI KULFI COST</a:t>
          </a:r>
          <a:r>
            <a:rPr lang="en-IN" sz="2400" b="1" baseline="0">
              <a:solidFill>
                <a:srgbClr val="F5F6FA"/>
              </a:solidFill>
            </a:rPr>
            <a:t> ANALYSIS DASHBOARD</a:t>
          </a:r>
          <a:endParaRPr lang="en-IN" sz="2400" b="1">
            <a:solidFill>
              <a:srgbClr val="F5F6FA"/>
            </a:solidFill>
          </a:endParaRPr>
        </a:p>
      </xdr:txBody>
    </xdr:sp>
    <xdr:clientData/>
  </xdr:twoCellAnchor>
  <xdr:twoCellAnchor>
    <xdr:from>
      <xdr:col>0</xdr:col>
      <xdr:colOff>0</xdr:colOff>
      <xdr:row>5</xdr:row>
      <xdr:rowOff>81665</xdr:rowOff>
    </xdr:from>
    <xdr:to>
      <xdr:col>1</xdr:col>
      <xdr:colOff>1231238</xdr:colOff>
      <xdr:row>7</xdr:row>
      <xdr:rowOff>56454</xdr:rowOff>
    </xdr:to>
    <xdr:grpSp>
      <xdr:nvGrpSpPr>
        <xdr:cNvPr id="6" name="Group 5">
          <a:extLst>
            <a:ext uri="{FF2B5EF4-FFF2-40B4-BE49-F238E27FC236}">
              <a16:creationId xmlns:a16="http://schemas.microsoft.com/office/drawing/2014/main" id="{68F3D788-8D76-3A2F-18BA-265F112C708A}"/>
            </a:ext>
          </a:extLst>
        </xdr:cNvPr>
        <xdr:cNvGrpSpPr/>
      </xdr:nvGrpSpPr>
      <xdr:grpSpPr>
        <a:xfrm>
          <a:off x="0" y="1224665"/>
          <a:ext cx="1818613" cy="292289"/>
          <a:chOff x="0" y="1189487"/>
          <a:chExt cx="1727528" cy="297329"/>
        </a:xfrm>
      </xdr:grpSpPr>
      <xdr:sp macro="" textlink="">
        <xdr:nvSpPr>
          <xdr:cNvPr id="48" name="TextBox 47">
            <a:hlinkClick xmlns:r="http://schemas.openxmlformats.org/officeDocument/2006/relationships" r:id="rId3"/>
            <a:extLst>
              <a:ext uri="{FF2B5EF4-FFF2-40B4-BE49-F238E27FC236}">
                <a16:creationId xmlns:a16="http://schemas.microsoft.com/office/drawing/2014/main" id="{1437FA28-D299-B003-FCFD-A18418BFFFAF}"/>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SUB RECIPES</a:t>
            </a:r>
            <a:endParaRPr lang="en-IN" sz="1100" b="1">
              <a:ln>
                <a:noFill/>
              </a:ln>
              <a:solidFill>
                <a:srgbClr val="454E52"/>
              </a:solidFill>
            </a:endParaRPr>
          </a:p>
        </xdr:txBody>
      </xdr:sp>
      <xdr:sp macro="" textlink="">
        <xdr:nvSpPr>
          <xdr:cNvPr id="49" name="Rectangle 48">
            <a:extLst>
              <a:ext uri="{FF2B5EF4-FFF2-40B4-BE49-F238E27FC236}">
                <a16:creationId xmlns:a16="http://schemas.microsoft.com/office/drawing/2014/main" id="{D4ABE300-D22A-CCD7-E4EC-02B0C7A8D0C3}"/>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69" name="Graphic 68" descr="Clipboard Checked with solid fill">
            <a:extLst>
              <a:ext uri="{FF2B5EF4-FFF2-40B4-BE49-F238E27FC236}">
                <a16:creationId xmlns:a16="http://schemas.microsoft.com/office/drawing/2014/main" id="{6CA12028-FED0-9B38-EE10-8939F462442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35719" y="1189487"/>
            <a:ext cx="267765" cy="284578"/>
          </a:xfrm>
          <a:prstGeom prst="rect">
            <a:avLst/>
          </a:prstGeom>
          <a:effectLst/>
        </xdr:spPr>
      </xdr:pic>
    </xdr:grpSp>
    <xdr:clientData/>
  </xdr:twoCellAnchor>
  <xdr:twoCellAnchor>
    <xdr:from>
      <xdr:col>0</xdr:col>
      <xdr:colOff>0</xdr:colOff>
      <xdr:row>12</xdr:row>
      <xdr:rowOff>35395</xdr:rowOff>
    </xdr:from>
    <xdr:to>
      <xdr:col>1</xdr:col>
      <xdr:colOff>1231238</xdr:colOff>
      <xdr:row>14</xdr:row>
      <xdr:rowOff>855</xdr:rowOff>
    </xdr:to>
    <xdr:grpSp>
      <xdr:nvGrpSpPr>
        <xdr:cNvPr id="12" name="Group 11">
          <a:extLst>
            <a:ext uri="{FF2B5EF4-FFF2-40B4-BE49-F238E27FC236}">
              <a16:creationId xmlns:a16="http://schemas.microsoft.com/office/drawing/2014/main" id="{BEF1E648-14AC-4CE4-BE87-A12A02B26F02}"/>
            </a:ext>
          </a:extLst>
        </xdr:cNvPr>
        <xdr:cNvGrpSpPr/>
      </xdr:nvGrpSpPr>
      <xdr:grpSpPr>
        <a:xfrm>
          <a:off x="0" y="2289645"/>
          <a:ext cx="1818613" cy="282960"/>
          <a:chOff x="0" y="1198816"/>
          <a:chExt cx="1727528" cy="288000"/>
        </a:xfrm>
      </xdr:grpSpPr>
      <xdr:sp macro="" textlink="">
        <xdr:nvSpPr>
          <xdr:cNvPr id="13" name="TextBox 12">
            <a:hlinkClick xmlns:r="http://schemas.openxmlformats.org/officeDocument/2006/relationships" r:id="rId6"/>
            <a:extLst>
              <a:ext uri="{FF2B5EF4-FFF2-40B4-BE49-F238E27FC236}">
                <a16:creationId xmlns:a16="http://schemas.microsoft.com/office/drawing/2014/main" id="{23F291BD-A15A-4D36-3E02-CD8FA8C1AE14}"/>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NORTH</a:t>
            </a:r>
            <a:r>
              <a:rPr lang="en-IN" sz="1200" b="1" baseline="0">
                <a:ln>
                  <a:noFill/>
                </a:ln>
                <a:solidFill>
                  <a:srgbClr val="454E52"/>
                </a:solidFill>
              </a:rPr>
              <a:t> INDIAN</a:t>
            </a:r>
            <a:endParaRPr lang="en-IN" sz="1100" b="1">
              <a:ln>
                <a:noFill/>
              </a:ln>
              <a:solidFill>
                <a:srgbClr val="454E52"/>
              </a:solidFill>
            </a:endParaRPr>
          </a:p>
        </xdr:txBody>
      </xdr:sp>
      <xdr:sp macro="" textlink="">
        <xdr:nvSpPr>
          <xdr:cNvPr id="14" name="Rectangle 13">
            <a:extLst>
              <a:ext uri="{FF2B5EF4-FFF2-40B4-BE49-F238E27FC236}">
                <a16:creationId xmlns:a16="http://schemas.microsoft.com/office/drawing/2014/main" id="{9A681E26-DCE7-517C-4DD0-37CC05F1456E}"/>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5" name="Graphic 14" descr="Catering with solid fill">
            <a:extLst>
              <a:ext uri="{FF2B5EF4-FFF2-40B4-BE49-F238E27FC236}">
                <a16:creationId xmlns:a16="http://schemas.microsoft.com/office/drawing/2014/main" id="{CD570ED3-7653-95F3-2613-21E28659FB1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75873" y="1229805"/>
            <a:ext cx="208617" cy="221716"/>
          </a:xfrm>
          <a:prstGeom prst="rect">
            <a:avLst/>
          </a:prstGeom>
          <a:effectLst/>
        </xdr:spPr>
      </xdr:pic>
    </xdr:grpSp>
    <xdr:clientData/>
  </xdr:twoCellAnchor>
  <xdr:twoCellAnchor>
    <xdr:from>
      <xdr:col>0</xdr:col>
      <xdr:colOff>0</xdr:colOff>
      <xdr:row>3</xdr:row>
      <xdr:rowOff>32119</xdr:rowOff>
    </xdr:from>
    <xdr:to>
      <xdr:col>1</xdr:col>
      <xdr:colOff>1231238</xdr:colOff>
      <xdr:row>5</xdr:row>
      <xdr:rowOff>20158</xdr:rowOff>
    </xdr:to>
    <xdr:grpSp>
      <xdr:nvGrpSpPr>
        <xdr:cNvPr id="16" name="Group 15">
          <a:hlinkClick xmlns:r="http://schemas.openxmlformats.org/officeDocument/2006/relationships" r:id="rId9"/>
          <a:extLst>
            <a:ext uri="{FF2B5EF4-FFF2-40B4-BE49-F238E27FC236}">
              <a16:creationId xmlns:a16="http://schemas.microsoft.com/office/drawing/2014/main" id="{48BFD5F7-DE0B-4B86-B62A-13E816FD1D5D}"/>
            </a:ext>
          </a:extLst>
        </xdr:cNvPr>
        <xdr:cNvGrpSpPr/>
      </xdr:nvGrpSpPr>
      <xdr:grpSpPr>
        <a:xfrm>
          <a:off x="0" y="857619"/>
          <a:ext cx="1818613" cy="305539"/>
          <a:chOff x="0" y="1189486"/>
          <a:chExt cx="1727528" cy="310579"/>
        </a:xfrm>
      </xdr:grpSpPr>
      <xdr:sp macro="" textlink="">
        <xdr:nvSpPr>
          <xdr:cNvPr id="17" name="TextBox 16">
            <a:hlinkClick xmlns:r="http://schemas.openxmlformats.org/officeDocument/2006/relationships" r:id="rId9"/>
            <a:extLst>
              <a:ext uri="{FF2B5EF4-FFF2-40B4-BE49-F238E27FC236}">
                <a16:creationId xmlns:a16="http://schemas.microsoft.com/office/drawing/2014/main" id="{87AD749E-43FE-0680-C661-4B45B29E4BC9}"/>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ITEM</a:t>
            </a:r>
            <a:r>
              <a:rPr lang="en-IN" sz="1100" b="1" baseline="0">
                <a:ln>
                  <a:noFill/>
                </a:ln>
                <a:solidFill>
                  <a:srgbClr val="454E52"/>
                </a:solidFill>
              </a:rPr>
              <a:t> LIST</a:t>
            </a:r>
            <a:endParaRPr lang="en-IN" sz="1100" b="1">
              <a:ln>
                <a:noFill/>
              </a:ln>
              <a:solidFill>
                <a:srgbClr val="454E52"/>
              </a:solidFill>
            </a:endParaRPr>
          </a:p>
        </xdr:txBody>
      </xdr:sp>
      <xdr:sp macro="" textlink="">
        <xdr:nvSpPr>
          <xdr:cNvPr id="18" name="Rectangle 17">
            <a:extLst>
              <a:ext uri="{FF2B5EF4-FFF2-40B4-BE49-F238E27FC236}">
                <a16:creationId xmlns:a16="http://schemas.microsoft.com/office/drawing/2014/main" id="{B10DFD38-50B9-897A-047B-EF5B27042D53}"/>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20" name="Graphic 19" descr="Box trolley with solid fill">
            <a:extLst>
              <a:ext uri="{FF2B5EF4-FFF2-40B4-BE49-F238E27FC236}">
                <a16:creationId xmlns:a16="http://schemas.microsoft.com/office/drawing/2014/main" id="{16CBFC77-A6AF-9F1A-543C-160015D402D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37936" y="1189486"/>
            <a:ext cx="274787" cy="310579"/>
          </a:xfrm>
          <a:prstGeom prst="rect">
            <a:avLst/>
          </a:prstGeom>
          <a:effectLst/>
        </xdr:spPr>
      </xdr:pic>
    </xdr:grpSp>
    <xdr:clientData/>
  </xdr:twoCellAnchor>
  <xdr:twoCellAnchor>
    <xdr:from>
      <xdr:col>0</xdr:col>
      <xdr:colOff>0</xdr:colOff>
      <xdr:row>14</xdr:row>
      <xdr:rowOff>62362</xdr:rowOff>
    </xdr:from>
    <xdr:to>
      <xdr:col>1</xdr:col>
      <xdr:colOff>1231238</xdr:colOff>
      <xdr:row>16</xdr:row>
      <xdr:rowOff>30342</xdr:rowOff>
    </xdr:to>
    <xdr:grpSp>
      <xdr:nvGrpSpPr>
        <xdr:cNvPr id="22" name="Group 21">
          <a:extLst>
            <a:ext uri="{FF2B5EF4-FFF2-40B4-BE49-F238E27FC236}">
              <a16:creationId xmlns:a16="http://schemas.microsoft.com/office/drawing/2014/main" id="{5B5303DA-7B4A-4673-B50B-1B6654F1038E}"/>
            </a:ext>
          </a:extLst>
        </xdr:cNvPr>
        <xdr:cNvGrpSpPr/>
      </xdr:nvGrpSpPr>
      <xdr:grpSpPr>
        <a:xfrm>
          <a:off x="0" y="2634112"/>
          <a:ext cx="1818613" cy="285480"/>
          <a:chOff x="0" y="1198816"/>
          <a:chExt cx="1727528" cy="288000"/>
        </a:xfrm>
      </xdr:grpSpPr>
      <xdr:sp macro="" textlink="">
        <xdr:nvSpPr>
          <xdr:cNvPr id="23" name="TextBox 22">
            <a:hlinkClick xmlns:r="http://schemas.openxmlformats.org/officeDocument/2006/relationships" r:id="rId12"/>
            <a:extLst>
              <a:ext uri="{FF2B5EF4-FFF2-40B4-BE49-F238E27FC236}">
                <a16:creationId xmlns:a16="http://schemas.microsoft.com/office/drawing/2014/main" id="{989A5F41-8FC6-A2AE-7C60-31802368278D}"/>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SOUTH</a:t>
            </a:r>
            <a:r>
              <a:rPr lang="en-IN" sz="1200" b="1" baseline="0">
                <a:ln>
                  <a:noFill/>
                </a:ln>
                <a:solidFill>
                  <a:srgbClr val="454E52"/>
                </a:solidFill>
              </a:rPr>
              <a:t> INDIAN</a:t>
            </a:r>
            <a:endParaRPr lang="en-IN" sz="1100" b="1">
              <a:ln>
                <a:noFill/>
              </a:ln>
              <a:solidFill>
                <a:srgbClr val="454E52"/>
              </a:solidFill>
            </a:endParaRPr>
          </a:p>
        </xdr:txBody>
      </xdr:sp>
      <xdr:sp macro="" textlink="">
        <xdr:nvSpPr>
          <xdr:cNvPr id="24" name="Rectangle 23">
            <a:extLst>
              <a:ext uri="{FF2B5EF4-FFF2-40B4-BE49-F238E27FC236}">
                <a16:creationId xmlns:a16="http://schemas.microsoft.com/office/drawing/2014/main" id="{A15DC051-8058-0819-D031-EA5A8FE9D580}"/>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26" name="Graphic 25" descr="Pasta with solid fill">
            <a:extLst>
              <a:ext uri="{FF2B5EF4-FFF2-40B4-BE49-F238E27FC236}">
                <a16:creationId xmlns:a16="http://schemas.microsoft.com/office/drawing/2014/main" id="{680DDDBA-F06F-6B72-7871-5AF7AB925E5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52633" y="1209645"/>
            <a:ext cx="250851" cy="266602"/>
          </a:xfrm>
          <a:prstGeom prst="rect">
            <a:avLst/>
          </a:prstGeom>
          <a:effectLst/>
        </xdr:spPr>
      </xdr:pic>
    </xdr:grpSp>
    <xdr:clientData/>
  </xdr:twoCellAnchor>
  <xdr:twoCellAnchor>
    <xdr:from>
      <xdr:col>0</xdr:col>
      <xdr:colOff>0</xdr:colOff>
      <xdr:row>16</xdr:row>
      <xdr:rowOff>91849</xdr:rowOff>
    </xdr:from>
    <xdr:to>
      <xdr:col>1</xdr:col>
      <xdr:colOff>1231238</xdr:colOff>
      <xdr:row>18</xdr:row>
      <xdr:rowOff>57310</xdr:rowOff>
    </xdr:to>
    <xdr:grpSp>
      <xdr:nvGrpSpPr>
        <xdr:cNvPr id="27" name="Group 26">
          <a:extLst>
            <a:ext uri="{FF2B5EF4-FFF2-40B4-BE49-F238E27FC236}">
              <a16:creationId xmlns:a16="http://schemas.microsoft.com/office/drawing/2014/main" id="{D2598C73-B63F-4D00-8B1D-BA817220651E}"/>
            </a:ext>
          </a:extLst>
        </xdr:cNvPr>
        <xdr:cNvGrpSpPr/>
      </xdr:nvGrpSpPr>
      <xdr:grpSpPr>
        <a:xfrm>
          <a:off x="0" y="2981099"/>
          <a:ext cx="1818613" cy="282961"/>
          <a:chOff x="0" y="1198816"/>
          <a:chExt cx="1727528" cy="288000"/>
        </a:xfrm>
      </xdr:grpSpPr>
      <xdr:sp macro="" textlink="">
        <xdr:nvSpPr>
          <xdr:cNvPr id="28" name="TextBox 27">
            <a:hlinkClick xmlns:r="http://schemas.openxmlformats.org/officeDocument/2006/relationships" r:id="rId15"/>
            <a:extLst>
              <a:ext uri="{FF2B5EF4-FFF2-40B4-BE49-F238E27FC236}">
                <a16:creationId xmlns:a16="http://schemas.microsoft.com/office/drawing/2014/main" id="{EEC864C1-EB4F-7EFC-720C-9467E1E9AFED}"/>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GRILLS</a:t>
            </a:r>
            <a:endParaRPr lang="en-IN" sz="1100" b="1">
              <a:ln>
                <a:noFill/>
              </a:ln>
              <a:solidFill>
                <a:srgbClr val="454E52"/>
              </a:solidFill>
            </a:endParaRPr>
          </a:p>
        </xdr:txBody>
      </xdr:sp>
      <xdr:sp macro="" textlink="">
        <xdr:nvSpPr>
          <xdr:cNvPr id="30" name="Rectangle 29">
            <a:extLst>
              <a:ext uri="{FF2B5EF4-FFF2-40B4-BE49-F238E27FC236}">
                <a16:creationId xmlns:a16="http://schemas.microsoft.com/office/drawing/2014/main" id="{2DA29D11-A404-5FF5-F95E-8F8379CDAA56}"/>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1" name="Graphic 30" descr="Restaurant with solid fill">
            <a:extLst>
              <a:ext uri="{FF2B5EF4-FFF2-40B4-BE49-F238E27FC236}">
                <a16:creationId xmlns:a16="http://schemas.microsoft.com/office/drawing/2014/main" id="{4B628746-E61A-C590-7322-35E48C851D19}"/>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43150" y="1219724"/>
            <a:ext cx="222399" cy="236363"/>
          </a:xfrm>
          <a:prstGeom prst="rect">
            <a:avLst/>
          </a:prstGeom>
          <a:effectLst/>
        </xdr:spPr>
      </xdr:pic>
    </xdr:grpSp>
    <xdr:clientData/>
  </xdr:twoCellAnchor>
  <xdr:twoCellAnchor>
    <xdr:from>
      <xdr:col>0</xdr:col>
      <xdr:colOff>0</xdr:colOff>
      <xdr:row>18</xdr:row>
      <xdr:rowOff>118817</xdr:rowOff>
    </xdr:from>
    <xdr:to>
      <xdr:col>1</xdr:col>
      <xdr:colOff>1231238</xdr:colOff>
      <xdr:row>20</xdr:row>
      <xdr:rowOff>84277</xdr:rowOff>
    </xdr:to>
    <xdr:grpSp>
      <xdr:nvGrpSpPr>
        <xdr:cNvPr id="32" name="Group 31">
          <a:extLst>
            <a:ext uri="{FF2B5EF4-FFF2-40B4-BE49-F238E27FC236}">
              <a16:creationId xmlns:a16="http://schemas.microsoft.com/office/drawing/2014/main" id="{00FFB5F6-6DBF-41C3-9C22-5199C6C21646}"/>
            </a:ext>
          </a:extLst>
        </xdr:cNvPr>
        <xdr:cNvGrpSpPr/>
      </xdr:nvGrpSpPr>
      <xdr:grpSpPr>
        <a:xfrm>
          <a:off x="0" y="3325567"/>
          <a:ext cx="1818613" cy="282960"/>
          <a:chOff x="0" y="1198816"/>
          <a:chExt cx="1727528" cy="288000"/>
        </a:xfrm>
      </xdr:grpSpPr>
      <xdr:sp macro="" textlink="">
        <xdr:nvSpPr>
          <xdr:cNvPr id="33" name="TextBox 32">
            <a:hlinkClick xmlns:r="http://schemas.openxmlformats.org/officeDocument/2006/relationships" r:id="rId18"/>
            <a:extLst>
              <a:ext uri="{FF2B5EF4-FFF2-40B4-BE49-F238E27FC236}">
                <a16:creationId xmlns:a16="http://schemas.microsoft.com/office/drawing/2014/main" id="{FA2DA92D-49B4-9544-96C3-1D857BC19AA2}"/>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SPECIALS</a:t>
            </a:r>
            <a:endParaRPr lang="en-IN" sz="1100" b="1">
              <a:ln>
                <a:noFill/>
              </a:ln>
              <a:solidFill>
                <a:srgbClr val="454E52"/>
              </a:solidFill>
            </a:endParaRPr>
          </a:p>
        </xdr:txBody>
      </xdr:sp>
      <xdr:sp macro="" textlink="">
        <xdr:nvSpPr>
          <xdr:cNvPr id="35" name="Rectangle 34">
            <a:extLst>
              <a:ext uri="{FF2B5EF4-FFF2-40B4-BE49-F238E27FC236}">
                <a16:creationId xmlns:a16="http://schemas.microsoft.com/office/drawing/2014/main" id="{344FB405-D98F-DD40-D965-B86777E0F061}"/>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7" name="Graphic 36" descr="Grocery bag with solid fill">
            <a:extLst>
              <a:ext uri="{FF2B5EF4-FFF2-40B4-BE49-F238E27FC236}">
                <a16:creationId xmlns:a16="http://schemas.microsoft.com/office/drawing/2014/main" id="{CA02B5E2-BA6C-D19C-3667-775984FB0CE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43148" y="1201390"/>
            <a:ext cx="246579" cy="262062"/>
          </a:xfrm>
          <a:prstGeom prst="rect">
            <a:avLst/>
          </a:prstGeom>
          <a:effectLst/>
        </xdr:spPr>
      </xdr:pic>
    </xdr:grpSp>
    <xdr:clientData/>
  </xdr:twoCellAnchor>
  <xdr:twoCellAnchor>
    <xdr:from>
      <xdr:col>0</xdr:col>
      <xdr:colOff>0</xdr:colOff>
      <xdr:row>20</xdr:row>
      <xdr:rowOff>145784</xdr:rowOff>
    </xdr:from>
    <xdr:to>
      <xdr:col>1</xdr:col>
      <xdr:colOff>1231238</xdr:colOff>
      <xdr:row>22</xdr:row>
      <xdr:rowOff>114772</xdr:rowOff>
    </xdr:to>
    <xdr:grpSp>
      <xdr:nvGrpSpPr>
        <xdr:cNvPr id="38" name="Group 37">
          <a:extLst>
            <a:ext uri="{FF2B5EF4-FFF2-40B4-BE49-F238E27FC236}">
              <a16:creationId xmlns:a16="http://schemas.microsoft.com/office/drawing/2014/main" id="{256E5F4D-C36E-441B-B005-E4D8D75ED4C5}"/>
            </a:ext>
          </a:extLst>
        </xdr:cNvPr>
        <xdr:cNvGrpSpPr/>
      </xdr:nvGrpSpPr>
      <xdr:grpSpPr>
        <a:xfrm>
          <a:off x="0" y="3670034"/>
          <a:ext cx="1818613" cy="286488"/>
          <a:chOff x="0" y="1195288"/>
          <a:chExt cx="1727528" cy="291528"/>
        </a:xfrm>
      </xdr:grpSpPr>
      <xdr:sp macro="" textlink="">
        <xdr:nvSpPr>
          <xdr:cNvPr id="39" name="TextBox 38">
            <a:hlinkClick xmlns:r="http://schemas.openxmlformats.org/officeDocument/2006/relationships" r:id="rId21"/>
            <a:extLst>
              <a:ext uri="{FF2B5EF4-FFF2-40B4-BE49-F238E27FC236}">
                <a16:creationId xmlns:a16="http://schemas.microsoft.com/office/drawing/2014/main" id="{E0EF0993-B1C9-9772-18A7-F33D4C9F14B9}"/>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100" b="1" baseline="0">
                <a:ln>
                  <a:noFill/>
                </a:ln>
                <a:solidFill>
                  <a:srgbClr val="454E52"/>
                </a:solidFill>
              </a:rPr>
              <a:t> CHINESE</a:t>
            </a:r>
            <a:endParaRPr lang="en-IN" sz="1100" b="1">
              <a:ln>
                <a:noFill/>
              </a:ln>
              <a:solidFill>
                <a:srgbClr val="454E52"/>
              </a:solidFill>
            </a:endParaRPr>
          </a:p>
        </xdr:txBody>
      </xdr:sp>
      <xdr:sp macro="" textlink="">
        <xdr:nvSpPr>
          <xdr:cNvPr id="40" name="Rectangle 39">
            <a:extLst>
              <a:ext uri="{FF2B5EF4-FFF2-40B4-BE49-F238E27FC236}">
                <a16:creationId xmlns:a16="http://schemas.microsoft.com/office/drawing/2014/main" id="{DA775347-6439-9661-FA94-97A35B6642AA}"/>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42" name="Graphic 41" descr="Noodles with solid fill">
            <a:extLst>
              <a:ext uri="{FF2B5EF4-FFF2-40B4-BE49-F238E27FC236}">
                <a16:creationId xmlns:a16="http://schemas.microsoft.com/office/drawing/2014/main" id="{A24C25B4-9F0D-F5A0-F5B5-4E483524B1C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rcRect/>
          <a:stretch/>
        </xdr:blipFill>
        <xdr:spPr>
          <a:xfrm>
            <a:off x="43150" y="1195288"/>
            <a:ext cx="265548" cy="282222"/>
          </a:xfrm>
          <a:prstGeom prst="rect">
            <a:avLst/>
          </a:prstGeom>
          <a:effectLst/>
        </xdr:spPr>
      </xdr:pic>
    </xdr:grpSp>
    <xdr:clientData/>
  </xdr:twoCellAnchor>
  <xdr:twoCellAnchor>
    <xdr:from>
      <xdr:col>0</xdr:col>
      <xdr:colOff>0</xdr:colOff>
      <xdr:row>23</xdr:row>
      <xdr:rowOff>17529</xdr:rowOff>
    </xdr:from>
    <xdr:to>
      <xdr:col>1</xdr:col>
      <xdr:colOff>1231238</xdr:colOff>
      <xdr:row>24</xdr:row>
      <xdr:rowOff>144259</xdr:rowOff>
    </xdr:to>
    <xdr:grpSp>
      <xdr:nvGrpSpPr>
        <xdr:cNvPr id="45" name="Group 44">
          <a:extLst>
            <a:ext uri="{FF2B5EF4-FFF2-40B4-BE49-F238E27FC236}">
              <a16:creationId xmlns:a16="http://schemas.microsoft.com/office/drawing/2014/main" id="{4D73DCAC-C006-4F52-9C83-1C466914BD8E}"/>
            </a:ext>
          </a:extLst>
        </xdr:cNvPr>
        <xdr:cNvGrpSpPr/>
      </xdr:nvGrpSpPr>
      <xdr:grpSpPr>
        <a:xfrm>
          <a:off x="0" y="4018029"/>
          <a:ext cx="1818613" cy="285480"/>
          <a:chOff x="0" y="1198816"/>
          <a:chExt cx="1727528" cy="288000"/>
        </a:xfrm>
      </xdr:grpSpPr>
      <xdr:sp macro="" textlink="">
        <xdr:nvSpPr>
          <xdr:cNvPr id="46" name="TextBox 45">
            <a:hlinkClick xmlns:r="http://schemas.openxmlformats.org/officeDocument/2006/relationships" r:id="rId24"/>
            <a:extLst>
              <a:ext uri="{FF2B5EF4-FFF2-40B4-BE49-F238E27FC236}">
                <a16:creationId xmlns:a16="http://schemas.microsoft.com/office/drawing/2014/main" id="{CA891AFE-09D2-BC97-3CB0-A3F38224879E}"/>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100" b="1" baseline="0">
                <a:ln>
                  <a:noFill/>
                </a:ln>
                <a:solidFill>
                  <a:srgbClr val="454E52"/>
                </a:solidFill>
              </a:rPr>
              <a:t> CHAAT</a:t>
            </a:r>
            <a:endParaRPr lang="en-IN" sz="1100" b="1">
              <a:ln>
                <a:noFill/>
              </a:ln>
              <a:solidFill>
                <a:srgbClr val="454E52"/>
              </a:solidFill>
            </a:endParaRPr>
          </a:p>
        </xdr:txBody>
      </xdr:sp>
      <xdr:sp macro="" textlink="">
        <xdr:nvSpPr>
          <xdr:cNvPr id="47" name="Rectangle 46">
            <a:extLst>
              <a:ext uri="{FF2B5EF4-FFF2-40B4-BE49-F238E27FC236}">
                <a16:creationId xmlns:a16="http://schemas.microsoft.com/office/drawing/2014/main" id="{5DA98C14-0F25-B207-9199-8008F711FF21}"/>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50" name="Graphic 49" descr="Fruit bowl with solid fill">
            <a:extLst>
              <a:ext uri="{FF2B5EF4-FFF2-40B4-BE49-F238E27FC236}">
                <a16:creationId xmlns:a16="http://schemas.microsoft.com/office/drawing/2014/main" id="{AF749C8F-0DF5-5E69-FD49-83AAC08E361F}"/>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9402" y="1249963"/>
            <a:ext cx="276036" cy="185706"/>
          </a:xfrm>
          <a:prstGeom prst="rect">
            <a:avLst/>
          </a:prstGeom>
          <a:effectLst/>
        </xdr:spPr>
      </xdr:pic>
    </xdr:grpSp>
    <xdr:clientData/>
  </xdr:twoCellAnchor>
  <xdr:twoCellAnchor>
    <xdr:from>
      <xdr:col>0</xdr:col>
      <xdr:colOff>0</xdr:colOff>
      <xdr:row>25</xdr:row>
      <xdr:rowOff>47016</xdr:rowOff>
    </xdr:from>
    <xdr:to>
      <xdr:col>1</xdr:col>
      <xdr:colOff>1231238</xdr:colOff>
      <xdr:row>27</xdr:row>
      <xdr:rowOff>12476</xdr:rowOff>
    </xdr:to>
    <xdr:grpSp>
      <xdr:nvGrpSpPr>
        <xdr:cNvPr id="51" name="Group 50">
          <a:extLst>
            <a:ext uri="{FF2B5EF4-FFF2-40B4-BE49-F238E27FC236}">
              <a16:creationId xmlns:a16="http://schemas.microsoft.com/office/drawing/2014/main" id="{A56D1137-0E70-4738-A814-F9DD9AABBB95}"/>
            </a:ext>
          </a:extLst>
        </xdr:cNvPr>
        <xdr:cNvGrpSpPr/>
      </xdr:nvGrpSpPr>
      <xdr:grpSpPr>
        <a:xfrm>
          <a:off x="0" y="4365016"/>
          <a:ext cx="1818613" cy="282960"/>
          <a:chOff x="0" y="1198816"/>
          <a:chExt cx="1727528" cy="288000"/>
        </a:xfrm>
      </xdr:grpSpPr>
      <xdr:sp macro="" textlink="">
        <xdr:nvSpPr>
          <xdr:cNvPr id="52" name="TextBox 51">
            <a:hlinkClick xmlns:r="http://schemas.openxmlformats.org/officeDocument/2006/relationships" r:id="rId27"/>
            <a:extLst>
              <a:ext uri="{FF2B5EF4-FFF2-40B4-BE49-F238E27FC236}">
                <a16:creationId xmlns:a16="http://schemas.microsoft.com/office/drawing/2014/main" id="{1F1D8C30-F469-2D8D-E1F2-1FA715CF8B01}"/>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KULFI</a:t>
            </a:r>
            <a:endParaRPr lang="en-IN" sz="1100" b="1">
              <a:ln>
                <a:noFill/>
              </a:ln>
              <a:solidFill>
                <a:srgbClr val="454E52"/>
              </a:solidFill>
            </a:endParaRPr>
          </a:p>
        </xdr:txBody>
      </xdr:sp>
      <xdr:sp macro="" textlink="">
        <xdr:nvSpPr>
          <xdr:cNvPr id="53" name="Rectangle 52">
            <a:extLst>
              <a:ext uri="{FF2B5EF4-FFF2-40B4-BE49-F238E27FC236}">
                <a16:creationId xmlns:a16="http://schemas.microsoft.com/office/drawing/2014/main" id="{EA55A58F-20C2-FD45-2CA5-58EF4B085F91}"/>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54" name="Graphic 53" descr="Fruit bowl with solid fill">
            <a:extLst>
              <a:ext uri="{FF2B5EF4-FFF2-40B4-BE49-F238E27FC236}">
                <a16:creationId xmlns:a16="http://schemas.microsoft.com/office/drawing/2014/main" id="{CA30CCEC-7BC7-4F2A-D138-13A643EFA8A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9402" y="1249963"/>
            <a:ext cx="276036" cy="185706"/>
          </a:xfrm>
          <a:prstGeom prst="rect">
            <a:avLst/>
          </a:prstGeom>
          <a:effectLst/>
        </xdr:spPr>
      </xdr:pic>
    </xdr:grpSp>
    <xdr:clientData/>
  </xdr:twoCellAnchor>
  <xdr:twoCellAnchor>
    <xdr:from>
      <xdr:col>0</xdr:col>
      <xdr:colOff>0</xdr:colOff>
      <xdr:row>27</xdr:row>
      <xdr:rowOff>73983</xdr:rowOff>
    </xdr:from>
    <xdr:to>
      <xdr:col>1</xdr:col>
      <xdr:colOff>1231238</xdr:colOff>
      <xdr:row>29</xdr:row>
      <xdr:rowOff>39444</xdr:rowOff>
    </xdr:to>
    <xdr:grpSp>
      <xdr:nvGrpSpPr>
        <xdr:cNvPr id="55" name="Group 54">
          <a:extLst>
            <a:ext uri="{FF2B5EF4-FFF2-40B4-BE49-F238E27FC236}">
              <a16:creationId xmlns:a16="http://schemas.microsoft.com/office/drawing/2014/main" id="{BD3C191D-F732-4082-80DB-E58840E4D8D4}"/>
            </a:ext>
          </a:extLst>
        </xdr:cNvPr>
        <xdr:cNvGrpSpPr/>
      </xdr:nvGrpSpPr>
      <xdr:grpSpPr>
        <a:xfrm>
          <a:off x="0" y="4709483"/>
          <a:ext cx="1818613" cy="282961"/>
          <a:chOff x="0" y="1198816"/>
          <a:chExt cx="1727528" cy="288000"/>
        </a:xfrm>
      </xdr:grpSpPr>
      <xdr:sp macro="" textlink="">
        <xdr:nvSpPr>
          <xdr:cNvPr id="56" name="TextBox 55">
            <a:hlinkClick xmlns:r="http://schemas.openxmlformats.org/officeDocument/2006/relationships" r:id="rId28"/>
            <a:extLst>
              <a:ext uri="{FF2B5EF4-FFF2-40B4-BE49-F238E27FC236}">
                <a16:creationId xmlns:a16="http://schemas.microsoft.com/office/drawing/2014/main" id="{18511E71-6399-6248-8A9C-19247D8899B3}"/>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DRINKS</a:t>
            </a:r>
            <a:endParaRPr lang="en-IN" sz="1100" b="1">
              <a:ln>
                <a:noFill/>
              </a:ln>
              <a:solidFill>
                <a:srgbClr val="454E52"/>
              </a:solidFill>
            </a:endParaRPr>
          </a:p>
        </xdr:txBody>
      </xdr:sp>
      <xdr:sp macro="" textlink="">
        <xdr:nvSpPr>
          <xdr:cNvPr id="57" name="Rectangle 56">
            <a:extLst>
              <a:ext uri="{FF2B5EF4-FFF2-40B4-BE49-F238E27FC236}">
                <a16:creationId xmlns:a16="http://schemas.microsoft.com/office/drawing/2014/main" id="{1A24EB73-D279-D0A0-6F88-996719481FAE}"/>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58" name="Graphic 57" descr="Frappe Cup with solid fill">
            <a:extLst>
              <a:ext uri="{FF2B5EF4-FFF2-40B4-BE49-F238E27FC236}">
                <a16:creationId xmlns:a16="http://schemas.microsoft.com/office/drawing/2014/main" id="{57F81916-9606-945C-4BC8-AADA28F35FC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rcRect/>
          <a:stretch/>
        </xdr:blipFill>
        <xdr:spPr>
          <a:xfrm>
            <a:off x="43150" y="1199567"/>
            <a:ext cx="260335" cy="276680"/>
          </a:xfrm>
          <a:prstGeom prst="rect">
            <a:avLst/>
          </a:prstGeom>
          <a:effectLst/>
        </xdr:spPr>
      </xdr:pic>
    </xdr:grpSp>
    <xdr:clientData/>
  </xdr:twoCellAnchor>
  <xdr:twoCellAnchor>
    <xdr:from>
      <xdr:col>0</xdr:col>
      <xdr:colOff>0</xdr:colOff>
      <xdr:row>29</xdr:row>
      <xdr:rowOff>100952</xdr:rowOff>
    </xdr:from>
    <xdr:to>
      <xdr:col>1</xdr:col>
      <xdr:colOff>1231238</xdr:colOff>
      <xdr:row>31</xdr:row>
      <xdr:rowOff>74191</xdr:rowOff>
    </xdr:to>
    <xdr:grpSp>
      <xdr:nvGrpSpPr>
        <xdr:cNvPr id="59" name="Group 58">
          <a:extLst>
            <a:ext uri="{FF2B5EF4-FFF2-40B4-BE49-F238E27FC236}">
              <a16:creationId xmlns:a16="http://schemas.microsoft.com/office/drawing/2014/main" id="{FF3D9F30-111A-42F3-A5D9-674BBD47A50D}"/>
            </a:ext>
          </a:extLst>
        </xdr:cNvPr>
        <xdr:cNvGrpSpPr/>
      </xdr:nvGrpSpPr>
      <xdr:grpSpPr>
        <a:xfrm>
          <a:off x="0" y="5053952"/>
          <a:ext cx="1818613" cy="290739"/>
          <a:chOff x="0" y="1191037"/>
          <a:chExt cx="1727528" cy="295779"/>
        </a:xfrm>
      </xdr:grpSpPr>
      <xdr:sp macro="" textlink="">
        <xdr:nvSpPr>
          <xdr:cNvPr id="60" name="TextBox 59">
            <a:hlinkClick xmlns:r="http://schemas.openxmlformats.org/officeDocument/2006/relationships" r:id="rId31"/>
            <a:extLst>
              <a:ext uri="{FF2B5EF4-FFF2-40B4-BE49-F238E27FC236}">
                <a16:creationId xmlns:a16="http://schemas.microsoft.com/office/drawing/2014/main" id="{6B31BA8E-534D-20D5-4D72-4C38EA6B43CD}"/>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SWEETS</a:t>
            </a:r>
            <a:endParaRPr lang="en-IN" sz="1100" b="1">
              <a:ln>
                <a:noFill/>
              </a:ln>
              <a:solidFill>
                <a:srgbClr val="454E52"/>
              </a:solidFill>
            </a:endParaRPr>
          </a:p>
        </xdr:txBody>
      </xdr:sp>
      <xdr:sp macro="" textlink="">
        <xdr:nvSpPr>
          <xdr:cNvPr id="61" name="Rectangle 60">
            <a:extLst>
              <a:ext uri="{FF2B5EF4-FFF2-40B4-BE49-F238E27FC236}">
                <a16:creationId xmlns:a16="http://schemas.microsoft.com/office/drawing/2014/main" id="{44A941CE-AE2E-8C33-B63F-A9E60779938A}"/>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62" name="Graphic 61" descr="Donut with solid fill">
            <a:extLst>
              <a:ext uri="{FF2B5EF4-FFF2-40B4-BE49-F238E27FC236}">
                <a16:creationId xmlns:a16="http://schemas.microsoft.com/office/drawing/2014/main" id="{3E75A7D9-0D5E-B7EF-7E8D-9F4B5DF051D8}"/>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rcRect/>
          <a:stretch/>
        </xdr:blipFill>
        <xdr:spPr>
          <a:xfrm>
            <a:off x="33665" y="1191037"/>
            <a:ext cx="268115" cy="284950"/>
          </a:xfrm>
          <a:prstGeom prst="rect">
            <a:avLst/>
          </a:prstGeom>
          <a:effectLst/>
        </xdr:spPr>
      </xdr:pic>
    </xdr:grpSp>
    <xdr:clientData/>
  </xdr:twoCellAnchor>
  <xdr:twoCellAnchor>
    <xdr:from>
      <xdr:col>0</xdr:col>
      <xdr:colOff>0</xdr:colOff>
      <xdr:row>9</xdr:row>
      <xdr:rowOff>156053</xdr:rowOff>
    </xdr:from>
    <xdr:to>
      <xdr:col>1</xdr:col>
      <xdr:colOff>1231238</xdr:colOff>
      <xdr:row>11</xdr:row>
      <xdr:rowOff>132638</xdr:rowOff>
    </xdr:to>
    <xdr:grpSp>
      <xdr:nvGrpSpPr>
        <xdr:cNvPr id="67" name="Group 66">
          <a:extLst>
            <a:ext uri="{FF2B5EF4-FFF2-40B4-BE49-F238E27FC236}">
              <a16:creationId xmlns:a16="http://schemas.microsoft.com/office/drawing/2014/main" id="{4D512EC5-E67B-4FA5-85EC-AC11390F310A}"/>
            </a:ext>
          </a:extLst>
        </xdr:cNvPr>
        <xdr:cNvGrpSpPr/>
      </xdr:nvGrpSpPr>
      <xdr:grpSpPr>
        <a:xfrm>
          <a:off x="0" y="1934053"/>
          <a:ext cx="1818613" cy="294085"/>
          <a:chOff x="0" y="1198816"/>
          <a:chExt cx="1727528" cy="299124"/>
        </a:xfrm>
      </xdr:grpSpPr>
      <xdr:sp macro="" textlink="">
        <xdr:nvSpPr>
          <xdr:cNvPr id="68" name="TextBox 67">
            <a:hlinkClick xmlns:r="http://schemas.openxmlformats.org/officeDocument/2006/relationships" r:id="rId34"/>
            <a:extLst>
              <a:ext uri="{FF2B5EF4-FFF2-40B4-BE49-F238E27FC236}">
                <a16:creationId xmlns:a16="http://schemas.microsoft.com/office/drawing/2014/main" id="{DF5FC88E-62A6-D416-1D96-C8CE686BFB56}"/>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BREADS</a:t>
            </a:r>
            <a:endParaRPr lang="en-IN" sz="1100" b="1">
              <a:ln>
                <a:noFill/>
              </a:ln>
              <a:solidFill>
                <a:srgbClr val="454E52"/>
              </a:solidFill>
            </a:endParaRPr>
          </a:p>
        </xdr:txBody>
      </xdr:sp>
      <xdr:sp macro="" textlink="">
        <xdr:nvSpPr>
          <xdr:cNvPr id="83" name="Rectangle 82">
            <a:extLst>
              <a:ext uri="{FF2B5EF4-FFF2-40B4-BE49-F238E27FC236}">
                <a16:creationId xmlns:a16="http://schemas.microsoft.com/office/drawing/2014/main" id="{8A3858E4-CE9F-01BF-85FA-FA45DC027C44}"/>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84" name="Graphic 83" descr="Baguette with solid fill">
            <a:extLst>
              <a:ext uri="{FF2B5EF4-FFF2-40B4-BE49-F238E27FC236}">
                <a16:creationId xmlns:a16="http://schemas.microsoft.com/office/drawing/2014/main" id="{608BC666-04B3-F2F9-E870-EE32509E12E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rcRect/>
          <a:stretch/>
        </xdr:blipFill>
        <xdr:spPr>
          <a:xfrm>
            <a:off x="47420" y="1205640"/>
            <a:ext cx="275032" cy="292300"/>
          </a:xfrm>
          <a:prstGeom prst="rect">
            <a:avLst/>
          </a:prstGeom>
          <a:effectLst/>
        </xdr:spPr>
      </xdr:pic>
    </xdr:grpSp>
    <xdr:clientData/>
  </xdr:twoCellAnchor>
  <xdr:twoCellAnchor>
    <xdr:from>
      <xdr:col>7</xdr:col>
      <xdr:colOff>169194</xdr:colOff>
      <xdr:row>11</xdr:row>
      <xdr:rowOff>141206</xdr:rowOff>
    </xdr:from>
    <xdr:to>
      <xdr:col>11</xdr:col>
      <xdr:colOff>35906</xdr:colOff>
      <xdr:row>19</xdr:row>
      <xdr:rowOff>59847</xdr:rowOff>
    </xdr:to>
    <xdr:sp macro="" textlink="">
      <xdr:nvSpPr>
        <xdr:cNvPr id="2" name="TextBox 1">
          <a:extLst>
            <a:ext uri="{FF2B5EF4-FFF2-40B4-BE49-F238E27FC236}">
              <a16:creationId xmlns:a16="http://schemas.microsoft.com/office/drawing/2014/main" id="{6719BFDC-C17B-4BCA-BAFD-D5915C443FA0}"/>
            </a:ext>
          </a:extLst>
        </xdr:cNvPr>
        <xdr:cNvSpPr txBox="1"/>
      </xdr:nvSpPr>
      <xdr:spPr>
        <a:xfrm>
          <a:off x="6846616" y="2244644"/>
          <a:ext cx="2515853" cy="1188641"/>
        </a:xfrm>
        <a:prstGeom prst="roundRect">
          <a:avLst/>
        </a:prstGeom>
        <a:solidFill>
          <a:srgbClr val="F5F6FA"/>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IN" sz="1400" b="1">
              <a:ln>
                <a:noFill/>
              </a:ln>
              <a:solidFill>
                <a:srgbClr val="454E52"/>
              </a:solidFill>
              <a:latin typeface="+mn-lt"/>
              <a:ea typeface="+mn-ea"/>
              <a:cs typeface="+mn-cs"/>
            </a:rPr>
            <a:t>SELLING</a:t>
          </a:r>
          <a:r>
            <a:rPr lang="en-IN" sz="1400" b="1" baseline="0">
              <a:ln>
                <a:noFill/>
              </a:ln>
              <a:solidFill>
                <a:srgbClr val="454E52"/>
              </a:solidFill>
              <a:latin typeface="+mn-lt"/>
              <a:ea typeface="+mn-ea"/>
              <a:cs typeface="+mn-cs"/>
            </a:rPr>
            <a:t> PRICE</a:t>
          </a:r>
        </a:p>
        <a:p>
          <a:r>
            <a:rPr lang="en-IN" sz="1100" b="0" i="0" u="none" strike="noStrike">
              <a:solidFill>
                <a:schemeClr val="dk1"/>
              </a:solidFill>
              <a:effectLst/>
              <a:latin typeface="+mn-lt"/>
              <a:ea typeface="+mn-ea"/>
              <a:cs typeface="+mn-cs"/>
            </a:rPr>
            <a:t>              </a:t>
          </a:r>
        </a:p>
      </xdr:txBody>
    </xdr:sp>
    <xdr:clientData/>
  </xdr:twoCellAnchor>
  <xdr:twoCellAnchor>
    <xdr:from>
      <xdr:col>7</xdr:col>
      <xdr:colOff>521592</xdr:colOff>
      <xdr:row>14</xdr:row>
      <xdr:rowOff>71266</xdr:rowOff>
    </xdr:from>
    <xdr:to>
      <xdr:col>10</xdr:col>
      <xdr:colOff>271449</xdr:colOff>
      <xdr:row>18</xdr:row>
      <xdr:rowOff>17815</xdr:rowOff>
    </xdr:to>
    <xdr:sp macro="" textlink="Sheet7!G2">
      <xdr:nvSpPr>
        <xdr:cNvPr id="8" name="TextBox 7">
          <a:extLst>
            <a:ext uri="{FF2B5EF4-FFF2-40B4-BE49-F238E27FC236}">
              <a16:creationId xmlns:a16="http://schemas.microsoft.com/office/drawing/2014/main" id="{575891D5-5A7D-4D62-8ADA-81A19724CA54}"/>
            </a:ext>
          </a:extLst>
        </xdr:cNvPr>
        <xdr:cNvSpPr txBox="1"/>
      </xdr:nvSpPr>
      <xdr:spPr>
        <a:xfrm>
          <a:off x="7469239" y="2685972"/>
          <a:ext cx="1804269" cy="594000"/>
        </a:xfrm>
        <a:prstGeom prst="rect">
          <a:avLst/>
        </a:prstGeom>
        <a:solidFill>
          <a:srgbClr val="F5F6FA"/>
        </a:soli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marL="0" indent="0" algn="ctr"/>
          <a:fld id="{9FD0B46C-B8FF-487C-959A-C66EFB6B1DBF}" type="TxLink">
            <a:rPr lang="en-US" sz="1600" b="0" i="0" u="none" strike="noStrike">
              <a:solidFill>
                <a:schemeClr val="tx1">
                  <a:lumMod val="75000"/>
                  <a:lumOff val="25000"/>
                </a:schemeClr>
              </a:solidFill>
              <a:latin typeface="Arial"/>
              <a:ea typeface="+mn-ea"/>
              <a:cs typeface="Arial"/>
            </a:rPr>
            <a:pPr marL="0" indent="0" algn="ctr"/>
            <a:t>₹ 140.00</a:t>
          </a:fld>
          <a:endParaRPr lang="en-IN" sz="1600" b="0" i="0" u="none" strike="noStrike">
            <a:solidFill>
              <a:schemeClr val="tx1">
                <a:lumMod val="75000"/>
                <a:lumOff val="25000"/>
              </a:schemeClr>
            </a:solidFill>
            <a:latin typeface="Arial"/>
            <a:ea typeface="+mn-ea"/>
            <a:cs typeface="Arial"/>
          </a:endParaRPr>
        </a:p>
      </xdr:txBody>
    </xdr:sp>
    <xdr:clientData/>
  </xdr:twoCellAnchor>
  <xdr:twoCellAnchor>
    <xdr:from>
      <xdr:col>5</xdr:col>
      <xdr:colOff>118140</xdr:colOff>
      <xdr:row>18</xdr:row>
      <xdr:rowOff>156691</xdr:rowOff>
    </xdr:from>
    <xdr:to>
      <xdr:col>7</xdr:col>
      <xdr:colOff>436773</xdr:colOff>
      <xdr:row>26</xdr:row>
      <xdr:rowOff>75333</xdr:rowOff>
    </xdr:to>
    <xdr:sp macro="" textlink="">
      <xdr:nvSpPr>
        <xdr:cNvPr id="9" name="TextBox 8">
          <a:extLst>
            <a:ext uri="{FF2B5EF4-FFF2-40B4-BE49-F238E27FC236}">
              <a16:creationId xmlns:a16="http://schemas.microsoft.com/office/drawing/2014/main" id="{42B005F4-4372-4EEB-B07B-E9F2E6249DC6}"/>
            </a:ext>
          </a:extLst>
        </xdr:cNvPr>
        <xdr:cNvSpPr txBox="1"/>
      </xdr:nvSpPr>
      <xdr:spPr>
        <a:xfrm>
          <a:off x="4851105" y="3435063"/>
          <a:ext cx="2282703" cy="1218177"/>
        </a:xfrm>
        <a:prstGeom prst="roundRect">
          <a:avLst/>
        </a:prstGeom>
        <a:solidFill>
          <a:srgbClr val="F5F6FA"/>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IN" sz="1400" b="1">
              <a:ln>
                <a:noFill/>
              </a:ln>
              <a:solidFill>
                <a:srgbClr val="454E52"/>
              </a:solidFill>
              <a:latin typeface="+mn-lt"/>
              <a:ea typeface="+mn-ea"/>
              <a:cs typeface="+mn-cs"/>
            </a:rPr>
            <a:t>PROFIT </a:t>
          </a:r>
          <a:endParaRPr lang="en-IN" sz="1400" b="1" baseline="0">
            <a:ln>
              <a:noFill/>
            </a:ln>
            <a:solidFill>
              <a:srgbClr val="454E52"/>
            </a:solidFill>
            <a:latin typeface="+mn-lt"/>
            <a:ea typeface="+mn-ea"/>
            <a:cs typeface="+mn-cs"/>
          </a:endParaRPr>
        </a:p>
        <a:p>
          <a:r>
            <a:rPr lang="en-IN" sz="1100" b="0" i="0" u="none" strike="noStrike">
              <a:solidFill>
                <a:schemeClr val="dk1"/>
              </a:solidFill>
              <a:effectLst/>
              <a:latin typeface="+mn-lt"/>
              <a:ea typeface="+mn-ea"/>
              <a:cs typeface="+mn-cs"/>
            </a:rPr>
            <a:t>              </a:t>
          </a:r>
        </a:p>
      </xdr:txBody>
    </xdr:sp>
    <xdr:clientData/>
  </xdr:twoCellAnchor>
  <xdr:twoCellAnchor>
    <xdr:from>
      <xdr:col>5</xdr:col>
      <xdr:colOff>248697</xdr:colOff>
      <xdr:row>21</xdr:row>
      <xdr:rowOff>68924</xdr:rowOff>
    </xdr:from>
    <xdr:to>
      <xdr:col>7</xdr:col>
      <xdr:colOff>89268</xdr:colOff>
      <xdr:row>25</xdr:row>
      <xdr:rowOff>15473</xdr:rowOff>
    </xdr:to>
    <xdr:sp macro="" textlink="Sheet7!G5">
      <xdr:nvSpPr>
        <xdr:cNvPr id="11" name="TextBox 10">
          <a:extLst>
            <a:ext uri="{FF2B5EF4-FFF2-40B4-BE49-F238E27FC236}">
              <a16:creationId xmlns:a16="http://schemas.microsoft.com/office/drawing/2014/main" id="{B94B3E43-908A-4F5C-9D4E-16E5AC0EDE73}"/>
            </a:ext>
          </a:extLst>
        </xdr:cNvPr>
        <xdr:cNvSpPr txBox="1"/>
      </xdr:nvSpPr>
      <xdr:spPr>
        <a:xfrm>
          <a:off x="5229089" y="3816669"/>
          <a:ext cx="1807826" cy="594000"/>
        </a:xfrm>
        <a:prstGeom prst="rect">
          <a:avLst/>
        </a:prstGeom>
        <a:solidFill>
          <a:srgbClr val="F5F6FA"/>
        </a:soli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marL="0" indent="0" algn="ctr"/>
          <a:fld id="{0CF5DD9C-993A-4754-ABCD-6B3528AE6FBB}" type="TxLink">
            <a:rPr lang="en-US" sz="1600" b="0" i="0" u="none" strike="noStrike">
              <a:solidFill>
                <a:schemeClr val="tx1">
                  <a:lumMod val="75000"/>
                  <a:lumOff val="25000"/>
                </a:schemeClr>
              </a:solidFill>
              <a:latin typeface="Arial"/>
              <a:ea typeface="+mn-ea"/>
              <a:cs typeface="Arial"/>
            </a:rPr>
            <a:pPr marL="0" indent="0" algn="ctr"/>
            <a:t>₹ 88.83</a:t>
          </a:fld>
          <a:endParaRPr lang="en-IN" sz="1600" b="0" i="0" u="none" strike="noStrike">
            <a:solidFill>
              <a:schemeClr val="tx1">
                <a:lumMod val="75000"/>
                <a:lumOff val="25000"/>
              </a:schemeClr>
            </a:solidFill>
            <a:latin typeface="Arial"/>
            <a:ea typeface="+mn-ea"/>
            <a:cs typeface="Arial"/>
          </a:endParaRPr>
        </a:p>
      </xdr:txBody>
    </xdr:sp>
    <xdr:clientData/>
  </xdr:twoCellAnchor>
  <xdr:twoCellAnchor>
    <xdr:from>
      <xdr:col>7</xdr:col>
      <xdr:colOff>465387</xdr:colOff>
      <xdr:row>19</xdr:row>
      <xdr:rowOff>9072</xdr:rowOff>
    </xdr:from>
    <xdr:to>
      <xdr:col>10</xdr:col>
      <xdr:colOff>426641</xdr:colOff>
      <xdr:row>23</xdr:row>
      <xdr:rowOff>109139</xdr:rowOff>
    </xdr:to>
    <xdr:sp macro="" textlink="">
      <xdr:nvSpPr>
        <xdr:cNvPr id="19" name="TextBox 18">
          <a:extLst>
            <a:ext uri="{FF2B5EF4-FFF2-40B4-BE49-F238E27FC236}">
              <a16:creationId xmlns:a16="http://schemas.microsoft.com/office/drawing/2014/main" id="{2C49446D-A94F-477F-8873-DA05E952B8E3}"/>
            </a:ext>
          </a:extLst>
        </xdr:cNvPr>
        <xdr:cNvSpPr txBox="1"/>
      </xdr:nvSpPr>
      <xdr:spPr>
        <a:xfrm>
          <a:off x="7142809" y="3382510"/>
          <a:ext cx="2005160" cy="735067"/>
        </a:xfrm>
        <a:prstGeom prst="roundRect">
          <a:avLst/>
        </a:prstGeom>
        <a:solidFill>
          <a:srgbClr val="F5F6FA"/>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IN" sz="1400" b="1">
              <a:ln>
                <a:noFill/>
              </a:ln>
              <a:solidFill>
                <a:srgbClr val="454E52"/>
              </a:solidFill>
              <a:latin typeface="+mn-lt"/>
              <a:ea typeface="+mn-ea"/>
              <a:cs typeface="+mn-cs"/>
            </a:rPr>
            <a:t>MARGIN %</a:t>
          </a:r>
          <a:endParaRPr lang="en-IN" sz="1400" b="1" baseline="0">
            <a:ln>
              <a:noFill/>
            </a:ln>
            <a:solidFill>
              <a:srgbClr val="454E52"/>
            </a:solidFill>
            <a:latin typeface="+mn-lt"/>
            <a:ea typeface="+mn-ea"/>
            <a:cs typeface="+mn-cs"/>
          </a:endParaRPr>
        </a:p>
        <a:p>
          <a:r>
            <a:rPr lang="en-IN" sz="1100" b="0" i="0" u="none" strike="noStrike">
              <a:solidFill>
                <a:schemeClr val="dk1"/>
              </a:solidFill>
              <a:effectLst/>
              <a:latin typeface="+mn-lt"/>
              <a:ea typeface="+mn-ea"/>
              <a:cs typeface="+mn-cs"/>
            </a:rPr>
            <a:t>              </a:t>
          </a:r>
        </a:p>
      </xdr:txBody>
    </xdr:sp>
    <xdr:clientData/>
  </xdr:twoCellAnchor>
  <xdr:twoCellAnchor>
    <xdr:from>
      <xdr:col>7</xdr:col>
      <xdr:colOff>521592</xdr:colOff>
      <xdr:row>21</xdr:row>
      <xdr:rowOff>95036</xdr:rowOff>
    </xdr:from>
    <xdr:to>
      <xdr:col>10</xdr:col>
      <xdr:colOff>271449</xdr:colOff>
      <xdr:row>25</xdr:row>
      <xdr:rowOff>41585</xdr:rowOff>
    </xdr:to>
    <xdr:sp macro="" textlink="Sheet7!G3">
      <xdr:nvSpPr>
        <xdr:cNvPr id="29" name="TextBox 28">
          <a:extLst>
            <a:ext uri="{FF2B5EF4-FFF2-40B4-BE49-F238E27FC236}">
              <a16:creationId xmlns:a16="http://schemas.microsoft.com/office/drawing/2014/main" id="{8B89C4BD-405C-4724-9161-CF041E73DE7A}"/>
            </a:ext>
          </a:extLst>
        </xdr:cNvPr>
        <xdr:cNvSpPr txBox="1"/>
      </xdr:nvSpPr>
      <xdr:spPr>
        <a:xfrm>
          <a:off x="7469239" y="3842781"/>
          <a:ext cx="1804269" cy="594000"/>
        </a:xfrm>
        <a:prstGeom prst="rect">
          <a:avLst/>
        </a:prstGeom>
        <a:solidFill>
          <a:srgbClr val="F5F6FA"/>
        </a:soli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marL="0" indent="0" algn="ctr"/>
          <a:fld id="{D9180FE3-08F3-477B-81C2-E90BD448549F}" type="TxLink">
            <a:rPr lang="en-US" sz="1600" b="0" i="0" u="none" strike="noStrike">
              <a:solidFill>
                <a:schemeClr val="tx1">
                  <a:lumMod val="75000"/>
                  <a:lumOff val="25000"/>
                </a:schemeClr>
              </a:solidFill>
              <a:latin typeface="Arial"/>
              <a:ea typeface="+mn-ea"/>
              <a:cs typeface="Arial"/>
            </a:rPr>
            <a:pPr marL="0" indent="0" algn="ctr"/>
            <a:t>63.45%</a:t>
          </a:fld>
          <a:endParaRPr lang="en-IN" sz="1600" b="0" i="0" u="none" strike="noStrike">
            <a:solidFill>
              <a:schemeClr val="tx1">
                <a:lumMod val="75000"/>
                <a:lumOff val="25000"/>
              </a:schemeClr>
            </a:solidFill>
            <a:latin typeface="Arial"/>
            <a:ea typeface="+mn-ea"/>
            <a:cs typeface="Arial"/>
          </a:endParaRPr>
        </a:p>
      </xdr:txBody>
    </xdr:sp>
    <xdr:clientData/>
  </xdr:twoCellAnchor>
  <xdr:twoCellAnchor>
    <xdr:from>
      <xdr:col>10</xdr:col>
      <xdr:colOff>426642</xdr:colOff>
      <xdr:row>4</xdr:row>
      <xdr:rowOff>92415</xdr:rowOff>
    </xdr:from>
    <xdr:to>
      <xdr:col>16</xdr:col>
      <xdr:colOff>476250</xdr:colOff>
      <xdr:row>22</xdr:row>
      <xdr:rowOff>68036</xdr:rowOff>
    </xdr:to>
    <xdr:graphicFrame macro="">
      <xdr:nvGraphicFramePr>
        <xdr:cNvPr id="7" name="Chart 6">
          <a:extLst>
            <a:ext uri="{FF2B5EF4-FFF2-40B4-BE49-F238E27FC236}">
              <a16:creationId xmlns:a16="http://schemas.microsoft.com/office/drawing/2014/main" id="{B5EC2D51-40AE-4A26-AD11-EC7FC40E28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0</xdr:col>
      <xdr:colOff>0</xdr:colOff>
      <xdr:row>7</xdr:row>
      <xdr:rowOff>117959</xdr:rowOff>
    </xdr:from>
    <xdr:to>
      <xdr:col>1</xdr:col>
      <xdr:colOff>1231238</xdr:colOff>
      <xdr:row>9</xdr:row>
      <xdr:rowOff>83607</xdr:rowOff>
    </xdr:to>
    <xdr:grpSp>
      <xdr:nvGrpSpPr>
        <xdr:cNvPr id="89" name="Group 88">
          <a:extLst>
            <a:ext uri="{FF2B5EF4-FFF2-40B4-BE49-F238E27FC236}">
              <a16:creationId xmlns:a16="http://schemas.microsoft.com/office/drawing/2014/main" id="{0F89D119-09CF-4E72-860F-9116D7D1C8E0}"/>
            </a:ext>
          </a:extLst>
        </xdr:cNvPr>
        <xdr:cNvGrpSpPr/>
      </xdr:nvGrpSpPr>
      <xdr:grpSpPr>
        <a:xfrm>
          <a:off x="0" y="1578459"/>
          <a:ext cx="1818613" cy="283148"/>
          <a:chOff x="0" y="1198816"/>
          <a:chExt cx="1727528" cy="288000"/>
        </a:xfrm>
      </xdr:grpSpPr>
      <xdr:sp macro="" textlink="">
        <xdr:nvSpPr>
          <xdr:cNvPr id="90" name="TextBox 89">
            <a:hlinkClick xmlns:r="http://schemas.openxmlformats.org/officeDocument/2006/relationships" r:id="rId38"/>
            <a:extLst>
              <a:ext uri="{FF2B5EF4-FFF2-40B4-BE49-F238E27FC236}">
                <a16:creationId xmlns:a16="http://schemas.microsoft.com/office/drawing/2014/main" id="{46EC9691-93D7-9C0E-EE69-F2DDF5FD92D9}"/>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PRIC</a:t>
            </a:r>
            <a:r>
              <a:rPr lang="en-IN" sz="1200" b="1" baseline="0">
                <a:ln>
                  <a:noFill/>
                </a:ln>
                <a:solidFill>
                  <a:srgbClr val="454E52"/>
                </a:solidFill>
              </a:rPr>
              <a:t>E LIST</a:t>
            </a:r>
            <a:endParaRPr lang="en-IN" sz="1100" b="1">
              <a:ln>
                <a:noFill/>
              </a:ln>
              <a:solidFill>
                <a:srgbClr val="454E52"/>
              </a:solidFill>
            </a:endParaRPr>
          </a:p>
        </xdr:txBody>
      </xdr:sp>
      <xdr:sp macro="" textlink="">
        <xdr:nvSpPr>
          <xdr:cNvPr id="91" name="Rectangle 90">
            <a:extLst>
              <a:ext uri="{FF2B5EF4-FFF2-40B4-BE49-F238E27FC236}">
                <a16:creationId xmlns:a16="http://schemas.microsoft.com/office/drawing/2014/main" id="{836B0BB4-1DA7-0E1C-3258-13101EF2EFF5}"/>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92" name="Graphic 91" descr="Rupee with solid fill">
            <a:extLst>
              <a:ext uri="{FF2B5EF4-FFF2-40B4-BE49-F238E27FC236}">
                <a16:creationId xmlns:a16="http://schemas.microsoft.com/office/drawing/2014/main" id="{9E42FAF6-815D-26D4-2723-FF37F6FFCEFE}"/>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rcRect/>
          <a:stretch/>
        </xdr:blipFill>
        <xdr:spPr>
          <a:xfrm>
            <a:off x="87105" y="1235915"/>
            <a:ext cx="211561" cy="228757"/>
          </a:xfrm>
          <a:prstGeom prst="rect">
            <a:avLst/>
          </a:prstGeom>
          <a:effectLst/>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50800</xdr:colOff>
      <xdr:row>2</xdr:row>
      <xdr:rowOff>38100</xdr:rowOff>
    </xdr:from>
    <xdr:to>
      <xdr:col>8</xdr:col>
      <xdr:colOff>774700</xdr:colOff>
      <xdr:row>3</xdr:row>
      <xdr:rowOff>180975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4C655EC8-C7A7-457C-9BDF-11605C6B1C16}"/>
            </a:ext>
          </a:extLst>
        </xdr:cNvPr>
        <xdr:cNvSpPr/>
      </xdr:nvSpPr>
      <xdr:spPr>
        <a:xfrm>
          <a:off x="8172450" y="431800"/>
          <a:ext cx="723900" cy="339725"/>
        </a:xfrm>
        <a:prstGeom prst="leftArrow">
          <a:avLst/>
        </a:prstGeom>
        <a:solidFill>
          <a:schemeClr val="accent4">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1422400</xdr:colOff>
      <xdr:row>1</xdr:row>
      <xdr:rowOff>57150</xdr:rowOff>
    </xdr:from>
    <xdr:to>
      <xdr:col>5</xdr:col>
      <xdr:colOff>2146300</xdr:colOff>
      <xdr:row>3</xdr:row>
      <xdr:rowOff>79375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277C0CDF-6541-4976-9820-7B7741E33648}"/>
            </a:ext>
          </a:extLst>
        </xdr:cNvPr>
        <xdr:cNvSpPr/>
      </xdr:nvSpPr>
      <xdr:spPr>
        <a:xfrm>
          <a:off x="8934450" y="279400"/>
          <a:ext cx="723900" cy="339725"/>
        </a:xfrm>
        <a:prstGeom prst="lef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101600</xdr:colOff>
      <xdr:row>2</xdr:row>
      <xdr:rowOff>6350</xdr:rowOff>
    </xdr:from>
    <xdr:to>
      <xdr:col>6</xdr:col>
      <xdr:colOff>825500</xdr:colOff>
      <xdr:row>3</xdr:row>
      <xdr:rowOff>149225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B1B5ED2D-A0B2-48AD-9D7A-D989A867C7CA}"/>
            </a:ext>
          </a:extLst>
        </xdr:cNvPr>
        <xdr:cNvSpPr/>
      </xdr:nvSpPr>
      <xdr:spPr>
        <a:xfrm>
          <a:off x="7575550" y="495300"/>
          <a:ext cx="723900" cy="339725"/>
        </a:xfrm>
        <a:prstGeom prst="leftArrow">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50800</xdr:colOff>
      <xdr:row>1</xdr:row>
      <xdr:rowOff>31750</xdr:rowOff>
    </xdr:from>
    <xdr:to>
      <xdr:col>6</xdr:col>
      <xdr:colOff>774700</xdr:colOff>
      <xdr:row>2</xdr:row>
      <xdr:rowOff>174625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AA40A8E7-FECF-4DF6-BD17-714BAD0C8EC6}"/>
            </a:ext>
          </a:extLst>
        </xdr:cNvPr>
        <xdr:cNvSpPr/>
      </xdr:nvSpPr>
      <xdr:spPr>
        <a:xfrm>
          <a:off x="7708900" y="323850"/>
          <a:ext cx="723900" cy="339725"/>
        </a:xfrm>
        <a:prstGeom prst="leftArrow">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723900</xdr:colOff>
      <xdr:row>2</xdr:row>
      <xdr:rowOff>142875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F8E4DEFA-369F-4EB4-A642-2340EF2955E1}"/>
            </a:ext>
          </a:extLst>
        </xdr:cNvPr>
        <xdr:cNvSpPr/>
      </xdr:nvSpPr>
      <xdr:spPr>
        <a:xfrm>
          <a:off x="7677150" y="200025"/>
          <a:ext cx="723900" cy="342900"/>
        </a:xfrm>
        <a:prstGeom prst="leftArrow">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63500</xdr:colOff>
      <xdr:row>2</xdr:row>
      <xdr:rowOff>0</xdr:rowOff>
    </xdr:from>
    <xdr:to>
      <xdr:col>6</xdr:col>
      <xdr:colOff>787400</xdr:colOff>
      <xdr:row>3</xdr:row>
      <xdr:rowOff>165100</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CF8A832C-BB14-44E9-840F-00D55F27C3B7}"/>
            </a:ext>
          </a:extLst>
        </xdr:cNvPr>
        <xdr:cNvSpPr/>
      </xdr:nvSpPr>
      <xdr:spPr>
        <a:xfrm>
          <a:off x="6908800" y="438150"/>
          <a:ext cx="723900" cy="361950"/>
        </a:xfrm>
        <a:prstGeom prst="leftArrow">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38100</xdr:colOff>
      <xdr:row>2</xdr:row>
      <xdr:rowOff>31750</xdr:rowOff>
    </xdr:from>
    <xdr:to>
      <xdr:col>6</xdr:col>
      <xdr:colOff>762000</xdr:colOff>
      <xdr:row>3</xdr:row>
      <xdr:rowOff>174625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7A584ADE-DE05-4559-8913-76B10720E600}"/>
            </a:ext>
          </a:extLst>
        </xdr:cNvPr>
        <xdr:cNvSpPr/>
      </xdr:nvSpPr>
      <xdr:spPr>
        <a:xfrm>
          <a:off x="6743700" y="520700"/>
          <a:ext cx="723900" cy="339725"/>
        </a:xfrm>
        <a:prstGeom prst="leftArrow">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69850</xdr:colOff>
      <xdr:row>1</xdr:row>
      <xdr:rowOff>25400</xdr:rowOff>
    </xdr:from>
    <xdr:to>
      <xdr:col>6</xdr:col>
      <xdr:colOff>793750</xdr:colOff>
      <xdr:row>2</xdr:row>
      <xdr:rowOff>168275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ED59810B-195C-4117-AEA6-A6F1BE87C12A}"/>
            </a:ext>
          </a:extLst>
        </xdr:cNvPr>
        <xdr:cNvSpPr/>
      </xdr:nvSpPr>
      <xdr:spPr>
        <a:xfrm>
          <a:off x="6527800" y="279400"/>
          <a:ext cx="723900" cy="339725"/>
        </a:xfrm>
        <a:prstGeom prst="leftArrow">
          <a:avLst/>
        </a:prstGeom>
        <a:solidFill>
          <a:srgbClr val="FCA6D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63500</xdr:colOff>
      <xdr:row>2</xdr:row>
      <xdr:rowOff>31750</xdr:rowOff>
    </xdr:from>
    <xdr:to>
      <xdr:col>6</xdr:col>
      <xdr:colOff>787400</xdr:colOff>
      <xdr:row>3</xdr:row>
      <xdr:rowOff>174625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3813114D-7BB0-40AB-82B4-50578979B403}"/>
            </a:ext>
          </a:extLst>
        </xdr:cNvPr>
        <xdr:cNvSpPr/>
      </xdr:nvSpPr>
      <xdr:spPr>
        <a:xfrm>
          <a:off x="7283450" y="520700"/>
          <a:ext cx="723900" cy="3397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63500</xdr:colOff>
      <xdr:row>1</xdr:row>
      <xdr:rowOff>25400</xdr:rowOff>
    </xdr:from>
    <xdr:to>
      <xdr:col>6</xdr:col>
      <xdr:colOff>787400</xdr:colOff>
      <xdr:row>2</xdr:row>
      <xdr:rowOff>168275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C60A2712-259A-423D-9603-35AE65F93A02}"/>
            </a:ext>
          </a:extLst>
        </xdr:cNvPr>
        <xdr:cNvSpPr/>
      </xdr:nvSpPr>
      <xdr:spPr>
        <a:xfrm>
          <a:off x="7562850" y="311150"/>
          <a:ext cx="723900" cy="339725"/>
        </a:xfrm>
        <a:prstGeom prst="leftArrow">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57727</xdr:colOff>
      <xdr:row>1</xdr:row>
      <xdr:rowOff>28863</xdr:rowOff>
    </xdr:from>
    <xdr:to>
      <xdr:col>6</xdr:col>
      <xdr:colOff>781627</xdr:colOff>
      <xdr:row>2</xdr:row>
      <xdr:rowOff>176934</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BFB9F109-5F8F-4E55-8C90-C755C361C46D}"/>
            </a:ext>
          </a:extLst>
        </xdr:cNvPr>
        <xdr:cNvSpPr/>
      </xdr:nvSpPr>
      <xdr:spPr>
        <a:xfrm>
          <a:off x="6710795" y="281420"/>
          <a:ext cx="723900" cy="34290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0</xdr:colOff>
      <xdr:row>2</xdr:row>
      <xdr:rowOff>0</xdr:rowOff>
    </xdr:from>
    <xdr:to>
      <xdr:col>7</xdr:col>
      <xdr:colOff>115922</xdr:colOff>
      <xdr:row>3</xdr:row>
      <xdr:rowOff>150373</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FFFE9145-C519-41DE-9FF6-23103BECC31A}"/>
            </a:ext>
          </a:extLst>
        </xdr:cNvPr>
        <xdr:cNvSpPr/>
      </xdr:nvSpPr>
      <xdr:spPr>
        <a:xfrm>
          <a:off x="6870160" y="486383"/>
          <a:ext cx="723900" cy="342900"/>
        </a:xfrm>
        <a:prstGeom prst="leftArrow">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44450</xdr:colOff>
      <xdr:row>1</xdr:row>
      <xdr:rowOff>69850</xdr:rowOff>
    </xdr:from>
    <xdr:to>
      <xdr:col>6</xdr:col>
      <xdr:colOff>768350</xdr:colOff>
      <xdr:row>4</xdr:row>
      <xdr:rowOff>15875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C44DD324-635E-4A57-8757-7B460FCB6039}"/>
            </a:ext>
          </a:extLst>
        </xdr:cNvPr>
        <xdr:cNvSpPr/>
      </xdr:nvSpPr>
      <xdr:spPr>
        <a:xfrm>
          <a:off x="6788150" y="323850"/>
          <a:ext cx="723900" cy="339725"/>
        </a:xfrm>
        <a:prstGeom prst="leftArrow">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nsh" refreshedDate="45132.582570370367" createdVersion="8" refreshedVersion="8" minRefreshableVersion="3" recordCount="1173" xr:uid="{50E7B564-5800-41D1-957F-D5E39ED9C71F}">
  <cacheSource type="worksheet">
    <worksheetSource name="Table_Append1"/>
  </cacheSource>
  <cacheFields count="5">
    <cacheField name="Category" numFmtId="0">
      <sharedItems containsBlank="1" count="13">
        <m/>
        <s v="Kulfi"/>
        <s v="Sweets"/>
        <s v="Chaat"/>
        <s v="Specials"/>
        <s v="Chinese"/>
        <s v="Breads"/>
        <s v="North Indian"/>
        <s v="Grill Special"/>
        <s v="Drinks"/>
        <s v="South Indian"/>
        <s v="Namkeen"/>
        <s v="Drinks &amp; Beverage" u="1"/>
      </sharedItems>
    </cacheField>
    <cacheField name="Dish" numFmtId="0">
      <sharedItems containsBlank="1" count="138">
        <m/>
        <s v="Mango Faluda Kulfi"/>
        <s v=""/>
        <s v="Kulfi Faluda Kesar Pista Badam"/>
        <s v="Sugar Free Faluda Kulfi"/>
        <s v="Chocolate Oreo Kulfi"/>
        <s v="Shakar Para"/>
        <s v="Gud Paara"/>
        <s v="Kalakand"/>
        <s v="Pista Barfi"/>
        <s v="Plain Barfi"/>
        <s v="Chocolate Barfi"/>
        <s v="Coconut Barfi"/>
        <s v="Kaju Barfi"/>
        <s v="Patisa"/>
        <s v="Milk Cake"/>
        <s v="Gulab Jamun"/>
        <s v="Rasgulla"/>
        <s v="Balu Shahi"/>
        <s v="Gujiya"/>
        <s v="Ghewar"/>
        <s v="Mal Pua"/>
        <s v="Soan Halva"/>
        <s v="Bikaneri Barfi"/>
        <s v="Chocolate Roll"/>
        <s v="Bondi Ladu"/>
        <s v="Khoya Roll"/>
        <s v="Chena Murki"/>
        <s v="Besan Ladu"/>
        <s v="Mathura Peda"/>
        <s v="Kheer Kadam"/>
        <s v="Dodha"/>
        <s v="Jodhpuri Ladu"/>
        <s v="Kaala Jamun"/>
        <s v="Rabri"/>
        <s v="Ras Malai"/>
        <s v="Dahi Bhalla"/>
        <s v="Papri Bhalla (Bara)"/>
        <s v="Papri Chaat"/>
        <s v="Aloo Tikki"/>
        <s v="Aloo Tikki With Dahi"/>
        <s v="Aloo Tikki With Channa"/>
        <s v="Gol Gappe Atta/Suzi (6Pieces)"/>
        <s v="Dahiwale Gol Gappe"/>
        <s v="Raj Kachori"/>
        <s v="Dahi Aloo Chaat"/>
        <s v="Chole Bhature"/>
        <s v="Channa Kulcha"/>
        <s v="Samosa"/>
        <s v="Panner Pakoda"/>
        <s v="Chole Plate"/>
        <s v="Kachori Sabji"/>
        <s v="Chole Puri"/>
        <s v="Aalo Chole"/>
        <s v="Veg Chowmein"/>
        <s v="Fried Rice"/>
        <s v="Hakka Noodles"/>
        <s v="Singapore Noodles"/>
        <s v="Chilli Garlic Noodles"/>
        <s v="Chilli Potato"/>
        <s v="Honey Chilli Potato"/>
        <s v="Spring Rolls"/>
        <s v="French Fries"/>
        <s v="Chilli Paneer Dry"/>
        <s v="Chilli Paneer Gravy"/>
        <s v="Manchurian Dry"/>
        <s v="Munchurian Gravy"/>
        <s v="Lacha Paratha"/>
        <s v="Roti"/>
        <s v="Naan"/>
        <s v="Pudhina Paratha"/>
        <s v="Garlic Naan"/>
        <s v="Amritsari Kulcha"/>
        <s v="Mirchi Paratha"/>
        <s v="Stuffed Paratha"/>
        <s v="Butter Roti"/>
        <s v="Butter Naan"/>
        <s v="Dal Makhani"/>
        <s v="Paneer Butter Masala"/>
        <s v="Shahi Paneer"/>
        <s v="Paneer Lababdar"/>
        <s v="Kadhai Paneer"/>
        <s v="Soya Chap"/>
        <s v="Chaap Lababdar"/>
        <s v="Mix Veg"/>
        <s v="Hyderabadi Chaap With Rumali Roti"/>
        <s v="Dal Makhani Rice"/>
        <s v="North Indian Thali"/>
        <s v="Mini Thali"/>
        <s v="Dili Combo"/>
        <s v="Amritsari Kulcha With Chana"/>
        <s v="Paneer Tikka"/>
        <s v="Masala chaap Tikka"/>
        <s v="Mushroom Tikka"/>
        <s v="Malai Paneer Tikka"/>
        <s v="Afghani Malai Chaap"/>
        <s v="Malai Chaap Roll"/>
        <s v="Achari Chaap"/>
        <s v="Paneer Tikka Roll"/>
        <s v="Mushroom Roll"/>
        <s v="Soya Chap Roll"/>
        <s v="Tandoori Platter "/>
        <s v="Virgin Mojito"/>
        <s v="Watermelon  Mojito"/>
        <s v="Peach Mojito"/>
        <s v="Blue Lagoon Mojito"/>
        <s v="Green Apple Mocktail"/>
        <s v="Lemon Ice Tea Mocktail"/>
        <s v="Pomegranade"/>
        <s v="Fresh Lime"/>
        <s v="Sprite Lemon"/>
        <s v="Lemon Water"/>
        <s v="Mithi Lassi"/>
        <s v="Badam Milk"/>
        <s v="Masala Dosa"/>
        <s v="Paneer Dosa"/>
        <s v="Plain Dosa"/>
        <s v="Idli Plate"/>
        <s v="Onion Rawa Masala Dosa"/>
        <s v="Vada Plate"/>
        <s v="Vada Idli Mix"/>
        <s v="Mysore Masala Dosa"/>
        <s v="Mix Veg Uttapam"/>
        <s v="Onion Tomato Uttapam"/>
        <s v="South Indian Platter"/>
        <s v="Kaju Mixture"/>
        <s v="Masala Kaju"/>
        <s v="Namkeen Badam"/>
        <s v="Masala Badam"/>
        <s v="Namkeen Kaju"/>
        <s v="Dal Moth"/>
        <s v="Chocolate Kulfi" u="1"/>
        <s v="kesar faluda" u="1"/>
        <s v="kulfi faluda" u="1"/>
        <s v="raita" u="1"/>
        <s v="Kulfi Kesar Pista Badam" u="1"/>
        <s v="Sugar Free Kulfi" u="1"/>
        <s v="Mango Kulfi" u="1"/>
      </sharedItems>
    </cacheField>
    <cacheField name="Ingredients" numFmtId="0">
      <sharedItems containsBlank="1" count="209">
        <m/>
        <s v="Mango Syrup"/>
        <s v="Kulfi Rabri"/>
        <s v="Mango"/>
        <s v="Faluda"/>
        <s v="chashni"/>
        <s v="Yellow Faluda"/>
        <s v="Badam"/>
        <s v="Pista"/>
        <s v="Milk Evening"/>
        <s v="Sugar Free"/>
        <s v="Kevda"/>
        <s v="Kesar"/>
        <s v="Elaichi Choti"/>
        <s v="Oreo Biscuit"/>
        <s v="Maida"/>
        <s v="Desi Ghee"/>
        <s v="Water"/>
        <s v="Baking Powder"/>
        <s v="Chini Bura"/>
        <s v=""/>
        <s v="Jaggery"/>
        <s v="Milk Morning"/>
        <s v="Tatri"/>
        <s v="Khoya"/>
        <s v="Elaichi Powder"/>
        <s v="Silver Work"/>
        <s v="Chocolate Powder"/>
        <s v="Coconut Powder"/>
        <s v="Kaju Tukda"/>
        <s v="Besan Barik"/>
        <s v="Chironji"/>
        <s v="Magaj"/>
        <s v="Aata Shaktibhog"/>
        <s v="Suji Barik"/>
        <s v="Baking Soda"/>
        <s v="Paneer"/>
        <s v="Coconut"/>
        <s v="Barik Sugar"/>
        <s v="Kishmish (Raisin)"/>
        <s v="Kaju Whole"/>
        <s v="Rabri"/>
        <s v="Corn Starch"/>
        <s v="Kaju Dofaad (Two Piece)"/>
        <s v="Angoori"/>
        <s v="Elaichi Dana"/>
        <s v="Besan Mota"/>
        <s v="Orange Color"/>
        <s v="Mishri"/>
        <s v="Pumpkeen"/>
        <s v="Jaifal"/>
        <s v="Jalpatri"/>
        <s v="Glucose"/>
        <s v="Green Color"/>
        <s v="Red Color"/>
        <s v="Bhalla"/>
        <s v="Jeera"/>
        <s v="Yellow Mirch"/>
        <s v="Salt"/>
        <s v="Carrot"/>
        <s v="Pomegranate"/>
        <s v="Meethii Chiutney"/>
        <s v="Green Chutney"/>
        <s v="Dahi Sprota"/>
        <s v="Papdi"/>
        <s v="Aalo Channa"/>
        <s v="Kachalu Prepared"/>
        <s v="Tikki Ki Pithi"/>
        <s v="Cucumber"/>
        <s v="Gol Gappa"/>
        <s v="Potato"/>
        <s v="Golgappa Paani"/>
        <s v="Namkeen"/>
        <s v="Raj Kachori "/>
        <s v="Pakodi"/>
        <s v="Allo masala"/>
        <s v="Channa"/>
        <s v="Onion"/>
        <s v="Pickle"/>
        <s v="Bhatura"/>
        <s v="Kulcha"/>
        <s v="Samosa"/>
        <s v="Red Chutney"/>
        <s v="Paneer Pakoda"/>
        <s v="Kachori"/>
        <s v="Aalo Sabji"/>
        <s v="Puri"/>
        <s v="Chana White"/>
        <s v="Tomato Gravy"/>
        <s v="Red Chilli"/>
        <s v="Haldi Powder"/>
        <s v="Garam Masla"/>
        <s v="Sweet Corn"/>
        <s v="Kitchen King"/>
        <s v="Heeng"/>
        <s v="Noodles"/>
        <s v="Soyabean Oil"/>
        <s v="Green Capsicum"/>
        <s v="Cabbage"/>
        <s v="Spring Onion"/>
        <s v="Ajinomoto"/>
        <s v="Green Chili Bottle"/>
        <s v="Red Chilli Paste"/>
        <s v="Soya Sauce"/>
        <s v="White Vinegar Bottle"/>
        <s v="Beans"/>
        <s v="Baby Corn"/>
        <s v="Rice Basmati Tukda"/>
        <s v="Peeled Garlic"/>
        <s v="Red Capsicum"/>
        <s v="Yellow Capsicum"/>
        <s v="Tomato Sauce Bottle"/>
        <s v="Chilli Paste"/>
        <s v="Cornflour"/>
        <s v="Soyabean Oil (Frying)"/>
        <s v="Honey"/>
        <s v="White Til"/>
        <s v="Spring Roll Sheet"/>
        <s v="Fries"/>
        <s v="Chaat Masala"/>
        <s v="Ginger"/>
        <s v="Green Chilli"/>
        <s v="Green Coriander"/>
        <s v="Ararot"/>
        <s v="Manchurian Ball"/>
        <s v="Garlic"/>
        <s v="Amul Butter"/>
        <s v="Pre Prepared Dal"/>
        <s v="Butter"/>
        <s v="Cream"/>
        <s v="White Gravy"/>
        <s v="Meat Masala"/>
        <s v="Chicken Masala"/>
        <s v="Degi Mirch"/>
        <s v="Moti Sugar"/>
        <s v="Kasturi Methi"/>
        <s v="Lemon"/>
        <s v="Chopped Gravy"/>
        <s v="Garam Masala"/>
        <s v="Dhaniya Whole"/>
        <s v="Chaap"/>
        <s v="Matar"/>
        <s v="Mushroom"/>
        <s v="Rumali Roti"/>
        <s v="Dal Makhani"/>
        <s v="Rice Basmati"/>
        <s v="shahi paneer"/>
        <s v="mix veg"/>
        <s v="Lacha Paratha"/>
        <s v="Gulab Jamun"/>
        <s v="Raita"/>
        <s v="Papad Small"/>
        <s v="kadhai paneer"/>
        <s v="Chana Masala"/>
        <s v="Black Salt"/>
        <s v="Lal Mirch Powder"/>
        <s v="Dhaniya Powder"/>
        <s v="Jeera Powder"/>
        <s v="Tomato"/>
        <s v="Sarso Oil"/>
        <s v="Mushroom Tikka"/>
        <s v="Masala chaap Tikka"/>
        <s v="Paneer Tikka"/>
        <s v="Afghani Malai Chaap"/>
        <s v="Syrup"/>
        <s v="Mint"/>
        <s v="Soda"/>
        <s v="Coke"/>
        <s v="Sprite"/>
        <s v="Curd Prepared"/>
        <s v="Sugar Mota Dana"/>
        <s v="Ice "/>
        <s v="Badam Giri Fat"/>
        <s v="Dosa Batter"/>
        <s v="Coconut Chutney "/>
        <s v="Aloo Stuffing For Dosa"/>
        <s v="Sambhar "/>
        <s v="Refined Oil"/>
        <s v="Idli"/>
        <s v="Rawa"/>
        <s v="Vada"/>
        <s v="Mini Veg Uttpam"/>
        <s v="mini masala dosa "/>
        <s v="Amchor Powder"/>
        <s v="Chutney Naubahar"/>
        <s v="Maa Sabut Mota"/>
        <s v="Naushadar"/>
        <s v="Tikki" u="1"/>
        <s v="Kachalu Pre" u="1"/>
        <s v="Jafrani (Yellow" u="1"/>
        <s v="Soyabean Oil (Fried)" u="1"/>
        <s v="Panner Pakoda" u="1"/>
        <s v="Tikki Ki Piithi" u="1"/>
        <s v="Salad" u="1"/>
        <s v="Masala Allo" u="1"/>
        <s v="Tikki " u="1"/>
        <s v="Kachalu" u="1"/>
        <s v="Potato (Fried)" u="1"/>
        <s v="Totmato Gravy" u="1"/>
        <s v="Pakori" u="1"/>
        <s v="Aloo Tikki" u="1"/>
        <s v="Mini Dosa" u="1"/>
        <s v="Papri" u="1"/>
        <s v="Soyabean Oil " u="1"/>
        <s v="Tatari" u="1"/>
        <s v="Raw Noodles" u="1"/>
        <s v="Yellow Color" u="1"/>
        <s v="Elaichi Badi" u="1"/>
        <s v="Kulfi" u="1"/>
      </sharedItems>
    </cacheField>
    <cacheField name="QTY" numFmtId="1">
      <sharedItems containsBlank="1" containsMixedTypes="1" containsNumber="1" minValue="0" maxValue="3240"/>
    </cacheField>
    <cacheField name="Cost" numFmtId="2">
      <sharedItems containsString="0" containsBlank="1" containsNumber="1" minValue="0" maxValue="672.72727273399994"/>
    </cacheField>
  </cacheFields>
  <extLst>
    <ext xmlns:x14="http://schemas.microsoft.com/office/spreadsheetml/2009/9/main" uri="{725AE2AE-9491-48be-B2B4-4EB974FC3084}">
      <x14:pivotCacheDefinition pivotCacheId="15659165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73">
  <r>
    <x v="0"/>
    <x v="0"/>
    <x v="0"/>
    <m/>
    <m/>
  </r>
  <r>
    <x v="1"/>
    <x v="1"/>
    <x v="1"/>
    <n v="20"/>
    <n v="3.5999999999999996"/>
  </r>
  <r>
    <x v="1"/>
    <x v="1"/>
    <x v="2"/>
    <n v="100"/>
    <n v="28.955000000000002"/>
  </r>
  <r>
    <x v="1"/>
    <x v="1"/>
    <x v="3"/>
    <n v="25"/>
    <n v="3"/>
  </r>
  <r>
    <x v="1"/>
    <x v="1"/>
    <x v="4"/>
    <n v="150"/>
    <n v="7.2"/>
  </r>
  <r>
    <x v="1"/>
    <x v="1"/>
    <x v="5"/>
    <n v="20"/>
    <n v="0.4"/>
  </r>
  <r>
    <x v="1"/>
    <x v="1"/>
    <x v="6"/>
    <n v="50"/>
    <n v="3.5825000000000005"/>
  </r>
  <r>
    <x v="1"/>
    <x v="2"/>
    <x v="0"/>
    <m/>
    <m/>
  </r>
  <r>
    <x v="1"/>
    <x v="3"/>
    <x v="2"/>
    <n v="130"/>
    <n v="37.641500000000001"/>
  </r>
  <r>
    <x v="1"/>
    <x v="3"/>
    <x v="4"/>
    <n v="150"/>
    <n v="7.2"/>
  </r>
  <r>
    <x v="1"/>
    <x v="3"/>
    <x v="5"/>
    <n v="20"/>
    <n v="0.4"/>
  </r>
  <r>
    <x v="1"/>
    <x v="3"/>
    <x v="6"/>
    <n v="50"/>
    <n v="3.5825000000000005"/>
  </r>
  <r>
    <x v="1"/>
    <x v="3"/>
    <x v="7"/>
    <n v="1"/>
    <n v="1.1745000000000001"/>
  </r>
  <r>
    <x v="1"/>
    <x v="3"/>
    <x v="8"/>
    <n v="1"/>
    <n v="2.4300000000000002"/>
  </r>
  <r>
    <x v="1"/>
    <x v="2"/>
    <x v="0"/>
    <m/>
    <m/>
  </r>
  <r>
    <x v="1"/>
    <x v="4"/>
    <x v="9"/>
    <n v="260"/>
    <n v="14.04"/>
  </r>
  <r>
    <x v="1"/>
    <x v="4"/>
    <x v="10"/>
    <n v="5"/>
    <n v="13"/>
  </r>
  <r>
    <x v="1"/>
    <x v="4"/>
    <x v="11"/>
    <n v="5"/>
    <n v="0.41600000000000004"/>
  </r>
  <r>
    <x v="1"/>
    <x v="4"/>
    <x v="7"/>
    <n v="4"/>
    <n v="3.3929999999999998"/>
  </r>
  <r>
    <x v="1"/>
    <x v="4"/>
    <x v="8"/>
    <n v="4"/>
    <n v="7.02"/>
  </r>
  <r>
    <x v="1"/>
    <x v="4"/>
    <x v="12"/>
    <n v="0"/>
    <n v="2.625"/>
  </r>
  <r>
    <x v="1"/>
    <x v="4"/>
    <x v="13"/>
    <n v="5"/>
    <n v="8.32"/>
  </r>
  <r>
    <x v="1"/>
    <x v="4"/>
    <x v="4"/>
    <n v="150"/>
    <n v="7.2"/>
  </r>
  <r>
    <x v="1"/>
    <x v="4"/>
    <x v="6"/>
    <n v="50"/>
    <n v="3.5825000000000005"/>
  </r>
  <r>
    <x v="1"/>
    <x v="2"/>
    <x v="0"/>
    <m/>
    <m/>
  </r>
  <r>
    <x v="1"/>
    <x v="5"/>
    <x v="2"/>
    <n v="80"/>
    <n v="23.164000000000001"/>
  </r>
  <r>
    <x v="1"/>
    <x v="5"/>
    <x v="14"/>
    <n v="48"/>
    <n v="10.56"/>
  </r>
  <r>
    <x v="1"/>
    <x v="5"/>
    <x v="4"/>
    <n v="150"/>
    <n v="7.2"/>
  </r>
  <r>
    <x v="1"/>
    <x v="5"/>
    <x v="5"/>
    <n v="20"/>
    <n v="0.4"/>
  </r>
  <r>
    <x v="1"/>
    <x v="5"/>
    <x v="6"/>
    <n v="50"/>
    <n v="3.5825000000000005"/>
  </r>
  <r>
    <x v="0"/>
    <x v="2"/>
    <x v="0"/>
    <m/>
    <m/>
  </r>
  <r>
    <x v="2"/>
    <x v="6"/>
    <x v="15"/>
    <n v="666.66666666666674"/>
    <n v="21.333333333333336"/>
  </r>
  <r>
    <x v="2"/>
    <x v="6"/>
    <x v="16"/>
    <n v="200"/>
    <n v="106.66600000000001"/>
  </r>
  <r>
    <x v="2"/>
    <x v="6"/>
    <x v="17"/>
    <n v="100"/>
    <n v="0"/>
  </r>
  <r>
    <x v="2"/>
    <x v="6"/>
    <x v="18"/>
    <n v="4"/>
    <n v="0.64"/>
  </r>
  <r>
    <x v="2"/>
    <x v="6"/>
    <x v="19"/>
    <n v="1000"/>
    <n v="50"/>
  </r>
  <r>
    <x v="0"/>
    <x v="2"/>
    <x v="20"/>
    <m/>
    <m/>
  </r>
  <r>
    <x v="2"/>
    <x v="7"/>
    <x v="15"/>
    <n v="666.66666666666663"/>
    <n v="21.333333333333332"/>
  </r>
  <r>
    <x v="2"/>
    <x v="7"/>
    <x v="16"/>
    <n v="200"/>
    <n v="106.66600000000001"/>
  </r>
  <r>
    <x v="2"/>
    <x v="7"/>
    <x v="21"/>
    <n v="833.33333333333337"/>
    <n v="58.333333333333343"/>
  </r>
  <r>
    <x v="2"/>
    <x v="7"/>
    <x v="17"/>
    <n v="100"/>
    <n v="0"/>
  </r>
  <r>
    <x v="2"/>
    <x v="2"/>
    <x v="20"/>
    <m/>
    <m/>
  </r>
  <r>
    <x v="2"/>
    <x v="8"/>
    <x v="22"/>
    <n v="3240"/>
    <n v="213.84"/>
  </r>
  <r>
    <x v="2"/>
    <x v="8"/>
    <x v="23"/>
    <n v="1.3513513513513513"/>
    <n v="1.0810810810810811"/>
  </r>
  <r>
    <x v="2"/>
    <x v="8"/>
    <x v="19"/>
    <n v="151.35135135135135"/>
    <n v="7.5675675675675684"/>
  </r>
  <r>
    <x v="2"/>
    <x v="2"/>
    <x v="20"/>
    <m/>
    <m/>
  </r>
  <r>
    <x v="2"/>
    <x v="9"/>
    <x v="24"/>
    <n v="750"/>
    <n v="210.00000000000003"/>
  </r>
  <r>
    <x v="2"/>
    <x v="9"/>
    <x v="19"/>
    <n v="208.33333333333334"/>
    <n v="10.416666666666668"/>
  </r>
  <r>
    <x v="2"/>
    <x v="9"/>
    <x v="16"/>
    <n v="33.333333333333336"/>
    <n v="17.777666666666672"/>
  </r>
  <r>
    <x v="2"/>
    <x v="9"/>
    <x v="8"/>
    <n v="25"/>
    <n v="45"/>
  </r>
  <r>
    <x v="2"/>
    <x v="9"/>
    <x v="25"/>
    <n v="8.3333333333333339"/>
    <n v="16.666666666666668"/>
  </r>
  <r>
    <x v="2"/>
    <x v="2"/>
    <x v="20"/>
    <m/>
    <m/>
  </r>
  <r>
    <x v="2"/>
    <x v="10"/>
    <x v="24"/>
    <n v="762.71186440677957"/>
    <n v="213.5593220338983"/>
  </r>
  <r>
    <x v="2"/>
    <x v="10"/>
    <x v="19"/>
    <n v="211.86440677966101"/>
    <n v="10.593220338983052"/>
  </r>
  <r>
    <x v="2"/>
    <x v="10"/>
    <x v="16"/>
    <n v="33.898305084745758"/>
    <n v="18.078983050847459"/>
  </r>
  <r>
    <x v="2"/>
    <x v="10"/>
    <x v="25"/>
    <n v="8.4745762711864394"/>
    <n v="16.949152542372879"/>
  </r>
  <r>
    <x v="2"/>
    <x v="10"/>
    <x v="26"/>
    <n v="3.33"/>
    <n v="233.1"/>
  </r>
  <r>
    <x v="2"/>
    <x v="2"/>
    <x v="20"/>
    <m/>
    <m/>
  </r>
  <r>
    <x v="2"/>
    <x v="11"/>
    <x v="24"/>
    <n v="800"/>
    <n v="224.00000000000003"/>
  </r>
  <r>
    <x v="2"/>
    <x v="11"/>
    <x v="27"/>
    <n v="8"/>
    <n v="3.44"/>
  </r>
  <r>
    <x v="2"/>
    <x v="11"/>
    <x v="19"/>
    <n v="240"/>
    <n v="12"/>
  </r>
  <r>
    <x v="2"/>
    <x v="11"/>
    <x v="26"/>
    <n v="2.25"/>
    <n v="157.5"/>
  </r>
  <r>
    <x v="2"/>
    <x v="2"/>
    <x v="20"/>
    <m/>
    <m/>
  </r>
  <r>
    <x v="2"/>
    <x v="2"/>
    <x v="20"/>
    <m/>
    <m/>
  </r>
  <r>
    <x v="2"/>
    <x v="12"/>
    <x v="24"/>
    <n v="714.28571428571433"/>
    <n v="200.00000000000003"/>
  </r>
  <r>
    <x v="2"/>
    <x v="12"/>
    <x v="28"/>
    <n v="71.428571428571431"/>
    <n v="11.428571428571429"/>
  </r>
  <r>
    <x v="2"/>
    <x v="12"/>
    <x v="19"/>
    <n v="214.28571428571428"/>
    <n v="10.714285714285715"/>
  </r>
  <r>
    <x v="2"/>
    <x v="12"/>
    <x v="16"/>
    <n v="57.142857142857146"/>
    <n v="30.476000000000006"/>
  </r>
  <r>
    <x v="2"/>
    <x v="12"/>
    <x v="26"/>
    <n v="1.56"/>
    <n v="109.2"/>
  </r>
  <r>
    <x v="2"/>
    <x v="2"/>
    <x v="20"/>
    <m/>
    <m/>
  </r>
  <r>
    <x v="2"/>
    <x v="13"/>
    <x v="29"/>
    <n v="571.42857142857144"/>
    <n v="291.42857142857144"/>
  </r>
  <r>
    <x v="2"/>
    <x v="13"/>
    <x v="19"/>
    <n v="571.42857142857144"/>
    <n v="28.571428571428573"/>
  </r>
  <r>
    <x v="2"/>
    <x v="13"/>
    <x v="26"/>
    <n v="3.5"/>
    <n v="245"/>
  </r>
  <r>
    <x v="2"/>
    <x v="2"/>
    <x v="20"/>
    <m/>
    <m/>
  </r>
  <r>
    <x v="2"/>
    <x v="2"/>
    <x v="20"/>
    <m/>
    <m/>
  </r>
  <r>
    <x v="2"/>
    <x v="14"/>
    <x v="15"/>
    <n v="160"/>
    <n v="5.12"/>
  </r>
  <r>
    <x v="2"/>
    <x v="14"/>
    <x v="30"/>
    <n v="160"/>
    <n v="11.200000000000001"/>
  </r>
  <r>
    <x v="2"/>
    <x v="14"/>
    <x v="16"/>
    <n v="320"/>
    <n v="170.66560000000004"/>
  </r>
  <r>
    <x v="2"/>
    <x v="14"/>
    <x v="19"/>
    <n v="400"/>
    <n v="20"/>
  </r>
  <r>
    <x v="2"/>
    <x v="14"/>
    <x v="7"/>
    <n v="11.2"/>
    <n v="9.7439999999999998"/>
  </r>
  <r>
    <x v="2"/>
    <x v="14"/>
    <x v="8"/>
    <n v="11.2"/>
    <n v="20.16"/>
  </r>
  <r>
    <x v="2"/>
    <x v="14"/>
    <x v="31"/>
    <n v="8"/>
    <n v="10.8"/>
  </r>
  <r>
    <x v="2"/>
    <x v="14"/>
    <x v="32"/>
    <n v="8"/>
    <n v="5.68"/>
  </r>
  <r>
    <x v="2"/>
    <x v="14"/>
    <x v="26"/>
    <n v="2.5"/>
    <n v="175"/>
  </r>
  <r>
    <x v="2"/>
    <x v="2"/>
    <x v="20"/>
    <m/>
    <m/>
  </r>
  <r>
    <x v="2"/>
    <x v="15"/>
    <x v="22"/>
    <n v="2850"/>
    <n v="188.10000000000002"/>
  </r>
  <r>
    <x v="2"/>
    <x v="15"/>
    <x v="19"/>
    <n v="285"/>
    <n v="14.25"/>
  </r>
  <r>
    <x v="2"/>
    <x v="2"/>
    <x v="20"/>
    <m/>
    <m/>
  </r>
  <r>
    <x v="2"/>
    <x v="16"/>
    <x v="33"/>
    <n v="10.16260162601626"/>
    <n v="0.35569105691056913"/>
  </r>
  <r>
    <x v="2"/>
    <x v="16"/>
    <x v="19"/>
    <n v="30"/>
    <n v="1.5"/>
  </r>
  <r>
    <x v="2"/>
    <x v="16"/>
    <x v="16"/>
    <n v="12.195121951219512"/>
    <n v="6.5040243902439032"/>
  </r>
  <r>
    <x v="2"/>
    <x v="16"/>
    <x v="15"/>
    <n v="2.0325203252032518"/>
    <n v="6.5040650406504058E-2"/>
  </r>
  <r>
    <x v="2"/>
    <x v="16"/>
    <x v="34"/>
    <n v="0.50813008130081294"/>
    <n v="1.7784552845528455E-2"/>
  </r>
  <r>
    <x v="2"/>
    <x v="16"/>
    <x v="25"/>
    <n v="0.10162601626016261"/>
    <n v="0.20325203252032523"/>
  </r>
  <r>
    <x v="2"/>
    <x v="16"/>
    <x v="18"/>
    <n v="2.4390243902439025E-2"/>
    <n v="3.9024390243902443E-3"/>
  </r>
  <r>
    <x v="2"/>
    <x v="16"/>
    <x v="35"/>
    <n v="4.0650406504065036E-3"/>
    <n v="5.2845528455284553E-4"/>
  </r>
  <r>
    <x v="2"/>
    <x v="16"/>
    <x v="36"/>
    <n v="4.0650406504065035"/>
    <n v="1.097560975609756"/>
  </r>
  <r>
    <x v="2"/>
    <x v="2"/>
    <x v="20"/>
    <m/>
    <m/>
  </r>
  <r>
    <x v="2"/>
    <x v="2"/>
    <x v="20"/>
    <m/>
    <m/>
  </r>
  <r>
    <x v="2"/>
    <x v="17"/>
    <x v="22"/>
    <n v="190"/>
    <n v="12.540000000000001"/>
  </r>
  <r>
    <x v="2"/>
    <x v="17"/>
    <x v="19"/>
    <n v="60"/>
    <n v="3"/>
  </r>
  <r>
    <x v="2"/>
    <x v="2"/>
    <x v="20"/>
    <m/>
    <m/>
  </r>
  <r>
    <x v="2"/>
    <x v="18"/>
    <x v="15"/>
    <n v="19.23076923076923"/>
    <n v="0.61538461538461542"/>
  </r>
  <r>
    <x v="2"/>
    <x v="18"/>
    <x v="16"/>
    <n v="5.7692307692307692"/>
    <n v="3.0769038461538467"/>
  </r>
  <r>
    <x v="2"/>
    <x v="18"/>
    <x v="18"/>
    <n v="0.17307692307692307"/>
    <n v="2.7692307692307693E-2"/>
  </r>
  <r>
    <x v="2"/>
    <x v="18"/>
    <x v="35"/>
    <n v="4.807692307692308E-3"/>
    <n v="6.2500000000000001E-4"/>
  </r>
  <r>
    <x v="2"/>
    <x v="18"/>
    <x v="19"/>
    <n v="52.884615384615387"/>
    <n v="2.6442307692307696"/>
  </r>
  <r>
    <x v="2"/>
    <x v="2"/>
    <x v="20"/>
    <m/>
    <m/>
  </r>
  <r>
    <x v="2"/>
    <x v="19"/>
    <x v="15"/>
    <n v="15.384615384615385"/>
    <n v="0.49230769230769234"/>
  </r>
  <r>
    <x v="2"/>
    <x v="19"/>
    <x v="24"/>
    <n v="23.076923076923077"/>
    <n v="6.4615384615384617"/>
  </r>
  <r>
    <x v="2"/>
    <x v="19"/>
    <x v="37"/>
    <n v="4.615384615384615"/>
    <n v="147.69230769230768"/>
  </r>
  <r>
    <x v="2"/>
    <x v="19"/>
    <x v="38"/>
    <n v="3.8461538461538463"/>
    <n v="0.16153846153846155"/>
  </r>
  <r>
    <x v="2"/>
    <x v="19"/>
    <x v="7"/>
    <n v="0.92307692307692313"/>
    <n v="0.80307692307692313"/>
  </r>
  <r>
    <x v="2"/>
    <x v="19"/>
    <x v="8"/>
    <n v="0.92307692307692313"/>
    <n v="1.6615384615384616"/>
  </r>
  <r>
    <x v="2"/>
    <x v="19"/>
    <x v="39"/>
    <n v="0.76923076923076927"/>
    <n v="0.23076923076923078"/>
  </r>
  <r>
    <x v="2"/>
    <x v="19"/>
    <x v="40"/>
    <n v="1.5384615384615385"/>
    <n v="1.1384615384615384"/>
  </r>
  <r>
    <x v="2"/>
    <x v="19"/>
    <x v="16"/>
    <n v="3.8461538461538463"/>
    <n v="2.0512692307692313"/>
  </r>
  <r>
    <x v="2"/>
    <x v="2"/>
    <x v="20"/>
    <m/>
    <m/>
  </r>
  <r>
    <x v="2"/>
    <x v="20"/>
    <x v="16"/>
    <n v="209.44444444444443"/>
    <n v="111.70300555555556"/>
  </r>
  <r>
    <x v="2"/>
    <x v="20"/>
    <x v="19"/>
    <n v="161.11111111111111"/>
    <n v="8.0555555555555554"/>
  </r>
  <r>
    <x v="2"/>
    <x v="20"/>
    <x v="26"/>
    <n v="1.6111111111111109"/>
    <n v="112.77777777777777"/>
  </r>
  <r>
    <x v="2"/>
    <x v="20"/>
    <x v="7"/>
    <n v="16.111111111111111"/>
    <n v="14.016666666666666"/>
  </r>
  <r>
    <x v="2"/>
    <x v="20"/>
    <x v="8"/>
    <n v="16.111111111111111"/>
    <n v="29"/>
  </r>
  <r>
    <x v="2"/>
    <x v="20"/>
    <x v="15"/>
    <n v="161.11111111111111"/>
    <n v="5.1555555555555559"/>
  </r>
  <r>
    <x v="2"/>
    <x v="20"/>
    <x v="17"/>
    <n v="128.88888888888889"/>
    <n v="0"/>
  </r>
  <r>
    <x v="2"/>
    <x v="20"/>
    <x v="22"/>
    <n v="700"/>
    <n v="46.2"/>
  </r>
  <r>
    <x v="2"/>
    <x v="2"/>
    <x v="20"/>
    <m/>
    <m/>
  </r>
  <r>
    <x v="2"/>
    <x v="21"/>
    <x v="34"/>
    <n v="909.09090909090912"/>
    <n v="31.818181818181824"/>
  </r>
  <r>
    <x v="2"/>
    <x v="21"/>
    <x v="41"/>
    <n v="90.909090909090907"/>
    <n v="15.363636363636365"/>
  </r>
  <r>
    <x v="2"/>
    <x v="21"/>
    <x v="15"/>
    <n v="13.636363636363637"/>
    <n v="0.4363636363636364"/>
  </r>
  <r>
    <x v="2"/>
    <x v="21"/>
    <x v="42"/>
    <n v="6.3636363636363633"/>
    <n v="0.30545454545454542"/>
  </r>
  <r>
    <x v="2"/>
    <x v="21"/>
    <x v="8"/>
    <n v="2.2727272727272729"/>
    <n v="4.0909090909090917"/>
  </r>
  <r>
    <x v="2"/>
    <x v="21"/>
    <x v="7"/>
    <n v="2.2727272727272729"/>
    <n v="1.9772727272727275"/>
  </r>
  <r>
    <x v="2"/>
    <x v="21"/>
    <x v="12"/>
    <n v="4.5454545454545456E-2"/>
    <n v="4.7727272727272725"/>
  </r>
  <r>
    <x v="2"/>
    <x v="2"/>
    <x v="20"/>
    <m/>
    <m/>
  </r>
  <r>
    <x v="2"/>
    <x v="22"/>
    <x v="7"/>
    <n v="8.3333333333333339"/>
    <n v="7.2500000000000009"/>
  </r>
  <r>
    <x v="2"/>
    <x v="22"/>
    <x v="43"/>
    <n v="8.3333333333333339"/>
    <n v="5.416666666666667"/>
  </r>
  <r>
    <x v="2"/>
    <x v="22"/>
    <x v="8"/>
    <n v="3.3333333333333335"/>
    <n v="6"/>
  </r>
  <r>
    <x v="2"/>
    <x v="22"/>
    <x v="44"/>
    <n v="16.666666666666668"/>
    <n v="2.3333333333333339"/>
  </r>
  <r>
    <x v="2"/>
    <x v="22"/>
    <x v="15"/>
    <n v="66.666666666666671"/>
    <n v="2.1333333333333337"/>
  </r>
  <r>
    <x v="2"/>
    <x v="22"/>
    <x v="19"/>
    <n v="266.66666666666669"/>
    <n v="13.333333333333336"/>
  </r>
  <r>
    <x v="2"/>
    <x v="22"/>
    <x v="17"/>
    <n v="1000"/>
    <n v="0"/>
  </r>
  <r>
    <x v="2"/>
    <x v="22"/>
    <x v="16"/>
    <n v="1000"/>
    <n v="533.33000000000004"/>
  </r>
  <r>
    <x v="2"/>
    <x v="2"/>
    <x v="20"/>
    <m/>
    <m/>
  </r>
  <r>
    <x v="2"/>
    <x v="23"/>
    <x v="24"/>
    <n v="1000"/>
    <n v="280"/>
  </r>
  <r>
    <x v="2"/>
    <x v="23"/>
    <x v="38"/>
    <n v="300"/>
    <n v="12.600000000000001"/>
  </r>
  <r>
    <x v="2"/>
    <x v="23"/>
    <x v="8"/>
    <n v="25"/>
    <n v="45"/>
  </r>
  <r>
    <x v="2"/>
    <x v="23"/>
    <x v="7"/>
    <n v="25"/>
    <n v="21.75"/>
  </r>
  <r>
    <x v="2"/>
    <x v="23"/>
    <x v="45"/>
    <n v="5"/>
    <n v="7"/>
  </r>
  <r>
    <x v="2"/>
    <x v="23"/>
    <x v="25"/>
    <n v="5"/>
    <n v="10"/>
  </r>
  <r>
    <x v="2"/>
    <x v="23"/>
    <x v="26"/>
    <n v="3"/>
    <n v="210"/>
  </r>
  <r>
    <x v="2"/>
    <x v="2"/>
    <x v="20"/>
    <m/>
    <m/>
  </r>
  <r>
    <x v="2"/>
    <x v="2"/>
    <x v="20"/>
    <m/>
    <m/>
  </r>
  <r>
    <x v="2"/>
    <x v="24"/>
    <x v="24"/>
    <n v="714.28571428571433"/>
    <n v="200.00000000000003"/>
  </r>
  <r>
    <x v="2"/>
    <x v="24"/>
    <x v="19"/>
    <n v="214.28571428571431"/>
    <n v="10.714285714285715"/>
  </r>
  <r>
    <x v="2"/>
    <x v="24"/>
    <x v="8"/>
    <n v="35.714285714285715"/>
    <n v="64.285714285714292"/>
  </r>
  <r>
    <x v="2"/>
    <x v="24"/>
    <x v="7"/>
    <n v="17.857142857142858"/>
    <n v="15.535714285714286"/>
  </r>
  <r>
    <x v="2"/>
    <x v="24"/>
    <x v="45"/>
    <n v="3.5714285714285716"/>
    <n v="5"/>
  </r>
  <r>
    <x v="2"/>
    <x v="24"/>
    <x v="25"/>
    <n v="3.5714285714285716"/>
    <n v="7.1428571428571432"/>
  </r>
  <r>
    <x v="2"/>
    <x v="24"/>
    <x v="26"/>
    <n v="4"/>
    <n v="280"/>
  </r>
  <r>
    <x v="2"/>
    <x v="24"/>
    <x v="27"/>
    <n v="35.714285714285715"/>
    <n v="15.357142857142858"/>
  </r>
  <r>
    <x v="2"/>
    <x v="2"/>
    <x v="20"/>
    <m/>
    <m/>
  </r>
  <r>
    <x v="2"/>
    <x v="25"/>
    <x v="20"/>
    <m/>
    <m/>
  </r>
  <r>
    <x v="2"/>
    <x v="25"/>
    <x v="19"/>
    <n v="333.33333333333331"/>
    <n v="16.666666666666668"/>
  </r>
  <r>
    <x v="2"/>
    <x v="25"/>
    <x v="17"/>
    <n v="333.33333333333331"/>
    <n v="0"/>
  </r>
  <r>
    <x v="2"/>
    <x v="25"/>
    <x v="7"/>
    <n v="20"/>
    <n v="17.399999999999999"/>
  </r>
  <r>
    <x v="2"/>
    <x v="25"/>
    <x v="8"/>
    <n v="20"/>
    <n v="36"/>
  </r>
  <r>
    <x v="2"/>
    <x v="25"/>
    <x v="32"/>
    <n v="16.666666666666668"/>
    <n v="11.833333333333334"/>
  </r>
  <r>
    <x v="2"/>
    <x v="25"/>
    <x v="46"/>
    <n v="333.33333333333331"/>
    <n v="23.333333333333336"/>
  </r>
  <r>
    <x v="2"/>
    <x v="25"/>
    <x v="16"/>
    <n v="166.66666666666666"/>
    <n v="88.888333333333335"/>
  </r>
  <r>
    <x v="2"/>
    <x v="25"/>
    <x v="47"/>
    <n v="1"/>
    <n v="0.66"/>
  </r>
  <r>
    <x v="2"/>
    <x v="2"/>
    <x v="20"/>
    <m/>
    <m/>
  </r>
  <r>
    <x v="2"/>
    <x v="26"/>
    <x v="24"/>
    <n v="769.23076923076917"/>
    <n v="215.38461538461539"/>
  </r>
  <r>
    <x v="2"/>
    <x v="26"/>
    <x v="19"/>
    <n v="230.76923076923077"/>
    <n v="11.53846153846154"/>
  </r>
  <r>
    <x v="2"/>
    <x v="26"/>
    <x v="8"/>
    <n v="38.46153846153846"/>
    <n v="69.230769230769226"/>
  </r>
  <r>
    <x v="2"/>
    <x v="26"/>
    <x v="7"/>
    <n v="19.23076923076923"/>
    <n v="16.73076923076923"/>
  </r>
  <r>
    <x v="2"/>
    <x v="26"/>
    <x v="45"/>
    <n v="3.8461538461538458"/>
    <n v="5.3846153846153841"/>
  </r>
  <r>
    <x v="2"/>
    <x v="26"/>
    <x v="25"/>
    <n v="3.8461538461538458"/>
    <n v="7.6923076923076916"/>
  </r>
  <r>
    <x v="2"/>
    <x v="26"/>
    <x v="26"/>
    <n v="5"/>
    <n v="350"/>
  </r>
  <r>
    <x v="2"/>
    <x v="2"/>
    <x v="20"/>
    <m/>
    <m/>
  </r>
  <r>
    <x v="2"/>
    <x v="27"/>
    <x v="36"/>
    <n v="400"/>
    <n v="108"/>
  </r>
  <r>
    <x v="2"/>
    <x v="27"/>
    <x v="19"/>
    <n v="400"/>
    <n v="20"/>
  </r>
  <r>
    <x v="2"/>
    <x v="27"/>
    <x v="17"/>
    <n v="280"/>
    <n v="0"/>
  </r>
  <r>
    <x v="2"/>
    <x v="2"/>
    <x v="20"/>
    <m/>
    <m/>
  </r>
  <r>
    <x v="2"/>
    <x v="2"/>
    <x v="20"/>
    <m/>
    <m/>
  </r>
  <r>
    <x v="2"/>
    <x v="28"/>
    <x v="46"/>
    <n v="500"/>
    <n v="35"/>
  </r>
  <r>
    <x v="2"/>
    <x v="28"/>
    <x v="16"/>
    <n v="400"/>
    <n v="213.33200000000002"/>
  </r>
  <r>
    <x v="2"/>
    <x v="28"/>
    <x v="34"/>
    <n v="625"/>
    <n v="21.875000000000004"/>
  </r>
  <r>
    <x v="2"/>
    <x v="28"/>
    <x v="25"/>
    <n v="25"/>
    <n v="50"/>
  </r>
  <r>
    <x v="2"/>
    <x v="28"/>
    <x v="7"/>
    <n v="20"/>
    <n v="17.399999999999999"/>
  </r>
  <r>
    <x v="2"/>
    <x v="28"/>
    <x v="43"/>
    <n v="20"/>
    <n v="13"/>
  </r>
  <r>
    <x v="2"/>
    <x v="28"/>
    <x v="8"/>
    <n v="10"/>
    <n v="18"/>
  </r>
  <r>
    <x v="2"/>
    <x v="2"/>
    <x v="20"/>
    <m/>
    <m/>
  </r>
  <r>
    <x v="2"/>
    <x v="29"/>
    <x v="24"/>
    <n v="833.33333333333337"/>
    <n v="233.33333333333337"/>
  </r>
  <r>
    <x v="2"/>
    <x v="29"/>
    <x v="19"/>
    <n v="250"/>
    <n v="12.5"/>
  </r>
  <r>
    <x v="2"/>
    <x v="29"/>
    <x v="25"/>
    <n v="16.666666666666668"/>
    <n v="33.333333333333336"/>
  </r>
  <r>
    <x v="2"/>
    <x v="2"/>
    <x v="20"/>
    <m/>
    <m/>
  </r>
  <r>
    <x v="2"/>
    <x v="30"/>
    <x v="24"/>
    <n v="666.66666666666663"/>
    <n v="186.66666666666669"/>
  </r>
  <r>
    <x v="2"/>
    <x v="30"/>
    <x v="19"/>
    <n v="200"/>
    <n v="10"/>
  </r>
  <r>
    <x v="2"/>
    <x v="30"/>
    <x v="48"/>
    <n v="66.666666666666671"/>
    <n v="5.3333333333333339"/>
  </r>
  <r>
    <x v="2"/>
    <x v="30"/>
    <x v="7"/>
    <n v="16.666666666666668"/>
    <n v="14.500000000000002"/>
  </r>
  <r>
    <x v="2"/>
    <x v="30"/>
    <x v="8"/>
    <n v="16.666666666666668"/>
    <n v="30.000000000000004"/>
  </r>
  <r>
    <x v="2"/>
    <x v="30"/>
    <x v="49"/>
    <n v="133.33333333333334"/>
    <n v="3.3333333333333339"/>
  </r>
  <r>
    <x v="2"/>
    <x v="30"/>
    <x v="12"/>
    <n v="0.66666666666666663"/>
    <n v="70"/>
  </r>
  <r>
    <x v="2"/>
    <x v="30"/>
    <x v="25"/>
    <n v="13.333333333333334"/>
    <n v="26.666666666666668"/>
  </r>
  <r>
    <x v="2"/>
    <x v="2"/>
    <x v="20"/>
    <m/>
    <m/>
  </r>
  <r>
    <x v="2"/>
    <x v="31"/>
    <x v="22"/>
    <n v="1111.1111111111111"/>
    <n v="73.333333333333329"/>
  </r>
  <r>
    <x v="2"/>
    <x v="31"/>
    <x v="44"/>
    <n v="44.444444444444443"/>
    <n v="6.2222222222222223"/>
  </r>
  <r>
    <x v="2"/>
    <x v="31"/>
    <x v="19"/>
    <n v="250"/>
    <n v="12.5"/>
  </r>
  <r>
    <x v="2"/>
    <x v="31"/>
    <x v="25"/>
    <n v="5.5555555555555554"/>
    <n v="11.111111111111111"/>
  </r>
  <r>
    <x v="2"/>
    <x v="31"/>
    <x v="7"/>
    <n v="8.3333333333333339"/>
    <n v="7.2500000000000009"/>
  </r>
  <r>
    <x v="2"/>
    <x v="31"/>
    <x v="8"/>
    <n v="8.3333333333333339"/>
    <n v="15.000000000000002"/>
  </r>
  <r>
    <x v="2"/>
    <x v="31"/>
    <x v="50"/>
    <n v="0.72222222222222221"/>
    <n v="0.65"/>
  </r>
  <r>
    <x v="2"/>
    <x v="31"/>
    <x v="51"/>
    <n v="0.66666666666666663"/>
    <n v="0.56666666666666665"/>
  </r>
  <r>
    <x v="2"/>
    <x v="31"/>
    <x v="16"/>
    <n v="55.555555555555557"/>
    <n v="29.629444444444449"/>
  </r>
  <r>
    <x v="2"/>
    <x v="31"/>
    <x v="52"/>
    <n v="27.777777777777779"/>
    <n v="5.5555555555555562"/>
  </r>
  <r>
    <x v="2"/>
    <x v="2"/>
    <x v="20"/>
    <m/>
    <m/>
  </r>
  <r>
    <x v="2"/>
    <x v="32"/>
    <x v="19"/>
    <n v="333.33333333333331"/>
    <n v="16.666666666666668"/>
  </r>
  <r>
    <x v="2"/>
    <x v="32"/>
    <x v="17"/>
    <n v="333.33333333333331"/>
    <n v="0"/>
  </r>
  <r>
    <x v="2"/>
    <x v="32"/>
    <x v="7"/>
    <n v="20"/>
    <n v="17.399999999999999"/>
  </r>
  <r>
    <x v="2"/>
    <x v="32"/>
    <x v="8"/>
    <n v="20"/>
    <n v="36"/>
  </r>
  <r>
    <x v="2"/>
    <x v="32"/>
    <x v="32"/>
    <n v="16.666666666666668"/>
    <n v="11.833333333333334"/>
  </r>
  <r>
    <x v="2"/>
    <x v="32"/>
    <x v="46"/>
    <n v="333.33333333333331"/>
    <n v="23.333333333333336"/>
  </r>
  <r>
    <x v="2"/>
    <x v="32"/>
    <x v="16"/>
    <n v="166.66666666666666"/>
    <n v="88.888333333333335"/>
  </r>
  <r>
    <x v="2"/>
    <x v="32"/>
    <x v="47"/>
    <n v="0.66666666666666663"/>
    <n v="0.44"/>
  </r>
  <r>
    <x v="2"/>
    <x v="32"/>
    <x v="53"/>
    <n v="0.66666666666666663"/>
    <n v="0.44"/>
  </r>
  <r>
    <x v="2"/>
    <x v="32"/>
    <x v="54"/>
    <n v="0.66666666666666663"/>
    <n v="0.44"/>
  </r>
  <r>
    <x v="2"/>
    <x v="32"/>
    <x v="52"/>
    <n v="23.333333333333332"/>
    <n v="4.666666666666667"/>
  </r>
  <r>
    <x v="2"/>
    <x v="2"/>
    <x v="20"/>
    <m/>
    <m/>
  </r>
  <r>
    <x v="2"/>
    <x v="33"/>
    <x v="33"/>
    <n v="14.227642276422763"/>
    <n v="0.49796747967479676"/>
  </r>
  <r>
    <x v="2"/>
    <x v="33"/>
    <x v="19"/>
    <n v="45"/>
    <n v="2.25"/>
  </r>
  <r>
    <x v="2"/>
    <x v="33"/>
    <x v="16"/>
    <n v="19"/>
    <n v="10.133270000000001"/>
  </r>
  <r>
    <x v="2"/>
    <x v="33"/>
    <x v="15"/>
    <n v="2.8455284552845526"/>
    <n v="9.1056910569105684E-2"/>
  </r>
  <r>
    <x v="2"/>
    <x v="33"/>
    <x v="34"/>
    <n v="0.71138211382113814"/>
    <n v="2.4898373983739838E-2"/>
  </r>
  <r>
    <x v="2"/>
    <x v="33"/>
    <x v="25"/>
    <n v="0.14227642276422764"/>
    <n v="0.28455284552845528"/>
  </r>
  <r>
    <x v="2"/>
    <x v="33"/>
    <x v="18"/>
    <n v="3.4146341463414637E-2"/>
    <n v="5.463414634146342E-3"/>
  </r>
  <r>
    <x v="2"/>
    <x v="33"/>
    <x v="35"/>
    <n v="5.6910569105691053E-3"/>
    <n v="7.3983739837398367E-4"/>
  </r>
  <r>
    <x v="2"/>
    <x v="33"/>
    <x v="36"/>
    <n v="5.6910569105691051"/>
    <n v="1.5365853658536586"/>
  </r>
  <r>
    <x v="2"/>
    <x v="2"/>
    <x v="20"/>
    <m/>
    <m/>
  </r>
  <r>
    <x v="2"/>
    <x v="34"/>
    <x v="22"/>
    <n v="1000"/>
    <n v="66"/>
  </r>
  <r>
    <x v="2"/>
    <x v="34"/>
    <x v="19"/>
    <n v="40"/>
    <n v="2"/>
  </r>
  <r>
    <x v="2"/>
    <x v="34"/>
    <x v="23"/>
    <n v="0.5"/>
    <n v="0.4"/>
  </r>
  <r>
    <x v="2"/>
    <x v="2"/>
    <x v="20"/>
    <m/>
    <m/>
  </r>
  <r>
    <x v="2"/>
    <x v="35"/>
    <x v="19"/>
    <n v="80"/>
    <n v="4"/>
  </r>
  <r>
    <x v="2"/>
    <x v="35"/>
    <x v="22"/>
    <n v="420"/>
    <n v="27.720000000000002"/>
  </r>
  <r>
    <x v="2"/>
    <x v="35"/>
    <x v="11"/>
    <n v="1.6666666666666667"/>
    <n v="0.13333333333333333"/>
  </r>
  <r>
    <x v="2"/>
    <x v="35"/>
    <x v="25"/>
    <n v="1.6666666666666667"/>
    <n v="3.3333333333333335"/>
  </r>
  <r>
    <x v="2"/>
    <x v="35"/>
    <x v="12"/>
    <n v="4.9999999999999996E-2"/>
    <n v="5.25"/>
  </r>
  <r>
    <x v="3"/>
    <x v="36"/>
    <x v="55"/>
    <n v="150"/>
    <n v="22.704255319148935"/>
  </r>
  <r>
    <x v="3"/>
    <x v="36"/>
    <x v="56"/>
    <n v="6"/>
    <n v="3.9000000000000004"/>
  </r>
  <r>
    <x v="3"/>
    <x v="36"/>
    <x v="57"/>
    <n v="3"/>
    <n v="1.7999999999999998"/>
  </r>
  <r>
    <x v="3"/>
    <x v="36"/>
    <x v="58"/>
    <n v="5"/>
    <n v="0.14000000000000001"/>
  </r>
  <r>
    <x v="3"/>
    <x v="36"/>
    <x v="59"/>
    <n v="18"/>
    <n v="0.63000000000000012"/>
  </r>
  <r>
    <x v="3"/>
    <x v="36"/>
    <x v="60"/>
    <n v="10"/>
    <n v="1.4000000000000001"/>
  </r>
  <r>
    <x v="3"/>
    <x v="36"/>
    <x v="61"/>
    <n v="103"/>
    <n v="11.978425682866771"/>
  </r>
  <r>
    <x v="3"/>
    <x v="36"/>
    <x v="62"/>
    <n v="93"/>
    <n v="12.1079025"/>
  </r>
  <r>
    <x v="3"/>
    <x v="36"/>
    <x v="63"/>
    <n v="250"/>
    <n v="12"/>
  </r>
  <r>
    <x v="3"/>
    <x v="2"/>
    <x v="20"/>
    <m/>
    <m/>
  </r>
  <r>
    <x v="3"/>
    <x v="37"/>
    <x v="55"/>
    <n v="90"/>
    <n v="13.622553191489361"/>
  </r>
  <r>
    <x v="3"/>
    <x v="37"/>
    <x v="64"/>
    <n v="45"/>
    <n v="0.71819999999999995"/>
  </r>
  <r>
    <x v="3"/>
    <x v="37"/>
    <x v="65"/>
    <n v="78"/>
    <n v="9.6164889599999999"/>
  </r>
  <r>
    <x v="3"/>
    <x v="37"/>
    <x v="66"/>
    <n v="30"/>
    <n v="2.6009999999999995"/>
  </r>
  <r>
    <x v="3"/>
    <x v="37"/>
    <x v="56"/>
    <n v="6"/>
    <n v="3.9000000000000004"/>
  </r>
  <r>
    <x v="3"/>
    <x v="37"/>
    <x v="57"/>
    <n v="3"/>
    <n v="1.7999999999999998"/>
  </r>
  <r>
    <x v="3"/>
    <x v="37"/>
    <x v="58"/>
    <n v="5"/>
    <n v="0.14000000000000001"/>
  </r>
  <r>
    <x v="3"/>
    <x v="37"/>
    <x v="59"/>
    <n v="18"/>
    <n v="0.63000000000000012"/>
  </r>
  <r>
    <x v="3"/>
    <x v="37"/>
    <x v="60"/>
    <n v="10"/>
    <n v="1.4000000000000001"/>
  </r>
  <r>
    <x v="3"/>
    <x v="37"/>
    <x v="61"/>
    <n v="103"/>
    <n v="11.978425682866771"/>
  </r>
  <r>
    <x v="3"/>
    <x v="37"/>
    <x v="62"/>
    <n v="93"/>
    <n v="12.1079025"/>
  </r>
  <r>
    <x v="3"/>
    <x v="37"/>
    <x v="63"/>
    <n v="250"/>
    <n v="12"/>
  </r>
  <r>
    <x v="3"/>
    <x v="2"/>
    <x v="20"/>
    <m/>
    <m/>
  </r>
  <r>
    <x v="3"/>
    <x v="38"/>
    <x v="64"/>
    <n v="91"/>
    <n v="1.4523599999999999"/>
  </r>
  <r>
    <x v="3"/>
    <x v="38"/>
    <x v="65"/>
    <n v="78"/>
    <n v="9.6164889599999999"/>
  </r>
  <r>
    <x v="3"/>
    <x v="38"/>
    <x v="66"/>
    <n v="30"/>
    <n v="2.6009999999999995"/>
  </r>
  <r>
    <x v="3"/>
    <x v="38"/>
    <x v="56"/>
    <n v="6"/>
    <n v="3.9000000000000004"/>
  </r>
  <r>
    <x v="3"/>
    <x v="38"/>
    <x v="57"/>
    <n v="3"/>
    <n v="1.7999999999999998"/>
  </r>
  <r>
    <x v="3"/>
    <x v="38"/>
    <x v="58"/>
    <n v="5"/>
    <n v="0.14000000000000001"/>
  </r>
  <r>
    <x v="3"/>
    <x v="38"/>
    <x v="59"/>
    <n v="18"/>
    <n v="0.63000000000000012"/>
  </r>
  <r>
    <x v="3"/>
    <x v="38"/>
    <x v="60"/>
    <n v="10"/>
    <n v="1.4000000000000001"/>
  </r>
  <r>
    <x v="3"/>
    <x v="38"/>
    <x v="63"/>
    <n v="250"/>
    <n v="12"/>
  </r>
  <r>
    <x v="3"/>
    <x v="38"/>
    <x v="61"/>
    <n v="118"/>
    <n v="13.722856607556107"/>
  </r>
  <r>
    <x v="3"/>
    <x v="38"/>
    <x v="62"/>
    <n v="30"/>
    <n v="3.9057749999999998"/>
  </r>
  <r>
    <x v="3"/>
    <x v="2"/>
    <x v="20"/>
    <m/>
    <m/>
  </r>
  <r>
    <x v="3"/>
    <x v="39"/>
    <x v="67"/>
    <n v="2"/>
    <n v="27.553000000000001"/>
  </r>
  <r>
    <x v="3"/>
    <x v="39"/>
    <x v="61"/>
    <n v="103"/>
    <n v="11.978425682866771"/>
  </r>
  <r>
    <x v="3"/>
    <x v="39"/>
    <x v="62"/>
    <n v="93"/>
    <n v="12.1079025"/>
  </r>
  <r>
    <x v="3"/>
    <x v="39"/>
    <x v="68"/>
    <n v="25"/>
    <n v="0.625"/>
  </r>
  <r>
    <x v="3"/>
    <x v="39"/>
    <x v="56"/>
    <n v="6"/>
    <n v="3.9000000000000004"/>
  </r>
  <r>
    <x v="3"/>
    <x v="39"/>
    <x v="58"/>
    <n v="5"/>
    <n v="0.14000000000000001"/>
  </r>
  <r>
    <x v="3"/>
    <x v="2"/>
    <x v="20"/>
    <m/>
    <m/>
  </r>
  <r>
    <x v="3"/>
    <x v="40"/>
    <x v="67"/>
    <n v="2"/>
    <n v="27.553000000000001"/>
  </r>
  <r>
    <x v="3"/>
    <x v="40"/>
    <x v="61"/>
    <n v="103"/>
    <n v="11.978425682866771"/>
  </r>
  <r>
    <x v="3"/>
    <x v="40"/>
    <x v="62"/>
    <n v="93"/>
    <n v="12.1079025"/>
  </r>
  <r>
    <x v="3"/>
    <x v="40"/>
    <x v="68"/>
    <n v="25"/>
    <n v="0.625"/>
  </r>
  <r>
    <x v="3"/>
    <x v="40"/>
    <x v="56"/>
    <n v="6"/>
    <n v="3.9000000000000004"/>
  </r>
  <r>
    <x v="3"/>
    <x v="40"/>
    <x v="58"/>
    <n v="5"/>
    <n v="0.14000000000000001"/>
  </r>
  <r>
    <x v="3"/>
    <x v="40"/>
    <x v="63"/>
    <n v="109"/>
    <n v="5.2320000000000002"/>
  </r>
  <r>
    <x v="3"/>
    <x v="2"/>
    <x v="20"/>
    <m/>
    <m/>
  </r>
  <r>
    <x v="3"/>
    <x v="41"/>
    <x v="67"/>
    <n v="2"/>
    <n v="27.553000000000001"/>
  </r>
  <r>
    <x v="3"/>
    <x v="41"/>
    <x v="61"/>
    <n v="103"/>
    <n v="11.978425682866771"/>
  </r>
  <r>
    <x v="3"/>
    <x v="41"/>
    <x v="62"/>
    <n v="93"/>
    <n v="12.1079025"/>
  </r>
  <r>
    <x v="3"/>
    <x v="41"/>
    <x v="68"/>
    <n v="25"/>
    <n v="0.625"/>
  </r>
  <r>
    <x v="3"/>
    <x v="41"/>
    <x v="56"/>
    <n v="6"/>
    <n v="3.9000000000000004"/>
  </r>
  <r>
    <x v="3"/>
    <x v="41"/>
    <x v="58"/>
    <n v="5"/>
    <n v="0.14000000000000001"/>
  </r>
  <r>
    <x v="3"/>
    <x v="41"/>
    <x v="65"/>
    <n v="115"/>
    <n v="14.1781568"/>
  </r>
  <r>
    <x v="3"/>
    <x v="2"/>
    <x v="20"/>
    <m/>
    <m/>
  </r>
  <r>
    <x v="3"/>
    <x v="42"/>
    <x v="69"/>
    <n v="6"/>
    <n v="1.6800000000000002"/>
  </r>
  <r>
    <x v="3"/>
    <x v="42"/>
    <x v="70"/>
    <n v="8"/>
    <n v="0.14399999999999999"/>
  </r>
  <r>
    <x v="3"/>
    <x v="42"/>
    <x v="71"/>
    <n v="20"/>
    <n v="0"/>
  </r>
  <r>
    <x v="3"/>
    <x v="2"/>
    <x v="20"/>
    <m/>
    <m/>
  </r>
  <r>
    <x v="3"/>
    <x v="43"/>
    <x v="69"/>
    <n v="6"/>
    <n v="1.6800000000000002"/>
  </r>
  <r>
    <x v="3"/>
    <x v="43"/>
    <x v="72"/>
    <n v="31"/>
    <n v="0"/>
  </r>
  <r>
    <x v="3"/>
    <x v="43"/>
    <x v="63"/>
    <n v="350"/>
    <n v="16.8"/>
  </r>
  <r>
    <x v="3"/>
    <x v="43"/>
    <x v="56"/>
    <n v="6"/>
    <n v="3.9000000000000004"/>
  </r>
  <r>
    <x v="3"/>
    <x v="43"/>
    <x v="57"/>
    <n v="3"/>
    <n v="1.7999999999999998"/>
  </r>
  <r>
    <x v="3"/>
    <x v="43"/>
    <x v="58"/>
    <n v="5"/>
    <n v="0.14000000000000001"/>
  </r>
  <r>
    <x v="3"/>
    <x v="43"/>
    <x v="59"/>
    <n v="18"/>
    <n v="0.63000000000000012"/>
  </r>
  <r>
    <x v="3"/>
    <x v="43"/>
    <x v="60"/>
    <n v="10"/>
    <n v="1.4000000000000001"/>
  </r>
  <r>
    <x v="3"/>
    <x v="43"/>
    <x v="61"/>
    <n v="118"/>
    <n v="13.722856607556107"/>
  </r>
  <r>
    <x v="3"/>
    <x v="43"/>
    <x v="62"/>
    <n v="30"/>
    <n v="3.9057749999999998"/>
  </r>
  <r>
    <x v="3"/>
    <x v="2"/>
    <x v="20"/>
    <m/>
    <m/>
  </r>
  <r>
    <x v="3"/>
    <x v="44"/>
    <x v="73"/>
    <n v="1"/>
    <n v="0.76"/>
  </r>
  <r>
    <x v="3"/>
    <x v="44"/>
    <x v="64"/>
    <n v="10"/>
    <n v="0.15959999999999999"/>
  </r>
  <r>
    <x v="3"/>
    <x v="44"/>
    <x v="56"/>
    <n v="6"/>
    <n v="3.9000000000000004"/>
  </r>
  <r>
    <x v="3"/>
    <x v="44"/>
    <x v="57"/>
    <n v="3"/>
    <n v="1.7999999999999998"/>
  </r>
  <r>
    <x v="3"/>
    <x v="44"/>
    <x v="58"/>
    <n v="5"/>
    <n v="0.14000000000000001"/>
  </r>
  <r>
    <x v="3"/>
    <x v="44"/>
    <x v="59"/>
    <n v="18"/>
    <n v="0.63000000000000012"/>
  </r>
  <r>
    <x v="3"/>
    <x v="44"/>
    <x v="60"/>
    <n v="16"/>
    <n v="2.2400000000000002"/>
  </r>
  <r>
    <x v="3"/>
    <x v="44"/>
    <x v="63"/>
    <n v="350"/>
    <n v="16.8"/>
  </r>
  <r>
    <x v="3"/>
    <x v="44"/>
    <x v="72"/>
    <n v="68"/>
    <n v="0"/>
  </r>
  <r>
    <x v="3"/>
    <x v="44"/>
    <x v="61"/>
    <n v="118"/>
    <n v="13.722856607556107"/>
  </r>
  <r>
    <x v="3"/>
    <x v="44"/>
    <x v="62"/>
    <n v="30"/>
    <n v="3.9057749999999998"/>
  </r>
  <r>
    <x v="3"/>
    <x v="44"/>
    <x v="74"/>
    <n v="1"/>
    <n v="0.1399"/>
  </r>
  <r>
    <x v="3"/>
    <x v="0"/>
    <x v="0"/>
    <m/>
    <m/>
  </r>
  <r>
    <x v="3"/>
    <x v="0"/>
    <x v="0"/>
    <m/>
    <m/>
  </r>
  <r>
    <x v="3"/>
    <x v="0"/>
    <x v="0"/>
    <m/>
    <m/>
  </r>
  <r>
    <x v="3"/>
    <x v="45"/>
    <x v="61"/>
    <n v="118"/>
    <n v="13.722856607556107"/>
  </r>
  <r>
    <x v="3"/>
    <x v="45"/>
    <x v="62"/>
    <n v="30"/>
    <n v="3.9057749999999998"/>
  </r>
  <r>
    <x v="3"/>
    <x v="45"/>
    <x v="75"/>
    <n v="190"/>
    <n v="12.315368700000004"/>
  </r>
  <r>
    <x v="3"/>
    <x v="45"/>
    <x v="56"/>
    <n v="6"/>
    <n v="3.9000000000000004"/>
  </r>
  <r>
    <x v="3"/>
    <x v="45"/>
    <x v="57"/>
    <n v="3"/>
    <n v="1.7999999999999998"/>
  </r>
  <r>
    <x v="3"/>
    <x v="45"/>
    <x v="58"/>
    <n v="5"/>
    <n v="0.14000000000000001"/>
  </r>
  <r>
    <x v="3"/>
    <x v="45"/>
    <x v="59"/>
    <n v="18"/>
    <n v="0.63000000000000012"/>
  </r>
  <r>
    <x v="3"/>
    <x v="45"/>
    <x v="60"/>
    <n v="10"/>
    <n v="1.4000000000000001"/>
  </r>
  <r>
    <x v="3"/>
    <x v="45"/>
    <x v="63"/>
    <n v="250"/>
    <n v="12"/>
  </r>
  <r>
    <x v="4"/>
    <x v="46"/>
    <x v="76"/>
    <n v="230"/>
    <n v="8.3827180000000006"/>
  </r>
  <r>
    <x v="4"/>
    <x v="46"/>
    <x v="70"/>
    <n v="18"/>
    <n v="0.32399999999999995"/>
  </r>
  <r>
    <x v="4"/>
    <x v="46"/>
    <x v="77"/>
    <n v="30"/>
    <n v="0.56999999999999995"/>
  </r>
  <r>
    <x v="4"/>
    <x v="46"/>
    <x v="78"/>
    <n v="20"/>
    <n v="0"/>
  </r>
  <r>
    <x v="4"/>
    <x v="46"/>
    <x v="79"/>
    <n v="2"/>
    <n v="20.669415000000001"/>
  </r>
  <r>
    <x v="4"/>
    <x v="2"/>
    <x v="20"/>
    <m/>
    <m/>
  </r>
  <r>
    <x v="4"/>
    <x v="47"/>
    <x v="76"/>
    <n v="230"/>
    <n v="8.3827180000000006"/>
  </r>
  <r>
    <x v="4"/>
    <x v="47"/>
    <x v="70"/>
    <n v="18"/>
    <n v="0.32399999999999995"/>
  </r>
  <r>
    <x v="4"/>
    <x v="47"/>
    <x v="77"/>
    <n v="30"/>
    <n v="0.56999999999999995"/>
  </r>
  <r>
    <x v="4"/>
    <x v="47"/>
    <x v="78"/>
    <n v="20"/>
    <n v="0"/>
  </r>
  <r>
    <x v="4"/>
    <x v="47"/>
    <x v="80"/>
    <n v="2"/>
    <n v="70"/>
  </r>
  <r>
    <x v="4"/>
    <x v="2"/>
    <x v="20"/>
    <m/>
    <m/>
  </r>
  <r>
    <x v="4"/>
    <x v="48"/>
    <x v="81"/>
    <n v="2"/>
    <n v="22.643041000000004"/>
  </r>
  <r>
    <x v="4"/>
    <x v="48"/>
    <x v="82"/>
    <n v="86"/>
    <n v="2.2914331780723756"/>
  </r>
  <r>
    <x v="4"/>
    <x v="48"/>
    <x v="62"/>
    <n v="30"/>
    <n v="3.9057749999999998"/>
  </r>
  <r>
    <x v="4"/>
    <x v="48"/>
    <x v="68"/>
    <n v="30"/>
    <n v="0.75"/>
  </r>
  <r>
    <x v="4"/>
    <x v="2"/>
    <x v="20"/>
    <m/>
    <m/>
  </r>
  <r>
    <x v="4"/>
    <x v="49"/>
    <x v="83"/>
    <n v="2"/>
    <n v="35.200000000000003"/>
  </r>
  <r>
    <x v="4"/>
    <x v="49"/>
    <x v="82"/>
    <n v="86"/>
    <n v="2.2914331780723756"/>
  </r>
  <r>
    <x v="4"/>
    <x v="49"/>
    <x v="62"/>
    <n v="30"/>
    <n v="3.9057749999999998"/>
  </r>
  <r>
    <x v="4"/>
    <x v="49"/>
    <x v="68"/>
    <n v="30"/>
    <n v="0.75"/>
  </r>
  <r>
    <x v="4"/>
    <x v="2"/>
    <x v="20"/>
    <m/>
    <m/>
  </r>
  <r>
    <x v="4"/>
    <x v="50"/>
    <x v="70"/>
    <n v="18"/>
    <n v="0.32399999999999995"/>
  </r>
  <r>
    <x v="4"/>
    <x v="50"/>
    <x v="78"/>
    <n v="20"/>
    <n v="0"/>
  </r>
  <r>
    <x v="4"/>
    <x v="50"/>
    <x v="76"/>
    <n v="230"/>
    <n v="8.3827180000000006"/>
  </r>
  <r>
    <x v="4"/>
    <x v="2"/>
    <x v="20"/>
    <m/>
    <m/>
  </r>
  <r>
    <x v="4"/>
    <x v="51"/>
    <x v="84"/>
    <n v="2"/>
    <n v="36.010331034482761"/>
  </r>
  <r>
    <x v="4"/>
    <x v="51"/>
    <x v="85"/>
    <n v="190"/>
    <n v="11.923505882352941"/>
  </r>
  <r>
    <x v="4"/>
    <x v="2"/>
    <x v="20"/>
    <m/>
    <m/>
  </r>
  <r>
    <x v="4"/>
    <x v="52"/>
    <x v="65"/>
    <n v="230"/>
    <n v="28.3563136"/>
  </r>
  <r>
    <x v="4"/>
    <x v="52"/>
    <x v="77"/>
    <n v="30"/>
    <n v="0.56999999999999995"/>
  </r>
  <r>
    <x v="4"/>
    <x v="52"/>
    <x v="78"/>
    <n v="20"/>
    <n v="0"/>
  </r>
  <r>
    <x v="4"/>
    <x v="52"/>
    <x v="86"/>
    <n v="2"/>
    <n v="4.5743076923076931"/>
  </r>
  <r>
    <x v="4"/>
    <x v="2"/>
    <x v="20"/>
    <m/>
    <m/>
  </r>
  <r>
    <x v="4"/>
    <x v="53"/>
    <x v="70"/>
    <n v="40"/>
    <n v="0.72"/>
  </r>
  <r>
    <x v="4"/>
    <x v="53"/>
    <x v="87"/>
    <n v="400"/>
    <n v="40"/>
  </r>
  <r>
    <x v="4"/>
    <x v="53"/>
    <x v="88"/>
    <n v="400"/>
    <n v="12.766695407407411"/>
  </r>
  <r>
    <x v="4"/>
    <x v="53"/>
    <x v="58"/>
    <n v="6"/>
    <n v="0.16800000000000001"/>
  </r>
  <r>
    <x v="4"/>
    <x v="53"/>
    <x v="89"/>
    <n v="1"/>
    <n v="0.89999999999999991"/>
  </r>
  <r>
    <x v="4"/>
    <x v="53"/>
    <x v="90"/>
    <n v="2"/>
    <n v="0.47880000000000006"/>
  </r>
  <r>
    <x v="4"/>
    <x v="53"/>
    <x v="91"/>
    <n v="30"/>
    <n v="0"/>
  </r>
  <r>
    <x v="4"/>
    <x v="53"/>
    <x v="92"/>
    <n v="4"/>
    <n v="0.432"/>
  </r>
  <r>
    <x v="4"/>
    <x v="53"/>
    <x v="93"/>
    <n v="10"/>
    <n v="6.8000000000000007"/>
  </r>
  <r>
    <x v="4"/>
    <x v="53"/>
    <x v="94"/>
    <n v="2"/>
    <n v="12"/>
  </r>
  <r>
    <x v="4"/>
    <x v="53"/>
    <x v="16"/>
    <n v="1"/>
    <n v="0.63999600000000012"/>
  </r>
  <r>
    <x v="4"/>
    <x v="53"/>
    <x v="16"/>
    <n v="104"/>
    <n v="55.46632000000001"/>
  </r>
  <r>
    <x v="5"/>
    <x v="54"/>
    <x v="95"/>
    <n v="300"/>
    <n v="12"/>
  </r>
  <r>
    <x v="5"/>
    <x v="54"/>
    <x v="96"/>
    <n v="10"/>
    <n v="0"/>
  </r>
  <r>
    <x v="5"/>
    <x v="54"/>
    <x v="77"/>
    <n v="30"/>
    <n v="0.56999999999999995"/>
  </r>
  <r>
    <x v="5"/>
    <x v="54"/>
    <x v="97"/>
    <n v="30"/>
    <n v="0.84"/>
  </r>
  <r>
    <x v="5"/>
    <x v="54"/>
    <x v="98"/>
    <n v="30"/>
    <n v="0.48"/>
  </r>
  <r>
    <x v="5"/>
    <x v="54"/>
    <x v="59"/>
    <n v="15"/>
    <n v="0.52500000000000002"/>
  </r>
  <r>
    <x v="5"/>
    <x v="54"/>
    <x v="99"/>
    <n v="10"/>
    <n v="0.6"/>
  </r>
  <r>
    <x v="5"/>
    <x v="54"/>
    <x v="58"/>
    <n v="10"/>
    <n v="0.28000000000000003"/>
  </r>
  <r>
    <x v="5"/>
    <x v="54"/>
    <x v="100"/>
    <n v="7"/>
    <n v="1.68"/>
  </r>
  <r>
    <x v="5"/>
    <x v="54"/>
    <x v="101"/>
    <n v="17"/>
    <n v="1.224"/>
  </r>
  <r>
    <x v="5"/>
    <x v="54"/>
    <x v="102"/>
    <n v="8"/>
    <n v="0"/>
  </r>
  <r>
    <x v="5"/>
    <x v="54"/>
    <x v="103"/>
    <n v="7"/>
    <n v="0.91"/>
  </r>
  <r>
    <x v="5"/>
    <x v="54"/>
    <x v="104"/>
    <n v="5"/>
    <n v="0.22999999999999998"/>
  </r>
  <r>
    <x v="0"/>
    <x v="2"/>
    <x v="20"/>
    <m/>
    <m/>
  </r>
  <r>
    <x v="5"/>
    <x v="55"/>
    <x v="103"/>
    <n v="7"/>
    <n v="0.91"/>
  </r>
  <r>
    <x v="5"/>
    <x v="55"/>
    <x v="102"/>
    <n v="10"/>
    <n v="0"/>
  </r>
  <r>
    <x v="5"/>
    <x v="55"/>
    <x v="101"/>
    <n v="17"/>
    <n v="1.224"/>
  </r>
  <r>
    <x v="5"/>
    <x v="55"/>
    <x v="58"/>
    <n v="6"/>
    <n v="0.16800000000000001"/>
  </r>
  <r>
    <x v="5"/>
    <x v="55"/>
    <x v="100"/>
    <n v="6"/>
    <n v="1.44"/>
  </r>
  <r>
    <x v="5"/>
    <x v="55"/>
    <x v="96"/>
    <n v="10"/>
    <n v="0"/>
  </r>
  <r>
    <x v="5"/>
    <x v="55"/>
    <x v="104"/>
    <n v="4"/>
    <n v="0.184"/>
  </r>
  <r>
    <x v="5"/>
    <x v="55"/>
    <x v="59"/>
    <n v="18"/>
    <n v="0.63000000000000012"/>
  </r>
  <r>
    <x v="5"/>
    <x v="55"/>
    <x v="105"/>
    <n v="18"/>
    <n v="1.6199999999999999"/>
  </r>
  <r>
    <x v="5"/>
    <x v="55"/>
    <x v="106"/>
    <n v="18"/>
    <n v="0.57600000000000007"/>
  </r>
  <r>
    <x v="5"/>
    <x v="55"/>
    <x v="99"/>
    <n v="10"/>
    <n v="0.6"/>
  </r>
  <r>
    <x v="5"/>
    <x v="55"/>
    <x v="107"/>
    <n v="140"/>
    <n v="5.6000000000000005"/>
  </r>
  <r>
    <x v="5"/>
    <x v="55"/>
    <x v="108"/>
    <n v="10"/>
    <n v="0.8"/>
  </r>
  <r>
    <x v="0"/>
    <x v="2"/>
    <x v="20"/>
    <m/>
    <m/>
  </r>
  <r>
    <x v="5"/>
    <x v="56"/>
    <x v="109"/>
    <n v="5"/>
    <n v="0.89999999999999991"/>
  </r>
  <r>
    <x v="5"/>
    <x v="56"/>
    <x v="110"/>
    <n v="5"/>
    <n v="0.89999999999999991"/>
  </r>
  <r>
    <x v="5"/>
    <x v="56"/>
    <x v="36"/>
    <n v="20"/>
    <n v="5.4"/>
  </r>
  <r>
    <x v="5"/>
    <x v="56"/>
    <x v="58"/>
    <n v="5"/>
    <n v="0.14000000000000001"/>
  </r>
  <r>
    <x v="5"/>
    <x v="56"/>
    <x v="104"/>
    <n v="6"/>
    <n v="0.27600000000000002"/>
  </r>
  <r>
    <x v="5"/>
    <x v="56"/>
    <x v="77"/>
    <n v="30"/>
    <n v="0.56999999999999995"/>
  </r>
  <r>
    <x v="5"/>
    <x v="56"/>
    <x v="97"/>
    <n v="30"/>
    <n v="0.84"/>
  </r>
  <r>
    <x v="5"/>
    <x v="56"/>
    <x v="98"/>
    <n v="30"/>
    <n v="0.48"/>
  </r>
  <r>
    <x v="5"/>
    <x v="56"/>
    <x v="59"/>
    <n v="15"/>
    <n v="0.52500000000000002"/>
  </r>
  <r>
    <x v="5"/>
    <x v="56"/>
    <x v="99"/>
    <n v="10"/>
    <n v="0.6"/>
  </r>
  <r>
    <x v="5"/>
    <x v="56"/>
    <x v="100"/>
    <n v="7"/>
    <n v="1.68"/>
  </r>
  <r>
    <x v="5"/>
    <x v="56"/>
    <x v="96"/>
    <n v="10"/>
    <n v="0"/>
  </r>
  <r>
    <x v="5"/>
    <x v="56"/>
    <x v="95"/>
    <n v="260"/>
    <n v="10.4"/>
  </r>
  <r>
    <x v="5"/>
    <x v="2"/>
    <x v="20"/>
    <m/>
    <m/>
  </r>
  <r>
    <x v="5"/>
    <x v="57"/>
    <x v="109"/>
    <n v="5"/>
    <n v="0.89999999999999991"/>
  </r>
  <r>
    <x v="5"/>
    <x v="57"/>
    <x v="110"/>
    <n v="5"/>
    <n v="0.89999999999999991"/>
  </r>
  <r>
    <x v="5"/>
    <x v="57"/>
    <x v="36"/>
    <n v="20"/>
    <n v="5.4"/>
  </r>
  <r>
    <x v="5"/>
    <x v="57"/>
    <x v="58"/>
    <n v="5"/>
    <n v="0.14000000000000001"/>
  </r>
  <r>
    <x v="5"/>
    <x v="57"/>
    <x v="104"/>
    <n v="10"/>
    <n v="0.45999999999999996"/>
  </r>
  <r>
    <x v="5"/>
    <x v="57"/>
    <x v="77"/>
    <n v="30"/>
    <n v="0.56999999999999995"/>
  </r>
  <r>
    <x v="5"/>
    <x v="57"/>
    <x v="97"/>
    <n v="30"/>
    <n v="0.84"/>
  </r>
  <r>
    <x v="5"/>
    <x v="57"/>
    <x v="98"/>
    <n v="30"/>
    <n v="0.48"/>
  </r>
  <r>
    <x v="5"/>
    <x v="57"/>
    <x v="59"/>
    <n v="15"/>
    <n v="0.52500000000000002"/>
  </r>
  <r>
    <x v="5"/>
    <x v="57"/>
    <x v="99"/>
    <n v="10"/>
    <n v="0.6"/>
  </r>
  <r>
    <x v="5"/>
    <x v="57"/>
    <x v="100"/>
    <n v="7"/>
    <n v="1.68"/>
  </r>
  <r>
    <x v="5"/>
    <x v="57"/>
    <x v="103"/>
    <n v="7"/>
    <n v="0.91"/>
  </r>
  <r>
    <x v="5"/>
    <x v="57"/>
    <x v="111"/>
    <n v="22"/>
    <n v="1.3639999999999999"/>
  </r>
  <r>
    <x v="5"/>
    <x v="57"/>
    <x v="112"/>
    <n v="15"/>
    <n v="0"/>
  </r>
  <r>
    <x v="5"/>
    <x v="57"/>
    <x v="96"/>
    <n v="10"/>
    <n v="0"/>
  </r>
  <r>
    <x v="5"/>
    <x v="57"/>
    <x v="95"/>
    <n v="260"/>
    <n v="10.4"/>
  </r>
  <r>
    <x v="5"/>
    <x v="2"/>
    <x v="20"/>
    <m/>
    <m/>
  </r>
  <r>
    <x v="5"/>
    <x v="58"/>
    <x v="58"/>
    <n v="5"/>
    <n v="0.14000000000000001"/>
  </r>
  <r>
    <x v="5"/>
    <x v="58"/>
    <x v="104"/>
    <n v="10"/>
    <n v="0.45999999999999996"/>
  </r>
  <r>
    <x v="5"/>
    <x v="58"/>
    <x v="77"/>
    <n v="30"/>
    <n v="0.56999999999999995"/>
  </r>
  <r>
    <x v="5"/>
    <x v="58"/>
    <x v="97"/>
    <n v="30"/>
    <n v="0.84"/>
  </r>
  <r>
    <x v="5"/>
    <x v="58"/>
    <x v="98"/>
    <n v="30"/>
    <n v="0.48"/>
  </r>
  <r>
    <x v="5"/>
    <x v="58"/>
    <x v="59"/>
    <n v="15"/>
    <n v="0.52500000000000002"/>
  </r>
  <r>
    <x v="5"/>
    <x v="58"/>
    <x v="99"/>
    <n v="10"/>
    <n v="0.6"/>
  </r>
  <r>
    <x v="5"/>
    <x v="58"/>
    <x v="100"/>
    <n v="7"/>
    <n v="1.68"/>
  </r>
  <r>
    <x v="5"/>
    <x v="58"/>
    <x v="103"/>
    <n v="4"/>
    <n v="0.52"/>
  </r>
  <r>
    <x v="5"/>
    <x v="58"/>
    <x v="111"/>
    <n v="15"/>
    <n v="0.92999999999999994"/>
  </r>
  <r>
    <x v="5"/>
    <x v="58"/>
    <x v="112"/>
    <n v="18"/>
    <n v="0"/>
  </r>
  <r>
    <x v="5"/>
    <x v="58"/>
    <x v="108"/>
    <n v="30"/>
    <n v="2.4"/>
  </r>
  <r>
    <x v="5"/>
    <x v="58"/>
    <x v="101"/>
    <n v="10"/>
    <n v="0.72"/>
  </r>
  <r>
    <x v="5"/>
    <x v="58"/>
    <x v="96"/>
    <n v="10"/>
    <n v="0"/>
  </r>
  <r>
    <x v="5"/>
    <x v="58"/>
    <x v="95"/>
    <n v="260"/>
    <n v="10.4"/>
  </r>
  <r>
    <x v="5"/>
    <x v="2"/>
    <x v="20"/>
    <m/>
    <m/>
  </r>
  <r>
    <x v="5"/>
    <x v="59"/>
    <x v="113"/>
    <n v="80"/>
    <n v="0"/>
  </r>
  <r>
    <x v="5"/>
    <x v="59"/>
    <x v="114"/>
    <m/>
    <n v="0"/>
  </r>
  <r>
    <x v="5"/>
    <x v="59"/>
    <x v="70"/>
    <n v="160"/>
    <n v="2.88"/>
  </r>
  <r>
    <x v="5"/>
    <x v="59"/>
    <x v="77"/>
    <n v="15"/>
    <n v="0.28499999999999998"/>
  </r>
  <r>
    <x v="5"/>
    <x v="59"/>
    <x v="97"/>
    <n v="15"/>
    <n v="0.42"/>
  </r>
  <r>
    <x v="5"/>
    <x v="59"/>
    <x v="99"/>
    <n v="20"/>
    <n v="1.2"/>
  </r>
  <r>
    <x v="5"/>
    <x v="59"/>
    <x v="112"/>
    <n v="15"/>
    <n v="0"/>
  </r>
  <r>
    <x v="5"/>
    <x v="59"/>
    <x v="101"/>
    <n v="15"/>
    <n v="1.0799999999999998"/>
  </r>
  <r>
    <x v="5"/>
    <x v="59"/>
    <x v="111"/>
    <n v="30"/>
    <n v="1.8599999999999999"/>
  </r>
  <r>
    <x v="5"/>
    <x v="59"/>
    <x v="104"/>
    <n v="10"/>
    <n v="0.45999999999999996"/>
  </r>
  <r>
    <x v="5"/>
    <x v="59"/>
    <x v="100"/>
    <n v="3"/>
    <n v="0.72"/>
  </r>
  <r>
    <x v="5"/>
    <x v="59"/>
    <x v="58"/>
    <n v="3"/>
    <n v="8.4000000000000005E-2"/>
  </r>
  <r>
    <x v="5"/>
    <x v="59"/>
    <x v="108"/>
    <n v="8"/>
    <n v="0.64"/>
  </r>
  <r>
    <x v="5"/>
    <x v="59"/>
    <x v="96"/>
    <n v="8"/>
    <n v="0"/>
  </r>
  <r>
    <x v="0"/>
    <x v="2"/>
    <x v="0"/>
    <m/>
    <m/>
  </r>
  <r>
    <x v="5"/>
    <x v="60"/>
    <x v="113"/>
    <n v="80"/>
    <n v="0"/>
  </r>
  <r>
    <x v="5"/>
    <x v="60"/>
    <x v="70"/>
    <n v="160"/>
    <n v="2.88"/>
  </r>
  <r>
    <x v="5"/>
    <x v="60"/>
    <x v="114"/>
    <m/>
    <n v="0"/>
  </r>
  <r>
    <x v="5"/>
    <x v="60"/>
    <x v="77"/>
    <n v="15"/>
    <n v="0.28499999999999998"/>
  </r>
  <r>
    <x v="5"/>
    <x v="60"/>
    <x v="97"/>
    <n v="15"/>
    <n v="0.42"/>
  </r>
  <r>
    <x v="5"/>
    <x v="60"/>
    <x v="99"/>
    <n v="20"/>
    <n v="1.2"/>
  </r>
  <r>
    <x v="5"/>
    <x v="60"/>
    <x v="112"/>
    <n v="10"/>
    <n v="0"/>
  </r>
  <r>
    <x v="5"/>
    <x v="60"/>
    <x v="101"/>
    <n v="15"/>
    <n v="1.0799999999999998"/>
  </r>
  <r>
    <x v="5"/>
    <x v="60"/>
    <x v="111"/>
    <n v="60"/>
    <n v="3.7199999999999998"/>
  </r>
  <r>
    <x v="5"/>
    <x v="60"/>
    <x v="104"/>
    <n v="5"/>
    <n v="0.22999999999999998"/>
  </r>
  <r>
    <x v="5"/>
    <x v="60"/>
    <x v="100"/>
    <n v="3"/>
    <n v="0.72"/>
  </r>
  <r>
    <x v="5"/>
    <x v="60"/>
    <x v="58"/>
    <n v="3"/>
    <n v="8.4000000000000005E-2"/>
  </r>
  <r>
    <x v="5"/>
    <x v="60"/>
    <x v="108"/>
    <n v="8"/>
    <n v="0.64"/>
  </r>
  <r>
    <x v="5"/>
    <x v="60"/>
    <x v="96"/>
    <n v="8"/>
    <n v="0"/>
  </r>
  <r>
    <x v="5"/>
    <x v="60"/>
    <x v="115"/>
    <n v="15"/>
    <n v="3.75"/>
  </r>
  <r>
    <x v="5"/>
    <x v="60"/>
    <x v="116"/>
    <n v="3"/>
    <n v="0.84000000000000008"/>
  </r>
  <r>
    <x v="0"/>
    <x v="2"/>
    <x v="20"/>
    <m/>
    <m/>
  </r>
  <r>
    <x v="5"/>
    <x v="61"/>
    <x v="117"/>
    <n v="3"/>
    <n v="15"/>
  </r>
  <r>
    <x v="5"/>
    <x v="61"/>
    <x v="114"/>
    <m/>
    <n v="0"/>
  </r>
  <r>
    <x v="5"/>
    <x v="61"/>
    <x v="77"/>
    <n v="20"/>
    <n v="0.38"/>
  </r>
  <r>
    <x v="5"/>
    <x v="61"/>
    <x v="97"/>
    <n v="40"/>
    <n v="1.1200000000000001"/>
  </r>
  <r>
    <x v="5"/>
    <x v="61"/>
    <x v="98"/>
    <n v="30"/>
    <n v="0.48"/>
  </r>
  <r>
    <x v="5"/>
    <x v="61"/>
    <x v="59"/>
    <n v="10"/>
    <n v="0.35000000000000003"/>
  </r>
  <r>
    <x v="0"/>
    <x v="2"/>
    <x v="20"/>
    <m/>
    <m/>
  </r>
  <r>
    <x v="5"/>
    <x v="62"/>
    <x v="114"/>
    <m/>
    <n v="0"/>
  </r>
  <r>
    <x v="5"/>
    <x v="62"/>
    <x v="118"/>
    <n v="270"/>
    <n v="0"/>
  </r>
  <r>
    <x v="5"/>
    <x v="62"/>
    <x v="119"/>
    <n v="2"/>
    <n v="1.34"/>
  </r>
  <r>
    <x v="0"/>
    <x v="2"/>
    <x v="20"/>
    <m/>
    <m/>
  </r>
  <r>
    <x v="5"/>
    <x v="63"/>
    <x v="110"/>
    <n v="20"/>
    <n v="3.5999999999999996"/>
  </r>
  <r>
    <x v="5"/>
    <x v="63"/>
    <x v="109"/>
    <n v="20"/>
    <n v="3.5999999999999996"/>
  </r>
  <r>
    <x v="5"/>
    <x v="63"/>
    <x v="108"/>
    <n v="5"/>
    <n v="0.4"/>
  </r>
  <r>
    <x v="5"/>
    <x v="63"/>
    <x v="97"/>
    <n v="36"/>
    <n v="1.008"/>
  </r>
  <r>
    <x v="5"/>
    <x v="63"/>
    <x v="77"/>
    <n v="35"/>
    <n v="0.66500000000000004"/>
  </r>
  <r>
    <x v="5"/>
    <x v="63"/>
    <x v="113"/>
    <n v="10"/>
    <n v="0"/>
  </r>
  <r>
    <x v="5"/>
    <x v="63"/>
    <x v="36"/>
    <n v="100"/>
    <n v="27"/>
  </r>
  <r>
    <x v="5"/>
    <x v="63"/>
    <x v="114"/>
    <m/>
    <n v="0"/>
  </r>
  <r>
    <x v="5"/>
    <x v="63"/>
    <x v="120"/>
    <n v="1.5"/>
    <n v="0.30000000000000004"/>
  </r>
  <r>
    <x v="5"/>
    <x v="63"/>
    <x v="58"/>
    <n v="1.5"/>
    <n v="4.2000000000000003E-2"/>
  </r>
  <r>
    <x v="5"/>
    <x v="63"/>
    <x v="100"/>
    <n v="1.5"/>
    <n v="0.36"/>
  </r>
  <r>
    <x v="5"/>
    <x v="63"/>
    <x v="112"/>
    <n v="13"/>
    <n v="0"/>
  </r>
  <r>
    <x v="0"/>
    <x v="2"/>
    <x v="20"/>
    <m/>
    <m/>
  </r>
  <r>
    <x v="5"/>
    <x v="64"/>
    <x v="121"/>
    <n v="15"/>
    <n v="0.52500000000000002"/>
  </r>
  <r>
    <x v="5"/>
    <x v="64"/>
    <x v="58"/>
    <n v="5"/>
    <n v="0.14000000000000001"/>
  </r>
  <r>
    <x v="5"/>
    <x v="64"/>
    <x v="102"/>
    <n v="15"/>
    <n v="0"/>
  </r>
  <r>
    <x v="5"/>
    <x v="64"/>
    <x v="100"/>
    <n v="5"/>
    <n v="1.2"/>
  </r>
  <r>
    <x v="5"/>
    <x v="64"/>
    <x v="103"/>
    <n v="22"/>
    <n v="2.8600000000000003"/>
  </r>
  <r>
    <x v="5"/>
    <x v="64"/>
    <x v="104"/>
    <n v="15"/>
    <n v="0.69"/>
  </r>
  <r>
    <x v="5"/>
    <x v="64"/>
    <x v="99"/>
    <n v="18"/>
    <n v="1.08"/>
  </r>
  <r>
    <x v="5"/>
    <x v="64"/>
    <x v="77"/>
    <n v="38"/>
    <n v="0.72199999999999998"/>
  </r>
  <r>
    <x v="5"/>
    <x v="64"/>
    <x v="122"/>
    <n v="1"/>
    <n v="0.03"/>
  </r>
  <r>
    <x v="5"/>
    <x v="64"/>
    <x v="108"/>
    <n v="8"/>
    <n v="0.64"/>
  </r>
  <r>
    <x v="5"/>
    <x v="64"/>
    <x v="113"/>
    <n v="20"/>
    <n v="0"/>
  </r>
  <r>
    <x v="5"/>
    <x v="64"/>
    <x v="120"/>
    <n v="1"/>
    <n v="0.2"/>
  </r>
  <r>
    <x v="5"/>
    <x v="64"/>
    <x v="113"/>
    <n v="10"/>
    <n v="0"/>
  </r>
  <r>
    <x v="5"/>
    <x v="64"/>
    <x v="114"/>
    <m/>
    <n v="0"/>
  </r>
  <r>
    <x v="5"/>
    <x v="64"/>
    <x v="36"/>
    <n v="100"/>
    <n v="27"/>
  </r>
  <r>
    <x v="5"/>
    <x v="2"/>
    <x v="20"/>
    <m/>
    <m/>
  </r>
  <r>
    <x v="5"/>
    <x v="65"/>
    <x v="77"/>
    <n v="100"/>
    <n v="1.9"/>
  </r>
  <r>
    <x v="5"/>
    <x v="65"/>
    <x v="122"/>
    <n v="2"/>
    <n v="0.06"/>
  </r>
  <r>
    <x v="5"/>
    <x v="65"/>
    <x v="99"/>
    <n v="18"/>
    <n v="1.08"/>
  </r>
  <r>
    <x v="5"/>
    <x v="65"/>
    <x v="58"/>
    <n v="2"/>
    <n v="5.6000000000000001E-2"/>
  </r>
  <r>
    <x v="5"/>
    <x v="65"/>
    <x v="100"/>
    <n v="2"/>
    <n v="0.48"/>
  </r>
  <r>
    <x v="5"/>
    <x v="65"/>
    <x v="112"/>
    <n v="10"/>
    <n v="0"/>
  </r>
  <r>
    <x v="5"/>
    <x v="65"/>
    <x v="101"/>
    <n v="15"/>
    <n v="1.0799999999999998"/>
  </r>
  <r>
    <x v="5"/>
    <x v="65"/>
    <x v="103"/>
    <n v="12"/>
    <n v="1.56"/>
  </r>
  <r>
    <x v="5"/>
    <x v="65"/>
    <x v="104"/>
    <n v="8"/>
    <n v="0.36799999999999999"/>
  </r>
  <r>
    <x v="5"/>
    <x v="65"/>
    <x v="108"/>
    <n v="8"/>
    <n v="0.64"/>
  </r>
  <r>
    <x v="5"/>
    <x v="65"/>
    <x v="123"/>
    <n v="5"/>
    <n v="0.3"/>
  </r>
  <r>
    <x v="5"/>
    <x v="65"/>
    <x v="96"/>
    <n v="9"/>
    <n v="0"/>
  </r>
  <r>
    <x v="5"/>
    <x v="65"/>
    <x v="120"/>
    <n v="1"/>
    <n v="0.2"/>
  </r>
  <r>
    <x v="5"/>
    <x v="65"/>
    <x v="114"/>
    <m/>
    <n v="0"/>
  </r>
  <r>
    <x v="5"/>
    <x v="65"/>
    <x v="124"/>
    <n v="8"/>
    <n v="15.440000000000003"/>
  </r>
  <r>
    <x v="5"/>
    <x v="2"/>
    <x v="20"/>
    <m/>
    <m/>
  </r>
  <r>
    <x v="5"/>
    <x v="66"/>
    <x v="121"/>
    <n v="15"/>
    <n v="0.52500000000000002"/>
  </r>
  <r>
    <x v="5"/>
    <x v="66"/>
    <x v="58"/>
    <n v="5"/>
    <n v="0.14000000000000001"/>
  </r>
  <r>
    <x v="5"/>
    <x v="66"/>
    <x v="102"/>
    <n v="12"/>
    <n v="0"/>
  </r>
  <r>
    <x v="5"/>
    <x v="66"/>
    <x v="100"/>
    <n v="5"/>
    <n v="1.2"/>
  </r>
  <r>
    <x v="5"/>
    <x v="66"/>
    <x v="103"/>
    <n v="20"/>
    <n v="2.6"/>
  </r>
  <r>
    <x v="5"/>
    <x v="66"/>
    <x v="104"/>
    <n v="15"/>
    <n v="0.69"/>
  </r>
  <r>
    <x v="5"/>
    <x v="66"/>
    <x v="99"/>
    <n v="18"/>
    <n v="1.08"/>
  </r>
  <r>
    <x v="5"/>
    <x v="66"/>
    <x v="77"/>
    <n v="38"/>
    <n v="0.72199999999999998"/>
  </r>
  <r>
    <x v="5"/>
    <x v="66"/>
    <x v="122"/>
    <n v="1"/>
    <n v="0.03"/>
  </r>
  <r>
    <x v="5"/>
    <x v="66"/>
    <x v="108"/>
    <n v="8"/>
    <n v="0.64"/>
  </r>
  <r>
    <x v="5"/>
    <x v="66"/>
    <x v="113"/>
    <n v="20"/>
    <n v="0"/>
  </r>
  <r>
    <x v="5"/>
    <x v="66"/>
    <x v="120"/>
    <n v="1"/>
    <n v="0.2"/>
  </r>
  <r>
    <x v="5"/>
    <x v="66"/>
    <x v="114"/>
    <m/>
    <n v="0"/>
  </r>
  <r>
    <x v="5"/>
    <x v="66"/>
    <x v="124"/>
    <n v="8"/>
    <n v="15.440000000000003"/>
  </r>
  <r>
    <x v="5"/>
    <x v="2"/>
    <x v="20"/>
    <m/>
    <m/>
  </r>
  <r>
    <x v="5"/>
    <x v="55"/>
    <x v="103"/>
    <n v="7"/>
    <n v="0.91"/>
  </r>
  <r>
    <x v="5"/>
    <x v="55"/>
    <x v="102"/>
    <n v="10"/>
    <n v="0"/>
  </r>
  <r>
    <x v="5"/>
    <x v="55"/>
    <x v="101"/>
    <n v="17"/>
    <n v="1.224"/>
  </r>
  <r>
    <x v="5"/>
    <x v="55"/>
    <x v="58"/>
    <n v="6"/>
    <n v="0.16800000000000001"/>
  </r>
  <r>
    <x v="5"/>
    <x v="55"/>
    <x v="100"/>
    <n v="6"/>
    <n v="1.44"/>
  </r>
  <r>
    <x v="5"/>
    <x v="55"/>
    <x v="96"/>
    <n v="10"/>
    <n v="0"/>
  </r>
  <r>
    <x v="5"/>
    <x v="55"/>
    <x v="104"/>
    <n v="4"/>
    <n v="0.184"/>
  </r>
  <r>
    <x v="5"/>
    <x v="55"/>
    <x v="59"/>
    <n v="18"/>
    <n v="0.63000000000000012"/>
  </r>
  <r>
    <x v="5"/>
    <x v="55"/>
    <x v="105"/>
    <n v="18"/>
    <n v="1.6199999999999999"/>
  </r>
  <r>
    <x v="5"/>
    <x v="55"/>
    <x v="106"/>
    <n v="18"/>
    <n v="0.57600000000000007"/>
  </r>
  <r>
    <x v="5"/>
    <x v="55"/>
    <x v="99"/>
    <n v="10"/>
    <n v="0.6"/>
  </r>
  <r>
    <x v="5"/>
    <x v="55"/>
    <x v="107"/>
    <n v="140"/>
    <n v="5.6000000000000005"/>
  </r>
  <r>
    <x v="5"/>
    <x v="55"/>
    <x v="108"/>
    <n v="10"/>
    <n v="0.8"/>
  </r>
  <r>
    <x v="6"/>
    <x v="67"/>
    <x v="33"/>
    <n v="100"/>
    <n v="3.5000000000000004"/>
  </r>
  <r>
    <x v="6"/>
    <x v="67"/>
    <x v="96"/>
    <n v="3"/>
    <n v="0"/>
  </r>
  <r>
    <x v="6"/>
    <x v="67"/>
    <x v="58"/>
    <n v="3"/>
    <n v="8.4000000000000005E-2"/>
  </r>
  <r>
    <x v="6"/>
    <x v="2"/>
    <x v="20"/>
    <m/>
    <m/>
  </r>
  <r>
    <x v="6"/>
    <x v="68"/>
    <x v="33"/>
    <n v="78"/>
    <n v="2.7300000000000004"/>
  </r>
  <r>
    <x v="6"/>
    <x v="68"/>
    <x v="96"/>
    <n v="2"/>
    <n v="0"/>
  </r>
  <r>
    <x v="6"/>
    <x v="68"/>
    <x v="58"/>
    <n v="2"/>
    <n v="5.6000000000000001E-2"/>
  </r>
  <r>
    <x v="6"/>
    <x v="2"/>
    <x v="20"/>
    <m/>
    <m/>
  </r>
  <r>
    <x v="6"/>
    <x v="69"/>
    <x v="15"/>
    <n v="136"/>
    <n v="4.3520000000000003"/>
  </r>
  <r>
    <x v="6"/>
    <x v="69"/>
    <x v="96"/>
    <n v="6.8"/>
    <n v="0"/>
  </r>
  <r>
    <x v="6"/>
    <x v="69"/>
    <x v="58"/>
    <n v="3.4"/>
    <n v="9.5199999999999993E-2"/>
  </r>
  <r>
    <x v="6"/>
    <x v="69"/>
    <x v="38"/>
    <n v="3.4"/>
    <n v="0.14280000000000001"/>
  </r>
  <r>
    <x v="6"/>
    <x v="2"/>
    <x v="20"/>
    <m/>
    <m/>
  </r>
  <r>
    <x v="6"/>
    <x v="70"/>
    <x v="33"/>
    <n v="100"/>
    <n v="3.5000000000000004"/>
  </r>
  <r>
    <x v="6"/>
    <x v="70"/>
    <x v="96"/>
    <n v="3"/>
    <n v="0"/>
  </r>
  <r>
    <x v="6"/>
    <x v="70"/>
    <x v="58"/>
    <n v="3"/>
    <n v="8.4000000000000005E-2"/>
  </r>
  <r>
    <x v="6"/>
    <x v="70"/>
    <x v="122"/>
    <n v="3"/>
    <n v="0.09"/>
  </r>
  <r>
    <x v="6"/>
    <x v="2"/>
    <x v="20"/>
    <m/>
    <m/>
  </r>
  <r>
    <x v="6"/>
    <x v="71"/>
    <x v="125"/>
    <n v="5"/>
    <n v="0.6"/>
  </r>
  <r>
    <x v="6"/>
    <x v="71"/>
    <x v="15"/>
    <n v="136"/>
    <n v="4.3520000000000003"/>
  </r>
  <r>
    <x v="6"/>
    <x v="71"/>
    <x v="96"/>
    <n v="6.8"/>
    <n v="0"/>
  </r>
  <r>
    <x v="6"/>
    <x v="71"/>
    <x v="58"/>
    <n v="3.4"/>
    <n v="9.5199999999999993E-2"/>
  </r>
  <r>
    <x v="6"/>
    <x v="71"/>
    <x v="38"/>
    <n v="3.4"/>
    <n v="0.14280000000000001"/>
  </r>
  <r>
    <x v="6"/>
    <x v="2"/>
    <x v="20"/>
    <m/>
    <m/>
  </r>
  <r>
    <x v="6"/>
    <x v="72"/>
    <x v="70"/>
    <n v="88"/>
    <n v="1.5839999999999999"/>
  </r>
  <r>
    <x v="6"/>
    <x v="72"/>
    <x v="77"/>
    <n v="16"/>
    <n v="0.30399999999999999"/>
  </r>
  <r>
    <x v="6"/>
    <x v="72"/>
    <x v="93"/>
    <n v="1"/>
    <n v="0.68"/>
  </r>
  <r>
    <x v="6"/>
    <x v="72"/>
    <x v="36"/>
    <n v="16"/>
    <n v="4.32"/>
  </r>
  <r>
    <x v="6"/>
    <x v="72"/>
    <x v="121"/>
    <n v="4"/>
    <n v="0.14000000000000001"/>
  </r>
  <r>
    <x v="6"/>
    <x v="72"/>
    <x v="58"/>
    <n v="3"/>
    <n v="8.4000000000000005E-2"/>
  </r>
  <r>
    <x v="6"/>
    <x v="72"/>
    <x v="15"/>
    <n v="150"/>
    <n v="4.8"/>
  </r>
  <r>
    <x v="6"/>
    <x v="72"/>
    <x v="126"/>
    <n v="10"/>
    <n v="4.6999999999999993"/>
  </r>
  <r>
    <x v="6"/>
    <x v="2"/>
    <x v="20"/>
    <m/>
    <m/>
  </r>
  <r>
    <x v="6"/>
    <x v="73"/>
    <x v="121"/>
    <n v="5"/>
    <n v="0.17500000000000002"/>
  </r>
  <r>
    <x v="6"/>
    <x v="73"/>
    <x v="33"/>
    <n v="100"/>
    <n v="3.5000000000000004"/>
  </r>
  <r>
    <x v="6"/>
    <x v="73"/>
    <x v="96"/>
    <n v="3"/>
    <n v="0"/>
  </r>
  <r>
    <x v="6"/>
    <x v="73"/>
    <x v="58"/>
    <n v="3"/>
    <n v="8.4000000000000005E-2"/>
  </r>
  <r>
    <x v="6"/>
    <x v="2"/>
    <x v="20"/>
    <m/>
    <m/>
  </r>
  <r>
    <x v="6"/>
    <x v="74"/>
    <x v="33"/>
    <n v="106"/>
    <n v="3.7100000000000004"/>
  </r>
  <r>
    <x v="6"/>
    <x v="74"/>
    <x v="126"/>
    <n v="4"/>
    <n v="1.88"/>
  </r>
  <r>
    <x v="6"/>
    <x v="74"/>
    <x v="70"/>
    <n v="68.75"/>
    <n v="1.2374999999999998"/>
  </r>
  <r>
    <x v="6"/>
    <x v="74"/>
    <x v="77"/>
    <n v="12.5"/>
    <n v="0.23749999999999999"/>
  </r>
  <r>
    <x v="6"/>
    <x v="74"/>
    <x v="93"/>
    <n v="0.78125"/>
    <n v="0.53125"/>
  </r>
  <r>
    <x v="6"/>
    <x v="74"/>
    <x v="36"/>
    <n v="12.5"/>
    <n v="3.375"/>
  </r>
  <r>
    <x v="6"/>
    <x v="74"/>
    <x v="121"/>
    <n v="3.125"/>
    <n v="0.10937500000000001"/>
  </r>
  <r>
    <x v="6"/>
    <x v="74"/>
    <x v="58"/>
    <n v="2.34375"/>
    <n v="6.5625000000000003E-2"/>
  </r>
  <r>
    <x v="6"/>
    <x v="2"/>
    <x v="20"/>
    <m/>
    <m/>
  </r>
  <r>
    <x v="6"/>
    <x v="75"/>
    <x v="126"/>
    <n v="3"/>
    <n v="1.41"/>
  </r>
  <r>
    <x v="6"/>
    <x v="75"/>
    <x v="33"/>
    <n v="78"/>
    <n v="2.7300000000000004"/>
  </r>
  <r>
    <x v="6"/>
    <x v="75"/>
    <x v="96"/>
    <n v="2"/>
    <n v="0"/>
  </r>
  <r>
    <x v="6"/>
    <x v="75"/>
    <x v="58"/>
    <n v="2"/>
    <n v="5.6000000000000001E-2"/>
  </r>
  <r>
    <x v="6"/>
    <x v="2"/>
    <x v="20"/>
    <m/>
    <m/>
  </r>
  <r>
    <x v="6"/>
    <x v="76"/>
    <x v="126"/>
    <n v="4"/>
    <n v="1.88"/>
  </r>
  <r>
    <x v="6"/>
    <x v="76"/>
    <x v="15"/>
    <n v="136"/>
    <n v="4.3520000000000003"/>
  </r>
  <r>
    <x v="6"/>
    <x v="76"/>
    <x v="96"/>
    <n v="6.8"/>
    <n v="0"/>
  </r>
  <r>
    <x v="6"/>
    <x v="76"/>
    <x v="58"/>
    <n v="3.4"/>
    <n v="9.5199999999999993E-2"/>
  </r>
  <r>
    <x v="6"/>
    <x v="76"/>
    <x v="38"/>
    <n v="3.4"/>
    <n v="0.14280000000000001"/>
  </r>
  <r>
    <x v="7"/>
    <x v="77"/>
    <x v="127"/>
    <n v="410"/>
    <n v="54.078658333333337"/>
  </r>
  <r>
    <x v="7"/>
    <x v="77"/>
    <x v="128"/>
    <n v="24"/>
    <n v="11.28"/>
  </r>
  <r>
    <x v="7"/>
    <x v="77"/>
    <x v="129"/>
    <n v="80"/>
    <n v="17.04"/>
  </r>
  <r>
    <x v="7"/>
    <x v="77"/>
    <x v="58"/>
    <n v="5"/>
    <n v="0.14000000000000001"/>
  </r>
  <r>
    <x v="7"/>
    <x v="77"/>
    <x v="16"/>
    <n v="10"/>
    <n v="5.3333000000000013"/>
  </r>
  <r>
    <x v="7"/>
    <x v="2"/>
    <x v="20"/>
    <m/>
    <m/>
  </r>
  <r>
    <x v="7"/>
    <x v="78"/>
    <x v="88"/>
    <n v="315"/>
    <n v="10.053772633333336"/>
  </r>
  <r>
    <x v="7"/>
    <x v="78"/>
    <x v="130"/>
    <n v="90"/>
    <n v="15.096350364963502"/>
  </r>
  <r>
    <x v="7"/>
    <x v="78"/>
    <x v="24"/>
    <n v="56.7"/>
    <n v="15.876000000000003"/>
  </r>
  <r>
    <x v="7"/>
    <x v="78"/>
    <x v="131"/>
    <n v="9"/>
    <n v="6.39"/>
  </r>
  <r>
    <x v="7"/>
    <x v="78"/>
    <x v="132"/>
    <n v="9"/>
    <n v="6.516"/>
  </r>
  <r>
    <x v="7"/>
    <x v="78"/>
    <x v="93"/>
    <n v="8.1"/>
    <n v="5.508"/>
  </r>
  <r>
    <x v="7"/>
    <x v="78"/>
    <x v="133"/>
    <n v="8.1"/>
    <n v="0.78569999999999995"/>
  </r>
  <r>
    <x v="7"/>
    <x v="78"/>
    <x v="58"/>
    <n v="12.6"/>
    <n v="0.3528"/>
  </r>
  <r>
    <x v="7"/>
    <x v="78"/>
    <x v="134"/>
    <n v="22.5"/>
    <n v="0.9"/>
  </r>
  <r>
    <x v="7"/>
    <x v="78"/>
    <x v="135"/>
    <n v="1.8"/>
    <n v="0.86399999999999999"/>
  </r>
  <r>
    <x v="7"/>
    <x v="78"/>
    <x v="128"/>
    <n v="45"/>
    <n v="21.15"/>
  </r>
  <r>
    <x v="7"/>
    <x v="78"/>
    <x v="129"/>
    <n v="75.600000000000009"/>
    <n v="16.102800000000002"/>
  </r>
  <r>
    <x v="7"/>
    <x v="78"/>
    <x v="36"/>
    <n v="135"/>
    <n v="36.450000000000003"/>
  </r>
  <r>
    <x v="7"/>
    <x v="78"/>
    <x v="136"/>
    <n v="11.700000000000001"/>
    <n v="1.5210000000000001"/>
  </r>
  <r>
    <x v="7"/>
    <x v="2"/>
    <x v="20"/>
    <m/>
    <m/>
  </r>
  <r>
    <x v="7"/>
    <x v="79"/>
    <x v="88"/>
    <n v="230.4"/>
    <n v="7.3536165546666687"/>
  </r>
  <r>
    <x v="7"/>
    <x v="79"/>
    <x v="130"/>
    <n v="94.5"/>
    <n v="15.851167883211678"/>
  </r>
  <r>
    <x v="7"/>
    <x v="79"/>
    <x v="129"/>
    <n v="63"/>
    <n v="13.419"/>
  </r>
  <r>
    <x v="7"/>
    <x v="79"/>
    <x v="58"/>
    <n v="13.5"/>
    <n v="0.378"/>
  </r>
  <r>
    <x v="7"/>
    <x v="79"/>
    <x v="133"/>
    <n v="10.8"/>
    <n v="1.0476000000000001"/>
  </r>
  <r>
    <x v="7"/>
    <x v="79"/>
    <x v="135"/>
    <n v="1.8"/>
    <n v="0.86399999999999999"/>
  </r>
  <r>
    <x v="7"/>
    <x v="79"/>
    <x v="28"/>
    <n v="9"/>
    <n v="1.44"/>
  </r>
  <r>
    <x v="7"/>
    <x v="79"/>
    <x v="24"/>
    <n v="36.9"/>
    <n v="10.332000000000001"/>
  </r>
  <r>
    <x v="7"/>
    <x v="79"/>
    <x v="36"/>
    <n v="144"/>
    <n v="38.880000000000003"/>
  </r>
  <r>
    <x v="7"/>
    <x v="2"/>
    <x v="20"/>
    <m/>
    <m/>
  </r>
  <r>
    <x v="7"/>
    <x v="80"/>
    <x v="36"/>
    <n v="135"/>
    <n v="36.450000000000003"/>
  </r>
  <r>
    <x v="7"/>
    <x v="80"/>
    <x v="88"/>
    <n v="270"/>
    <n v="8.6175194000000026"/>
  </r>
  <r>
    <x v="7"/>
    <x v="80"/>
    <x v="130"/>
    <n v="72"/>
    <n v="12.077080291970802"/>
  </r>
  <r>
    <x v="7"/>
    <x v="80"/>
    <x v="97"/>
    <n v="16.2"/>
    <n v="0.4536"/>
  </r>
  <r>
    <x v="7"/>
    <x v="80"/>
    <x v="128"/>
    <n v="21.6"/>
    <n v="10.151999999999999"/>
  </r>
  <r>
    <x v="7"/>
    <x v="80"/>
    <x v="129"/>
    <n v="72"/>
    <n v="15.336"/>
  </r>
  <r>
    <x v="7"/>
    <x v="80"/>
    <x v="58"/>
    <n v="4.5"/>
    <n v="0.126"/>
  </r>
  <r>
    <x v="7"/>
    <x v="80"/>
    <x v="137"/>
    <n v="52.2"/>
    <n v="1.2492409090909091"/>
  </r>
  <r>
    <x v="7"/>
    <x v="2"/>
    <x v="20"/>
    <m/>
    <m/>
  </r>
  <r>
    <x v="7"/>
    <x v="81"/>
    <x v="36"/>
    <n v="121.5"/>
    <n v="32.805"/>
  </r>
  <r>
    <x v="7"/>
    <x v="81"/>
    <x v="88"/>
    <n v="162"/>
    <n v="5.1705116400000017"/>
  </r>
  <r>
    <x v="7"/>
    <x v="81"/>
    <x v="130"/>
    <n v="81"/>
    <n v="13.586715328467152"/>
  </r>
  <r>
    <x v="7"/>
    <x v="81"/>
    <x v="97"/>
    <n v="28.35"/>
    <n v="0.79380000000000006"/>
  </r>
  <r>
    <x v="7"/>
    <x v="81"/>
    <x v="128"/>
    <n v="19.440000000000001"/>
    <n v="9.1368000000000009"/>
  </r>
  <r>
    <x v="7"/>
    <x v="81"/>
    <x v="129"/>
    <n v="64.8"/>
    <n v="13.802399999999999"/>
  </r>
  <r>
    <x v="7"/>
    <x v="81"/>
    <x v="58"/>
    <n v="16.2"/>
    <n v="0.4536"/>
  </r>
  <r>
    <x v="7"/>
    <x v="81"/>
    <x v="137"/>
    <n v="81"/>
    <n v="1.9384772727272728"/>
  </r>
  <r>
    <x v="7"/>
    <x v="81"/>
    <x v="77"/>
    <n v="32.4"/>
    <n v="0.61559999999999993"/>
  </r>
  <r>
    <x v="7"/>
    <x v="81"/>
    <x v="131"/>
    <n v="15.390000000000002"/>
    <n v="10.926900000000002"/>
  </r>
  <r>
    <x v="7"/>
    <x v="81"/>
    <x v="133"/>
    <n v="14.58"/>
    <n v="1.4142600000000001"/>
  </r>
  <r>
    <x v="7"/>
    <x v="81"/>
    <x v="132"/>
    <n v="13.770000000000001"/>
    <n v="9.9694800000000008"/>
  </r>
  <r>
    <x v="7"/>
    <x v="81"/>
    <x v="138"/>
    <n v="16.2"/>
    <n v="0"/>
  </r>
  <r>
    <x v="7"/>
    <x v="81"/>
    <x v="139"/>
    <n v="8.1"/>
    <n v="1.1825999999999999"/>
  </r>
  <r>
    <x v="7"/>
    <x v="81"/>
    <x v="135"/>
    <n v="1.62"/>
    <n v="0.77760000000000007"/>
  </r>
  <r>
    <x v="7"/>
    <x v="2"/>
    <x v="20"/>
    <m/>
    <m/>
  </r>
  <r>
    <x v="7"/>
    <x v="82"/>
    <x v="88"/>
    <n v="250"/>
    <n v="7.979184629629632"/>
  </r>
  <r>
    <x v="7"/>
    <x v="82"/>
    <x v="137"/>
    <n v="105"/>
    <n v="2.512840909090909"/>
  </r>
  <r>
    <x v="7"/>
    <x v="82"/>
    <x v="140"/>
    <n v="280"/>
    <n v="22.400000000000002"/>
  </r>
  <r>
    <x v="7"/>
    <x v="82"/>
    <x v="58"/>
    <n v="15"/>
    <n v="0.42"/>
  </r>
  <r>
    <x v="7"/>
    <x v="82"/>
    <x v="130"/>
    <n v="88"/>
    <n v="14.760875912408759"/>
  </r>
  <r>
    <x v="7"/>
    <x v="82"/>
    <x v="131"/>
    <n v="19"/>
    <n v="13.489999999999998"/>
  </r>
  <r>
    <x v="7"/>
    <x v="82"/>
    <x v="133"/>
    <n v="18"/>
    <n v="1.746"/>
  </r>
  <r>
    <x v="7"/>
    <x v="82"/>
    <x v="132"/>
    <n v="17"/>
    <n v="12.308"/>
  </r>
  <r>
    <x v="7"/>
    <x v="82"/>
    <x v="138"/>
    <n v="20"/>
    <n v="0"/>
  </r>
  <r>
    <x v="7"/>
    <x v="82"/>
    <x v="129"/>
    <n v="10"/>
    <n v="2.13"/>
  </r>
  <r>
    <x v="7"/>
    <x v="82"/>
    <x v="140"/>
    <n v="175"/>
    <n v="14"/>
  </r>
  <r>
    <x v="7"/>
    <x v="2"/>
    <x v="20"/>
    <m/>
    <m/>
  </r>
  <r>
    <x v="7"/>
    <x v="2"/>
    <x v="20"/>
    <m/>
    <m/>
  </r>
  <r>
    <x v="7"/>
    <x v="83"/>
    <x v="140"/>
    <n v="288"/>
    <n v="23.04"/>
  </r>
  <r>
    <x v="7"/>
    <x v="83"/>
    <x v="88"/>
    <n v="300"/>
    <n v="9.5750215555555585"/>
  </r>
  <r>
    <x v="7"/>
    <x v="83"/>
    <x v="130"/>
    <n v="80"/>
    <n v="13.418978102189779"/>
  </r>
  <r>
    <x v="7"/>
    <x v="83"/>
    <x v="97"/>
    <n v="18"/>
    <n v="0.504"/>
  </r>
  <r>
    <x v="7"/>
    <x v="83"/>
    <x v="128"/>
    <n v="24"/>
    <n v="11.28"/>
  </r>
  <r>
    <x v="7"/>
    <x v="83"/>
    <x v="129"/>
    <n v="80"/>
    <n v="17.04"/>
  </r>
  <r>
    <x v="7"/>
    <x v="83"/>
    <x v="58"/>
    <n v="5"/>
    <n v="0.14000000000000001"/>
  </r>
  <r>
    <x v="7"/>
    <x v="83"/>
    <x v="137"/>
    <n v="58"/>
    <n v="1.3880454545454546"/>
  </r>
  <r>
    <x v="7"/>
    <x v="2"/>
    <x v="20"/>
    <m/>
    <m/>
  </r>
  <r>
    <x v="7"/>
    <x v="84"/>
    <x v="16"/>
    <n v="31.578947368421051"/>
    <n v="16.842000000000002"/>
  </r>
  <r>
    <x v="7"/>
    <x v="84"/>
    <x v="56"/>
    <n v="2.1052631578947367"/>
    <n v="1.368421052631579"/>
  </r>
  <r>
    <x v="7"/>
    <x v="84"/>
    <x v="125"/>
    <n v="6.3157894736842106"/>
    <n v="0.75789473684210529"/>
  </r>
  <r>
    <x v="7"/>
    <x v="84"/>
    <x v="89"/>
    <n v="1.0526315789473684"/>
    <n v="0.78947368421052633"/>
  </r>
  <r>
    <x v="7"/>
    <x v="84"/>
    <x v="133"/>
    <n v="1.3157894736842106"/>
    <n v="0.12763157894736843"/>
  </r>
  <r>
    <x v="7"/>
    <x v="84"/>
    <x v="135"/>
    <n v="0.78947368421052633"/>
    <n v="0.37894736842105264"/>
  </r>
  <r>
    <x v="7"/>
    <x v="84"/>
    <x v="131"/>
    <n v="2.1052631578947367"/>
    <n v="1.4947368421052629"/>
  </r>
  <r>
    <x v="7"/>
    <x v="84"/>
    <x v="93"/>
    <n v="1.3157894736842106"/>
    <n v="0.89473684210526327"/>
  </r>
  <r>
    <x v="7"/>
    <x v="84"/>
    <x v="132"/>
    <n v="2.1052631578947367"/>
    <n v="1.5242105263157892"/>
  </r>
  <r>
    <x v="7"/>
    <x v="84"/>
    <x v="28"/>
    <n v="7.8947368421052628"/>
    <n v="1.263157894736842"/>
  </r>
  <r>
    <x v="7"/>
    <x v="84"/>
    <x v="58"/>
    <n v="3.1578947368421053"/>
    <n v="8.8421052631578956E-2"/>
  </r>
  <r>
    <x v="7"/>
    <x v="84"/>
    <x v="36"/>
    <n v="52.631578947368418"/>
    <n v="14.210526315789474"/>
  </r>
  <r>
    <x v="7"/>
    <x v="84"/>
    <x v="105"/>
    <n v="78.94736842105263"/>
    <n v="7.1052631578947363"/>
  </r>
  <r>
    <x v="7"/>
    <x v="84"/>
    <x v="129"/>
    <n v="11.842105263157896"/>
    <n v="2.5223684210526316"/>
  </r>
  <r>
    <x v="7"/>
    <x v="84"/>
    <x v="59"/>
    <n v="26.315789473684209"/>
    <n v="0.92105263157894735"/>
  </r>
  <r>
    <x v="7"/>
    <x v="84"/>
    <x v="141"/>
    <n v="26.315789473684209"/>
    <n v="2.763157894736842"/>
  </r>
  <r>
    <x v="7"/>
    <x v="84"/>
    <x v="142"/>
    <n v="26.315789473684209"/>
    <n v="4.2105263157894735"/>
  </r>
  <r>
    <x v="7"/>
    <x v="84"/>
    <x v="130"/>
    <n v="52.631578947368418"/>
    <n v="8.828275067230118"/>
  </r>
  <r>
    <x v="7"/>
    <x v="84"/>
    <x v="88"/>
    <n v="184.21052631578948"/>
    <n v="5.8793992007797291"/>
  </r>
  <r>
    <x v="7"/>
    <x v="2"/>
    <x v="20"/>
    <m/>
    <m/>
  </r>
  <r>
    <x v="7"/>
    <x v="85"/>
    <x v="88"/>
    <n v="314"/>
    <n v="10.021855894814818"/>
  </r>
  <r>
    <x v="7"/>
    <x v="85"/>
    <x v="137"/>
    <n v="58"/>
    <n v="1.3880454545454546"/>
  </r>
  <r>
    <x v="7"/>
    <x v="85"/>
    <x v="140"/>
    <n v="257"/>
    <n v="20.56"/>
  </r>
  <r>
    <x v="7"/>
    <x v="85"/>
    <x v="58"/>
    <n v="15"/>
    <n v="0.42"/>
  </r>
  <r>
    <x v="7"/>
    <x v="85"/>
    <x v="133"/>
    <n v="12"/>
    <n v="1.1640000000000001"/>
  </r>
  <r>
    <x v="7"/>
    <x v="85"/>
    <x v="135"/>
    <n v="2"/>
    <n v="0.96"/>
  </r>
  <r>
    <x v="7"/>
    <x v="85"/>
    <x v="128"/>
    <n v="24"/>
    <n v="11.28"/>
  </r>
  <r>
    <x v="7"/>
    <x v="85"/>
    <x v="138"/>
    <n v="15"/>
    <n v="0"/>
  </r>
  <r>
    <x v="7"/>
    <x v="85"/>
    <x v="136"/>
    <n v="13"/>
    <n v="1.69"/>
  </r>
  <r>
    <x v="7"/>
    <x v="85"/>
    <x v="143"/>
    <n v="2"/>
    <n v="10"/>
  </r>
  <r>
    <x v="7"/>
    <x v="2"/>
    <x v="20"/>
    <m/>
    <m/>
  </r>
  <r>
    <x v="7"/>
    <x v="2"/>
    <x v="20"/>
    <m/>
    <m/>
  </r>
  <r>
    <x v="7"/>
    <x v="86"/>
    <x v="144"/>
    <n v="280"/>
    <n v="46.747881833333338"/>
  </r>
  <r>
    <x v="7"/>
    <x v="86"/>
    <x v="145"/>
    <n v="270"/>
    <n v="27"/>
  </r>
  <r>
    <x v="7"/>
    <x v="2"/>
    <x v="20"/>
    <m/>
    <m/>
  </r>
  <r>
    <x v="7"/>
    <x v="87"/>
    <x v="144"/>
    <n v="160"/>
    <n v="26.713075333333336"/>
  </r>
  <r>
    <x v="7"/>
    <x v="87"/>
    <x v="146"/>
    <n v="150"/>
    <n v="26.869615331363509"/>
  </r>
  <r>
    <x v="7"/>
    <x v="87"/>
    <x v="147"/>
    <n v="140"/>
    <n v="20.33855616346381"/>
  </r>
  <r>
    <x v="7"/>
    <x v="87"/>
    <x v="77"/>
    <n v="15"/>
    <n v="0.28499999999999998"/>
  </r>
  <r>
    <x v="7"/>
    <x v="87"/>
    <x v="68"/>
    <n v="15"/>
    <n v="0.375"/>
  </r>
  <r>
    <x v="7"/>
    <x v="87"/>
    <x v="148"/>
    <n v="2"/>
    <n v="7.168000000000001"/>
  </r>
  <r>
    <x v="7"/>
    <x v="87"/>
    <x v="149"/>
    <n v="1"/>
    <n v="9.7477845528455287"/>
  </r>
  <r>
    <x v="7"/>
    <x v="87"/>
    <x v="145"/>
    <n v="110"/>
    <n v="11"/>
  </r>
  <r>
    <x v="7"/>
    <x v="87"/>
    <x v="150"/>
    <n v="120"/>
    <n v="7.4252621359223294"/>
  </r>
  <r>
    <x v="7"/>
    <x v="87"/>
    <x v="151"/>
    <n v="1"/>
    <n v="0.7"/>
  </r>
  <r>
    <x v="7"/>
    <x v="2"/>
    <x v="20"/>
    <m/>
    <m/>
  </r>
  <r>
    <x v="7"/>
    <x v="88"/>
    <x v="144"/>
    <n v="160"/>
    <n v="26.713075333333336"/>
  </r>
  <r>
    <x v="7"/>
    <x v="88"/>
    <x v="146"/>
    <n v="150"/>
    <n v="26.869615331363509"/>
  </r>
  <r>
    <x v="7"/>
    <x v="88"/>
    <x v="77"/>
    <n v="15"/>
    <n v="0.28499999999999998"/>
  </r>
  <r>
    <x v="7"/>
    <x v="88"/>
    <x v="148"/>
    <n v="2"/>
    <n v="7.168000000000001"/>
  </r>
  <r>
    <x v="7"/>
    <x v="88"/>
    <x v="145"/>
    <n v="110"/>
    <n v="11"/>
  </r>
  <r>
    <x v="7"/>
    <x v="88"/>
    <x v="150"/>
    <n v="120"/>
    <n v="7.4252621359223294"/>
  </r>
  <r>
    <x v="7"/>
    <x v="2"/>
    <x v="0"/>
    <m/>
    <m/>
  </r>
  <r>
    <x v="7"/>
    <x v="89"/>
    <x v="80"/>
    <n v="2"/>
    <n v="70"/>
  </r>
  <r>
    <x v="7"/>
    <x v="89"/>
    <x v="144"/>
    <n v="160"/>
    <n v="26.713075333333336"/>
  </r>
  <r>
    <x v="7"/>
    <x v="89"/>
    <x v="150"/>
    <n v="110"/>
    <n v="6.8064902912621355"/>
  </r>
  <r>
    <x v="7"/>
    <x v="89"/>
    <x v="68"/>
    <n v="15"/>
    <n v="0.375"/>
  </r>
  <r>
    <x v="7"/>
    <x v="89"/>
    <x v="77"/>
    <n v="15"/>
    <n v="0.28499999999999998"/>
  </r>
  <r>
    <x v="7"/>
    <x v="89"/>
    <x v="152"/>
    <n v="150"/>
    <n v="30.772123272358325"/>
  </r>
  <r>
    <x v="0"/>
    <x v="2"/>
    <x v="0"/>
    <m/>
    <m/>
  </r>
  <r>
    <x v="0"/>
    <x v="2"/>
    <x v="0"/>
    <m/>
    <m/>
  </r>
  <r>
    <x v="7"/>
    <x v="90"/>
    <x v="153"/>
    <n v="240"/>
    <n v="153.6"/>
  </r>
  <r>
    <x v="7"/>
    <x v="90"/>
    <x v="80"/>
    <n v="1"/>
    <n v="35"/>
  </r>
  <r>
    <x v="7"/>
    <x v="90"/>
    <x v="150"/>
    <n v="200"/>
    <n v="12.375436893203883"/>
  </r>
  <r>
    <x v="0"/>
    <x v="2"/>
    <x v="20"/>
    <m/>
    <m/>
  </r>
  <r>
    <x v="8"/>
    <x v="91"/>
    <x v="36"/>
    <n v="250"/>
    <n v="67.5"/>
  </r>
  <r>
    <x v="8"/>
    <x v="91"/>
    <x v="77"/>
    <n v="20"/>
    <n v="0.38"/>
  </r>
  <r>
    <x v="8"/>
    <x v="91"/>
    <x v="154"/>
    <n v="3.85"/>
    <n v="0.30415000000000003"/>
  </r>
  <r>
    <x v="8"/>
    <x v="91"/>
    <x v="155"/>
    <n v="2.7"/>
    <n v="0.94499999999999995"/>
  </r>
  <r>
    <x v="8"/>
    <x v="91"/>
    <x v="156"/>
    <n v="3.2"/>
    <n v="0.96"/>
  </r>
  <r>
    <x v="8"/>
    <x v="91"/>
    <x v="157"/>
    <n v="3.7"/>
    <n v="0"/>
  </r>
  <r>
    <x v="8"/>
    <x v="91"/>
    <x v="138"/>
    <n v="2.4500000000000002"/>
    <n v="0"/>
  </r>
  <r>
    <x v="8"/>
    <x v="91"/>
    <x v="93"/>
    <n v="2.6"/>
    <n v="1.7680000000000002"/>
  </r>
  <r>
    <x v="8"/>
    <x v="91"/>
    <x v="133"/>
    <n v="1.6"/>
    <n v="0.1552"/>
  </r>
  <r>
    <x v="8"/>
    <x v="91"/>
    <x v="30"/>
    <n v="30"/>
    <n v="2.1"/>
  </r>
  <r>
    <x v="8"/>
    <x v="91"/>
    <x v="96"/>
    <n v="40"/>
    <n v="0"/>
  </r>
  <r>
    <x v="8"/>
    <x v="91"/>
    <x v="135"/>
    <n v="0.2"/>
    <n v="9.6000000000000002E-2"/>
  </r>
  <r>
    <x v="8"/>
    <x v="91"/>
    <x v="63"/>
    <n v="80"/>
    <n v="3.84"/>
  </r>
  <r>
    <x v="8"/>
    <x v="91"/>
    <x v="125"/>
    <n v="6"/>
    <n v="0.72"/>
  </r>
  <r>
    <x v="8"/>
    <x v="91"/>
    <x v="97"/>
    <n v="3"/>
    <n v="8.4000000000000005E-2"/>
  </r>
  <r>
    <x v="8"/>
    <x v="91"/>
    <x v="158"/>
    <n v="7"/>
    <n v="0.112"/>
  </r>
  <r>
    <x v="8"/>
    <x v="91"/>
    <x v="159"/>
    <n v="6.25"/>
    <n v="0.73125000000000007"/>
  </r>
  <r>
    <x v="0"/>
    <x v="0"/>
    <x v="20"/>
    <m/>
    <m/>
  </r>
  <r>
    <x v="8"/>
    <x v="92"/>
    <x v="140"/>
    <n v="210"/>
    <n v="16.8"/>
  </r>
  <r>
    <x v="8"/>
    <x v="92"/>
    <x v="77"/>
    <n v="20"/>
    <n v="0.38"/>
  </r>
  <r>
    <x v="8"/>
    <x v="92"/>
    <x v="154"/>
    <n v="3.85"/>
    <n v="0.30415000000000003"/>
  </r>
  <r>
    <x v="8"/>
    <x v="92"/>
    <x v="155"/>
    <n v="2.7"/>
    <n v="0.94499999999999995"/>
  </r>
  <r>
    <x v="8"/>
    <x v="92"/>
    <x v="156"/>
    <n v="3.2"/>
    <n v="0.96"/>
  </r>
  <r>
    <x v="8"/>
    <x v="92"/>
    <x v="157"/>
    <n v="3.7"/>
    <n v="0"/>
  </r>
  <r>
    <x v="8"/>
    <x v="92"/>
    <x v="138"/>
    <n v="2.4500000000000002"/>
    <n v="0"/>
  </r>
  <r>
    <x v="8"/>
    <x v="92"/>
    <x v="93"/>
    <n v="2.6"/>
    <n v="1.7680000000000002"/>
  </r>
  <r>
    <x v="8"/>
    <x v="92"/>
    <x v="133"/>
    <n v="1.6"/>
    <n v="0.1552"/>
  </r>
  <r>
    <x v="8"/>
    <x v="92"/>
    <x v="30"/>
    <n v="30"/>
    <n v="2.1"/>
  </r>
  <r>
    <x v="8"/>
    <x v="92"/>
    <x v="96"/>
    <n v="40"/>
    <n v="0"/>
  </r>
  <r>
    <x v="8"/>
    <x v="92"/>
    <x v="135"/>
    <n v="0.2"/>
    <n v="9.6000000000000002E-2"/>
  </r>
  <r>
    <x v="8"/>
    <x v="92"/>
    <x v="63"/>
    <n v="80"/>
    <n v="3.84"/>
  </r>
  <r>
    <x v="8"/>
    <x v="92"/>
    <x v="108"/>
    <n v="5"/>
    <n v="0.4"/>
  </r>
  <r>
    <x v="8"/>
    <x v="92"/>
    <x v="97"/>
    <n v="3"/>
    <n v="8.4000000000000005E-2"/>
  </r>
  <r>
    <x v="8"/>
    <x v="92"/>
    <x v="158"/>
    <n v="7"/>
    <n v="0.112"/>
  </r>
  <r>
    <x v="8"/>
    <x v="92"/>
    <x v="159"/>
    <n v="6.25"/>
    <n v="0.73125000000000007"/>
  </r>
  <r>
    <x v="0"/>
    <x v="0"/>
    <x v="20"/>
    <m/>
    <m/>
  </r>
  <r>
    <x v="8"/>
    <x v="93"/>
    <x v="142"/>
    <n v="220"/>
    <n v="35.200000000000003"/>
  </r>
  <r>
    <x v="8"/>
    <x v="93"/>
    <x v="77"/>
    <n v="20"/>
    <n v="0.38"/>
  </r>
  <r>
    <x v="8"/>
    <x v="93"/>
    <x v="154"/>
    <n v="3.85"/>
    <n v="0.30415000000000003"/>
  </r>
  <r>
    <x v="8"/>
    <x v="93"/>
    <x v="155"/>
    <n v="2.7"/>
    <n v="0.94499999999999995"/>
  </r>
  <r>
    <x v="8"/>
    <x v="93"/>
    <x v="156"/>
    <n v="3.2"/>
    <n v="0.96"/>
  </r>
  <r>
    <x v="8"/>
    <x v="93"/>
    <x v="157"/>
    <n v="3.7"/>
    <n v="0"/>
  </r>
  <r>
    <x v="8"/>
    <x v="93"/>
    <x v="138"/>
    <n v="2.4500000000000002"/>
    <n v="0"/>
  </r>
  <r>
    <x v="8"/>
    <x v="93"/>
    <x v="93"/>
    <n v="2.6"/>
    <n v="1.7680000000000002"/>
  </r>
  <r>
    <x v="8"/>
    <x v="93"/>
    <x v="133"/>
    <n v="1.6"/>
    <n v="0.1552"/>
  </r>
  <r>
    <x v="8"/>
    <x v="93"/>
    <x v="30"/>
    <n v="30"/>
    <n v="2.1"/>
  </r>
  <r>
    <x v="8"/>
    <x v="93"/>
    <x v="96"/>
    <n v="40"/>
    <n v="0"/>
  </r>
  <r>
    <x v="8"/>
    <x v="93"/>
    <x v="135"/>
    <n v="0.2"/>
    <n v="9.6000000000000002E-2"/>
  </r>
  <r>
    <x v="8"/>
    <x v="93"/>
    <x v="63"/>
    <n v="80"/>
    <n v="3.84"/>
  </r>
  <r>
    <x v="8"/>
    <x v="93"/>
    <x v="108"/>
    <n v="5"/>
    <n v="0.4"/>
  </r>
  <r>
    <x v="8"/>
    <x v="93"/>
    <x v="97"/>
    <n v="3"/>
    <n v="8.4000000000000005E-2"/>
  </r>
  <r>
    <x v="8"/>
    <x v="93"/>
    <x v="158"/>
    <n v="7"/>
    <n v="0.112"/>
  </r>
  <r>
    <x v="8"/>
    <x v="93"/>
    <x v="159"/>
    <n v="6.25"/>
    <n v="0.73125000000000007"/>
  </r>
  <r>
    <x v="0"/>
    <x v="0"/>
    <x v="20"/>
    <m/>
    <m/>
  </r>
  <r>
    <x v="8"/>
    <x v="94"/>
    <x v="129"/>
    <n v="65"/>
    <n v="13.844999999999999"/>
  </r>
  <r>
    <x v="8"/>
    <x v="94"/>
    <x v="36"/>
    <n v="250"/>
    <n v="67.5"/>
  </r>
  <r>
    <x v="8"/>
    <x v="94"/>
    <x v="77"/>
    <n v="20"/>
    <n v="0.38"/>
  </r>
  <r>
    <x v="8"/>
    <x v="94"/>
    <x v="154"/>
    <n v="3.85"/>
    <n v="0.30415000000000003"/>
  </r>
  <r>
    <x v="8"/>
    <x v="94"/>
    <x v="155"/>
    <n v="2.7"/>
    <n v="0.94499999999999995"/>
  </r>
  <r>
    <x v="8"/>
    <x v="94"/>
    <x v="156"/>
    <n v="3.2"/>
    <n v="0.96"/>
  </r>
  <r>
    <x v="8"/>
    <x v="94"/>
    <x v="157"/>
    <n v="3.7"/>
    <n v="0"/>
  </r>
  <r>
    <x v="8"/>
    <x v="94"/>
    <x v="138"/>
    <n v="2.4500000000000002"/>
    <n v="0"/>
  </r>
  <r>
    <x v="8"/>
    <x v="94"/>
    <x v="93"/>
    <n v="2.6"/>
    <n v="1.7680000000000002"/>
  </r>
  <r>
    <x v="8"/>
    <x v="94"/>
    <x v="133"/>
    <n v="1.6"/>
    <n v="0.1552"/>
  </r>
  <r>
    <x v="8"/>
    <x v="94"/>
    <x v="30"/>
    <n v="30"/>
    <n v="2.1"/>
  </r>
  <r>
    <x v="8"/>
    <x v="94"/>
    <x v="96"/>
    <n v="40"/>
    <n v="0"/>
  </r>
  <r>
    <x v="8"/>
    <x v="94"/>
    <x v="135"/>
    <n v="0.2"/>
    <n v="9.6000000000000002E-2"/>
  </r>
  <r>
    <x v="8"/>
    <x v="94"/>
    <x v="63"/>
    <n v="80"/>
    <n v="3.84"/>
  </r>
  <r>
    <x v="8"/>
    <x v="94"/>
    <x v="108"/>
    <n v="5"/>
    <n v="0.4"/>
  </r>
  <r>
    <x v="8"/>
    <x v="94"/>
    <x v="97"/>
    <n v="3"/>
    <n v="8.4000000000000005E-2"/>
  </r>
  <r>
    <x v="8"/>
    <x v="94"/>
    <x v="158"/>
    <n v="7"/>
    <n v="0.112"/>
  </r>
  <r>
    <x v="8"/>
    <x v="94"/>
    <x v="159"/>
    <n v="6.25"/>
    <n v="0.73125000000000007"/>
  </r>
  <r>
    <x v="0"/>
    <x v="0"/>
    <x v="20"/>
    <m/>
    <m/>
  </r>
  <r>
    <x v="8"/>
    <x v="95"/>
    <x v="129"/>
    <n v="65"/>
    <n v="13.844999999999999"/>
  </r>
  <r>
    <x v="8"/>
    <x v="95"/>
    <x v="36"/>
    <n v="250"/>
    <n v="67.5"/>
  </r>
  <r>
    <x v="8"/>
    <x v="95"/>
    <x v="77"/>
    <n v="20"/>
    <n v="0.38"/>
  </r>
  <r>
    <x v="8"/>
    <x v="95"/>
    <x v="154"/>
    <n v="3.85"/>
    <n v="0.30415000000000003"/>
  </r>
  <r>
    <x v="8"/>
    <x v="95"/>
    <x v="155"/>
    <n v="2.7"/>
    <n v="0.94499999999999995"/>
  </r>
  <r>
    <x v="8"/>
    <x v="95"/>
    <x v="156"/>
    <n v="3.2"/>
    <n v="0.96"/>
  </r>
  <r>
    <x v="8"/>
    <x v="95"/>
    <x v="157"/>
    <n v="3.7"/>
    <n v="0"/>
  </r>
  <r>
    <x v="8"/>
    <x v="95"/>
    <x v="138"/>
    <n v="2.4500000000000002"/>
    <n v="0"/>
  </r>
  <r>
    <x v="8"/>
    <x v="95"/>
    <x v="93"/>
    <n v="2.6"/>
    <n v="1.7680000000000002"/>
  </r>
  <r>
    <x v="8"/>
    <x v="95"/>
    <x v="133"/>
    <n v="1.6"/>
    <n v="0.1552"/>
  </r>
  <r>
    <x v="8"/>
    <x v="95"/>
    <x v="30"/>
    <n v="30"/>
    <n v="2.1"/>
  </r>
  <r>
    <x v="8"/>
    <x v="95"/>
    <x v="96"/>
    <n v="40"/>
    <n v="0"/>
  </r>
  <r>
    <x v="8"/>
    <x v="95"/>
    <x v="135"/>
    <n v="0.2"/>
    <n v="9.6000000000000002E-2"/>
  </r>
  <r>
    <x v="8"/>
    <x v="95"/>
    <x v="63"/>
    <n v="80"/>
    <n v="3.84"/>
  </r>
  <r>
    <x v="8"/>
    <x v="95"/>
    <x v="108"/>
    <n v="5"/>
    <n v="0.4"/>
  </r>
  <r>
    <x v="8"/>
    <x v="95"/>
    <x v="97"/>
    <n v="3"/>
    <n v="8.4000000000000005E-2"/>
  </r>
  <r>
    <x v="8"/>
    <x v="95"/>
    <x v="158"/>
    <n v="7"/>
    <n v="0.112"/>
  </r>
  <r>
    <x v="8"/>
    <x v="95"/>
    <x v="159"/>
    <n v="6.25"/>
    <n v="0.73125000000000007"/>
  </r>
  <r>
    <x v="0"/>
    <x v="0"/>
    <x v="20"/>
    <m/>
    <m/>
  </r>
  <r>
    <x v="8"/>
    <x v="96"/>
    <x v="143"/>
    <n v="2"/>
    <n v="10"/>
  </r>
  <r>
    <x v="8"/>
    <x v="96"/>
    <x v="140"/>
    <n v="210"/>
    <n v="16.8"/>
  </r>
  <r>
    <x v="8"/>
    <x v="96"/>
    <x v="77"/>
    <n v="20"/>
    <n v="0.38"/>
  </r>
  <r>
    <x v="8"/>
    <x v="96"/>
    <x v="154"/>
    <n v="3.85"/>
    <n v="0.30415000000000003"/>
  </r>
  <r>
    <x v="8"/>
    <x v="96"/>
    <x v="155"/>
    <n v="2.7"/>
    <n v="0.94499999999999995"/>
  </r>
  <r>
    <x v="8"/>
    <x v="96"/>
    <x v="156"/>
    <n v="3.2"/>
    <n v="0.96"/>
  </r>
  <r>
    <x v="8"/>
    <x v="96"/>
    <x v="157"/>
    <n v="3.7"/>
    <n v="0"/>
  </r>
  <r>
    <x v="8"/>
    <x v="96"/>
    <x v="138"/>
    <n v="2.4500000000000002"/>
    <n v="0"/>
  </r>
  <r>
    <x v="8"/>
    <x v="96"/>
    <x v="93"/>
    <n v="2.6"/>
    <n v="1.7680000000000002"/>
  </r>
  <r>
    <x v="8"/>
    <x v="96"/>
    <x v="133"/>
    <n v="1.6"/>
    <n v="0.1552"/>
  </r>
  <r>
    <x v="8"/>
    <x v="96"/>
    <x v="30"/>
    <n v="30"/>
    <n v="2.1"/>
  </r>
  <r>
    <x v="8"/>
    <x v="96"/>
    <x v="96"/>
    <n v="40"/>
    <n v="0"/>
  </r>
  <r>
    <x v="8"/>
    <x v="96"/>
    <x v="135"/>
    <n v="0.2"/>
    <n v="9.6000000000000002E-2"/>
  </r>
  <r>
    <x v="8"/>
    <x v="96"/>
    <x v="63"/>
    <n v="80"/>
    <n v="3.84"/>
  </r>
  <r>
    <x v="8"/>
    <x v="96"/>
    <x v="108"/>
    <n v="5"/>
    <n v="0.4"/>
  </r>
  <r>
    <x v="8"/>
    <x v="96"/>
    <x v="97"/>
    <n v="3"/>
    <n v="8.4000000000000005E-2"/>
  </r>
  <r>
    <x v="8"/>
    <x v="96"/>
    <x v="158"/>
    <n v="7"/>
    <n v="0.112"/>
  </r>
  <r>
    <x v="8"/>
    <x v="96"/>
    <x v="159"/>
    <n v="6.25"/>
    <n v="0.73125000000000007"/>
  </r>
  <r>
    <x v="8"/>
    <x v="96"/>
    <x v="159"/>
    <n v="6.25"/>
    <n v="0.73125000000000007"/>
  </r>
  <r>
    <x v="8"/>
    <x v="96"/>
    <x v="129"/>
    <n v="65"/>
    <n v="13.844999999999999"/>
  </r>
  <r>
    <x v="8"/>
    <x v="97"/>
    <x v="78"/>
    <n v="10"/>
    <n v="0"/>
  </r>
  <r>
    <x v="8"/>
    <x v="97"/>
    <x v="140"/>
    <n v="210"/>
    <n v="16.8"/>
  </r>
  <r>
    <x v="8"/>
    <x v="97"/>
    <x v="77"/>
    <n v="20"/>
    <n v="0.38"/>
  </r>
  <r>
    <x v="8"/>
    <x v="97"/>
    <x v="154"/>
    <n v="3.85"/>
    <n v="0.30415000000000003"/>
  </r>
  <r>
    <x v="8"/>
    <x v="97"/>
    <x v="155"/>
    <n v="2.7"/>
    <n v="0.94499999999999995"/>
  </r>
  <r>
    <x v="8"/>
    <x v="97"/>
    <x v="156"/>
    <n v="3.2"/>
    <n v="0.96"/>
  </r>
  <r>
    <x v="8"/>
    <x v="97"/>
    <x v="157"/>
    <n v="3.7"/>
    <n v="0"/>
  </r>
  <r>
    <x v="8"/>
    <x v="97"/>
    <x v="138"/>
    <n v="2.4500000000000002"/>
    <n v="0"/>
  </r>
  <r>
    <x v="8"/>
    <x v="97"/>
    <x v="93"/>
    <n v="2.6"/>
    <n v="1.7680000000000002"/>
  </r>
  <r>
    <x v="8"/>
    <x v="97"/>
    <x v="133"/>
    <n v="1.6"/>
    <n v="0.1552"/>
  </r>
  <r>
    <x v="8"/>
    <x v="97"/>
    <x v="30"/>
    <n v="30"/>
    <n v="2.1"/>
  </r>
  <r>
    <x v="8"/>
    <x v="97"/>
    <x v="96"/>
    <n v="40"/>
    <n v="0"/>
  </r>
  <r>
    <x v="8"/>
    <x v="97"/>
    <x v="135"/>
    <n v="0.2"/>
    <n v="9.6000000000000002E-2"/>
  </r>
  <r>
    <x v="8"/>
    <x v="97"/>
    <x v="63"/>
    <n v="80"/>
    <n v="3.84"/>
  </r>
  <r>
    <x v="8"/>
    <x v="97"/>
    <x v="108"/>
    <n v="5"/>
    <n v="0.4"/>
  </r>
  <r>
    <x v="8"/>
    <x v="97"/>
    <x v="97"/>
    <n v="3"/>
    <n v="8.4000000000000005E-2"/>
  </r>
  <r>
    <x v="8"/>
    <x v="97"/>
    <x v="158"/>
    <n v="7"/>
    <n v="0.112"/>
  </r>
  <r>
    <x v="8"/>
    <x v="97"/>
    <x v="159"/>
    <n v="6.25"/>
    <n v="0.73125000000000007"/>
  </r>
  <r>
    <x v="0"/>
    <x v="0"/>
    <x v="20"/>
    <m/>
    <m/>
  </r>
  <r>
    <x v="8"/>
    <x v="98"/>
    <x v="143"/>
    <n v="2"/>
    <n v="10"/>
  </r>
  <r>
    <x v="8"/>
    <x v="98"/>
    <x v="36"/>
    <n v="250"/>
    <n v="67.5"/>
  </r>
  <r>
    <x v="8"/>
    <x v="98"/>
    <x v="77"/>
    <n v="20"/>
    <n v="0.38"/>
  </r>
  <r>
    <x v="8"/>
    <x v="98"/>
    <x v="154"/>
    <n v="3.85"/>
    <n v="0.30415000000000003"/>
  </r>
  <r>
    <x v="8"/>
    <x v="98"/>
    <x v="155"/>
    <n v="2.7"/>
    <n v="0.94499999999999995"/>
  </r>
  <r>
    <x v="8"/>
    <x v="98"/>
    <x v="156"/>
    <n v="3.2"/>
    <n v="0.96"/>
  </r>
  <r>
    <x v="8"/>
    <x v="98"/>
    <x v="157"/>
    <n v="3.7"/>
    <n v="0"/>
  </r>
  <r>
    <x v="8"/>
    <x v="98"/>
    <x v="138"/>
    <n v="2.4500000000000002"/>
    <n v="0"/>
  </r>
  <r>
    <x v="8"/>
    <x v="98"/>
    <x v="93"/>
    <n v="2.6"/>
    <n v="1.7680000000000002"/>
  </r>
  <r>
    <x v="8"/>
    <x v="98"/>
    <x v="133"/>
    <n v="1.6"/>
    <n v="0.1552"/>
  </r>
  <r>
    <x v="8"/>
    <x v="98"/>
    <x v="30"/>
    <n v="30"/>
    <n v="2.1"/>
  </r>
  <r>
    <x v="8"/>
    <x v="98"/>
    <x v="96"/>
    <n v="40"/>
    <n v="0"/>
  </r>
  <r>
    <x v="8"/>
    <x v="98"/>
    <x v="135"/>
    <n v="0.2"/>
    <n v="9.6000000000000002E-2"/>
  </r>
  <r>
    <x v="8"/>
    <x v="98"/>
    <x v="63"/>
    <n v="80"/>
    <n v="3.84"/>
  </r>
  <r>
    <x v="8"/>
    <x v="98"/>
    <x v="108"/>
    <n v="5"/>
    <n v="0.4"/>
  </r>
  <r>
    <x v="8"/>
    <x v="98"/>
    <x v="97"/>
    <n v="3"/>
    <n v="8.4000000000000005E-2"/>
  </r>
  <r>
    <x v="8"/>
    <x v="98"/>
    <x v="158"/>
    <n v="7"/>
    <n v="0.112"/>
  </r>
  <r>
    <x v="8"/>
    <x v="98"/>
    <x v="159"/>
    <n v="6.25"/>
    <n v="0.73125000000000007"/>
  </r>
  <r>
    <x v="0"/>
    <x v="0"/>
    <x v="20"/>
    <m/>
    <m/>
  </r>
  <r>
    <x v="8"/>
    <x v="99"/>
    <x v="143"/>
    <n v="2"/>
    <n v="10"/>
  </r>
  <r>
    <x v="8"/>
    <x v="99"/>
    <x v="142"/>
    <n v="220"/>
    <n v="35.200000000000003"/>
  </r>
  <r>
    <x v="8"/>
    <x v="99"/>
    <x v="77"/>
    <n v="20"/>
    <n v="0.38"/>
  </r>
  <r>
    <x v="8"/>
    <x v="99"/>
    <x v="154"/>
    <n v="3.85"/>
    <n v="0.30415000000000003"/>
  </r>
  <r>
    <x v="8"/>
    <x v="99"/>
    <x v="155"/>
    <n v="2.7"/>
    <n v="0.94499999999999995"/>
  </r>
  <r>
    <x v="8"/>
    <x v="99"/>
    <x v="156"/>
    <n v="3.2"/>
    <n v="0.96"/>
  </r>
  <r>
    <x v="8"/>
    <x v="99"/>
    <x v="157"/>
    <n v="3.7"/>
    <n v="0"/>
  </r>
  <r>
    <x v="8"/>
    <x v="99"/>
    <x v="138"/>
    <n v="2.4500000000000002"/>
    <n v="0"/>
  </r>
  <r>
    <x v="8"/>
    <x v="99"/>
    <x v="93"/>
    <n v="2.6"/>
    <n v="1.7680000000000002"/>
  </r>
  <r>
    <x v="8"/>
    <x v="99"/>
    <x v="133"/>
    <n v="1.6"/>
    <n v="0.1552"/>
  </r>
  <r>
    <x v="8"/>
    <x v="99"/>
    <x v="30"/>
    <n v="30"/>
    <n v="2.1"/>
  </r>
  <r>
    <x v="8"/>
    <x v="99"/>
    <x v="96"/>
    <n v="40"/>
    <n v="0"/>
  </r>
  <r>
    <x v="8"/>
    <x v="99"/>
    <x v="135"/>
    <n v="0.2"/>
    <n v="9.6000000000000002E-2"/>
  </r>
  <r>
    <x v="8"/>
    <x v="99"/>
    <x v="63"/>
    <n v="80"/>
    <n v="3.84"/>
  </r>
  <r>
    <x v="8"/>
    <x v="99"/>
    <x v="108"/>
    <n v="5"/>
    <n v="0.4"/>
  </r>
  <r>
    <x v="8"/>
    <x v="99"/>
    <x v="97"/>
    <n v="3"/>
    <n v="8.4000000000000005E-2"/>
  </r>
  <r>
    <x v="8"/>
    <x v="99"/>
    <x v="158"/>
    <n v="7"/>
    <n v="0.112"/>
  </r>
  <r>
    <x v="8"/>
    <x v="99"/>
    <x v="159"/>
    <n v="6.25"/>
    <n v="0.73125000000000007"/>
  </r>
  <r>
    <x v="0"/>
    <x v="0"/>
    <x v="0"/>
    <m/>
    <m/>
  </r>
  <r>
    <x v="8"/>
    <x v="100"/>
    <x v="140"/>
    <n v="210"/>
    <n v="16.8"/>
  </r>
  <r>
    <x v="8"/>
    <x v="100"/>
    <x v="77"/>
    <n v="20"/>
    <n v="0.38"/>
  </r>
  <r>
    <x v="8"/>
    <x v="100"/>
    <x v="154"/>
    <n v="3.85"/>
    <n v="0.30415000000000003"/>
  </r>
  <r>
    <x v="8"/>
    <x v="100"/>
    <x v="155"/>
    <n v="2.7"/>
    <n v="0.94499999999999995"/>
  </r>
  <r>
    <x v="8"/>
    <x v="100"/>
    <x v="156"/>
    <n v="3.2"/>
    <n v="0.96"/>
  </r>
  <r>
    <x v="8"/>
    <x v="100"/>
    <x v="157"/>
    <n v="3.7"/>
    <n v="0"/>
  </r>
  <r>
    <x v="8"/>
    <x v="100"/>
    <x v="138"/>
    <n v="2.4500000000000002"/>
    <n v="0"/>
  </r>
  <r>
    <x v="8"/>
    <x v="100"/>
    <x v="93"/>
    <n v="2.6"/>
    <n v="1.7680000000000002"/>
  </r>
  <r>
    <x v="8"/>
    <x v="100"/>
    <x v="133"/>
    <n v="1.6"/>
    <n v="0.1552"/>
  </r>
  <r>
    <x v="8"/>
    <x v="100"/>
    <x v="30"/>
    <n v="30"/>
    <n v="2.1"/>
  </r>
  <r>
    <x v="8"/>
    <x v="100"/>
    <x v="96"/>
    <n v="40"/>
    <n v="0"/>
  </r>
  <r>
    <x v="8"/>
    <x v="100"/>
    <x v="135"/>
    <n v="0.2"/>
    <n v="9.6000000000000002E-2"/>
  </r>
  <r>
    <x v="8"/>
    <x v="100"/>
    <x v="63"/>
    <n v="80"/>
    <n v="3.84"/>
  </r>
  <r>
    <x v="8"/>
    <x v="100"/>
    <x v="108"/>
    <n v="5"/>
    <n v="0.4"/>
  </r>
  <r>
    <x v="8"/>
    <x v="100"/>
    <x v="97"/>
    <n v="3"/>
    <n v="8.4000000000000005E-2"/>
  </r>
  <r>
    <x v="8"/>
    <x v="100"/>
    <x v="158"/>
    <n v="7"/>
    <n v="0.112"/>
  </r>
  <r>
    <x v="8"/>
    <x v="100"/>
    <x v="159"/>
    <n v="6.25"/>
    <n v="0.73125000000000007"/>
  </r>
  <r>
    <x v="8"/>
    <x v="100"/>
    <x v="143"/>
    <n v="2"/>
    <n v="10"/>
  </r>
  <r>
    <x v="0"/>
    <x v="0"/>
    <x v="0"/>
    <m/>
    <m/>
  </r>
  <r>
    <x v="8"/>
    <x v="101"/>
    <x v="160"/>
    <n v="144"/>
    <n v="16.269327360000002"/>
  </r>
  <r>
    <x v="8"/>
    <x v="101"/>
    <x v="161"/>
    <n v="175"/>
    <n v="12.043752"/>
  </r>
  <r>
    <x v="8"/>
    <x v="101"/>
    <x v="162"/>
    <n v="120"/>
    <n v="9.5634719999999991"/>
  </r>
  <r>
    <x v="8"/>
    <x v="101"/>
    <x v="119"/>
    <n v="1"/>
    <n v="0.67"/>
  </r>
  <r>
    <x v="8"/>
    <x v="101"/>
    <x v="122"/>
    <n v="1"/>
    <n v="0.03"/>
  </r>
  <r>
    <x v="8"/>
    <x v="101"/>
    <x v="136"/>
    <n v="5"/>
    <n v="0.65"/>
  </r>
  <r>
    <x v="8"/>
    <x v="101"/>
    <x v="163"/>
    <n v="175"/>
    <n v="33.442890250000005"/>
  </r>
  <r>
    <x v="0"/>
    <x v="0"/>
    <x v="0"/>
    <m/>
    <m/>
  </r>
  <r>
    <x v="0"/>
    <x v="0"/>
    <x v="0"/>
    <m/>
    <m/>
  </r>
  <r>
    <x v="0"/>
    <x v="0"/>
    <x v="0"/>
    <m/>
    <m/>
  </r>
  <r>
    <x v="9"/>
    <x v="102"/>
    <x v="164"/>
    <n v="40"/>
    <n v="40"/>
  </r>
  <r>
    <x v="9"/>
    <x v="102"/>
    <x v="136"/>
    <n v="35"/>
    <n v="4.55"/>
  </r>
  <r>
    <x v="9"/>
    <x v="102"/>
    <x v="154"/>
    <n v="3"/>
    <n v="0.23699999999999999"/>
  </r>
  <r>
    <x v="9"/>
    <x v="102"/>
    <x v="165"/>
    <n v="1"/>
    <n v="6.5000000000000002E-2"/>
  </r>
  <r>
    <x v="9"/>
    <x v="102"/>
    <x v="166"/>
    <n v="250"/>
    <n v="9"/>
  </r>
  <r>
    <x v="9"/>
    <x v="2"/>
    <x v="20"/>
    <m/>
    <m/>
  </r>
  <r>
    <x v="9"/>
    <x v="103"/>
    <x v="164"/>
    <n v="40"/>
    <n v="40"/>
  </r>
  <r>
    <x v="9"/>
    <x v="103"/>
    <x v="136"/>
    <n v="35"/>
    <n v="4.55"/>
  </r>
  <r>
    <x v="9"/>
    <x v="103"/>
    <x v="154"/>
    <n v="3"/>
    <n v="0.23699999999999999"/>
  </r>
  <r>
    <x v="9"/>
    <x v="103"/>
    <x v="165"/>
    <n v="1"/>
    <n v="6.5000000000000002E-2"/>
  </r>
  <r>
    <x v="9"/>
    <x v="103"/>
    <x v="166"/>
    <n v="250"/>
    <n v="9"/>
  </r>
  <r>
    <x v="9"/>
    <x v="2"/>
    <x v="20"/>
    <m/>
    <m/>
  </r>
  <r>
    <x v="9"/>
    <x v="104"/>
    <x v="164"/>
    <n v="40"/>
    <n v="40"/>
  </r>
  <r>
    <x v="9"/>
    <x v="104"/>
    <x v="136"/>
    <n v="35"/>
    <n v="4.55"/>
  </r>
  <r>
    <x v="9"/>
    <x v="104"/>
    <x v="154"/>
    <n v="3"/>
    <n v="0.23699999999999999"/>
  </r>
  <r>
    <x v="9"/>
    <x v="104"/>
    <x v="165"/>
    <n v="1"/>
    <n v="6.5000000000000002E-2"/>
  </r>
  <r>
    <x v="9"/>
    <x v="104"/>
    <x v="166"/>
    <n v="250"/>
    <n v="9"/>
  </r>
  <r>
    <x v="9"/>
    <x v="2"/>
    <x v="20"/>
    <m/>
    <m/>
  </r>
  <r>
    <x v="9"/>
    <x v="105"/>
    <x v="164"/>
    <n v="40"/>
    <n v="40"/>
  </r>
  <r>
    <x v="9"/>
    <x v="105"/>
    <x v="136"/>
    <n v="35"/>
    <n v="4.55"/>
  </r>
  <r>
    <x v="9"/>
    <x v="105"/>
    <x v="154"/>
    <n v="3"/>
    <n v="0.23699999999999999"/>
  </r>
  <r>
    <x v="9"/>
    <x v="105"/>
    <x v="165"/>
    <n v="1"/>
    <n v="6.5000000000000002E-2"/>
  </r>
  <r>
    <x v="9"/>
    <x v="105"/>
    <x v="166"/>
    <n v="250"/>
    <n v="9"/>
  </r>
  <r>
    <x v="9"/>
    <x v="2"/>
    <x v="20"/>
    <m/>
    <m/>
  </r>
  <r>
    <x v="9"/>
    <x v="106"/>
    <x v="164"/>
    <n v="40"/>
    <n v="40"/>
  </r>
  <r>
    <x v="9"/>
    <x v="106"/>
    <x v="136"/>
    <n v="35"/>
    <n v="4.55"/>
  </r>
  <r>
    <x v="9"/>
    <x v="106"/>
    <x v="154"/>
    <n v="3"/>
    <n v="0.23699999999999999"/>
  </r>
  <r>
    <x v="9"/>
    <x v="106"/>
    <x v="165"/>
    <n v="1"/>
    <n v="6.5000000000000002E-2"/>
  </r>
  <r>
    <x v="9"/>
    <x v="106"/>
    <x v="166"/>
    <n v="250"/>
    <n v="9"/>
  </r>
  <r>
    <x v="9"/>
    <x v="2"/>
    <x v="20"/>
    <m/>
    <m/>
  </r>
  <r>
    <x v="9"/>
    <x v="107"/>
    <x v="164"/>
    <n v="40"/>
    <n v="40"/>
  </r>
  <r>
    <x v="9"/>
    <x v="107"/>
    <x v="136"/>
    <n v="35"/>
    <n v="4.55"/>
  </r>
  <r>
    <x v="9"/>
    <x v="107"/>
    <x v="154"/>
    <n v="3"/>
    <n v="0.23699999999999999"/>
  </r>
  <r>
    <x v="9"/>
    <x v="107"/>
    <x v="165"/>
    <n v="1"/>
    <n v="6.5000000000000002E-2"/>
  </r>
  <r>
    <x v="9"/>
    <x v="107"/>
    <x v="166"/>
    <n v="250"/>
    <n v="9"/>
  </r>
  <r>
    <x v="9"/>
    <x v="2"/>
    <x v="20"/>
    <m/>
    <m/>
  </r>
  <r>
    <x v="9"/>
    <x v="2"/>
    <x v="20"/>
    <m/>
    <m/>
  </r>
  <r>
    <x v="9"/>
    <x v="108"/>
    <x v="167"/>
    <n v="1"/>
    <n v="40"/>
  </r>
  <r>
    <x v="9"/>
    <x v="108"/>
    <x v="164"/>
    <n v="40"/>
    <n v="40"/>
  </r>
  <r>
    <x v="9"/>
    <x v="108"/>
    <x v="136"/>
    <n v="35"/>
    <n v="4.55"/>
  </r>
  <r>
    <x v="9"/>
    <x v="108"/>
    <x v="154"/>
    <n v="3"/>
    <n v="0.23699999999999999"/>
  </r>
  <r>
    <x v="9"/>
    <x v="108"/>
    <x v="165"/>
    <n v="1"/>
    <n v="6.5000000000000002E-2"/>
  </r>
  <r>
    <x v="9"/>
    <x v="2"/>
    <x v="20"/>
    <m/>
    <m/>
  </r>
  <r>
    <x v="9"/>
    <x v="109"/>
    <x v="136"/>
    <n v="35"/>
    <n v="4.55"/>
  </r>
  <r>
    <x v="9"/>
    <x v="109"/>
    <x v="154"/>
    <n v="3"/>
    <n v="0.23699999999999999"/>
  </r>
  <r>
    <x v="9"/>
    <x v="109"/>
    <x v="165"/>
    <n v="1"/>
    <n v="6.5000000000000002E-2"/>
  </r>
  <r>
    <x v="9"/>
    <x v="109"/>
    <x v="166"/>
    <n v="250"/>
    <n v="9"/>
  </r>
  <r>
    <x v="9"/>
    <x v="2"/>
    <x v="0"/>
    <m/>
    <m/>
  </r>
  <r>
    <x v="9"/>
    <x v="110"/>
    <x v="136"/>
    <n v="35"/>
    <n v="4.55"/>
  </r>
  <r>
    <x v="9"/>
    <x v="110"/>
    <x v="154"/>
    <n v="3"/>
    <n v="0.23699999999999999"/>
  </r>
  <r>
    <x v="9"/>
    <x v="110"/>
    <x v="165"/>
    <n v="1"/>
    <n v="6.5000000000000002E-2"/>
  </r>
  <r>
    <x v="9"/>
    <x v="110"/>
    <x v="168"/>
    <n v="1"/>
    <n v="40"/>
  </r>
  <r>
    <x v="9"/>
    <x v="2"/>
    <x v="0"/>
    <m/>
    <m/>
  </r>
  <r>
    <x v="9"/>
    <x v="111"/>
    <x v="136"/>
    <n v="35"/>
    <n v="4.55"/>
  </r>
  <r>
    <x v="9"/>
    <x v="111"/>
    <x v="17"/>
    <m/>
    <n v="10"/>
  </r>
  <r>
    <x v="9"/>
    <x v="2"/>
    <x v="0"/>
    <m/>
    <m/>
  </r>
  <r>
    <x v="9"/>
    <x v="112"/>
    <x v="169"/>
    <n v="200"/>
    <n v="14.000000000000002"/>
  </r>
  <r>
    <x v="9"/>
    <x v="112"/>
    <x v="170"/>
    <n v="100"/>
    <n v="4"/>
  </r>
  <r>
    <x v="9"/>
    <x v="112"/>
    <x v="171"/>
    <s v="50-100ml"/>
    <n v="0"/>
  </r>
  <r>
    <x v="9"/>
    <x v="2"/>
    <x v="20"/>
    <m/>
    <m/>
  </r>
  <r>
    <x v="9"/>
    <x v="113"/>
    <x v="11"/>
    <n v="0.25"/>
    <n v="0.02"/>
  </r>
  <r>
    <x v="9"/>
    <x v="113"/>
    <x v="13"/>
    <n v="0.9"/>
    <n v="1.4400000000000002"/>
  </r>
  <r>
    <x v="9"/>
    <x v="113"/>
    <x v="22"/>
    <n v="250"/>
    <n v="16.5"/>
  </r>
  <r>
    <x v="9"/>
    <x v="113"/>
    <x v="12"/>
    <n v="2.5000000000000001E-2"/>
    <n v="2.625"/>
  </r>
  <r>
    <x v="9"/>
    <x v="113"/>
    <x v="172"/>
    <n v="10"/>
    <n v="0"/>
  </r>
  <r>
    <x v="9"/>
    <x v="113"/>
    <x v="8"/>
    <n v="10"/>
    <n v="18"/>
  </r>
  <r>
    <x v="9"/>
    <x v="113"/>
    <x v="134"/>
    <n v="12.5"/>
    <n v="0.5"/>
  </r>
  <r>
    <x v="9"/>
    <x v="2"/>
    <x v="0"/>
    <m/>
    <m/>
  </r>
  <r>
    <x v="9"/>
    <x v="2"/>
    <x v="0"/>
    <m/>
    <m/>
  </r>
  <r>
    <x v="10"/>
    <x v="114"/>
    <x v="173"/>
    <n v="125"/>
    <n v="6.7166666666666668"/>
  </r>
  <r>
    <x v="10"/>
    <x v="114"/>
    <x v="174"/>
    <n v="43"/>
    <n v="11.54077"/>
  </r>
  <r>
    <x v="10"/>
    <x v="114"/>
    <x v="82"/>
    <n v="53"/>
    <n v="1.4121623074166967"/>
  </r>
  <r>
    <x v="10"/>
    <x v="114"/>
    <x v="175"/>
    <n v="165"/>
    <n v="7.593055555555555"/>
  </r>
  <r>
    <x v="10"/>
    <x v="114"/>
    <x v="176"/>
    <n v="161"/>
    <n v="5.9096288461538462"/>
  </r>
  <r>
    <x v="0"/>
    <x v="2"/>
    <x v="20"/>
    <m/>
    <m/>
  </r>
  <r>
    <x v="10"/>
    <x v="115"/>
    <x v="176"/>
    <n v="161"/>
    <n v="5.9096288461538462"/>
  </r>
  <r>
    <x v="10"/>
    <x v="115"/>
    <x v="173"/>
    <n v="125"/>
    <n v="6.7166666666666668"/>
  </r>
  <r>
    <x v="10"/>
    <x v="115"/>
    <x v="121"/>
    <n v="4"/>
    <n v="0.14000000000000001"/>
  </r>
  <r>
    <x v="10"/>
    <x v="115"/>
    <x v="36"/>
    <n v="100"/>
    <n v="27"/>
  </r>
  <r>
    <x v="10"/>
    <x v="115"/>
    <x v="122"/>
    <n v="4"/>
    <n v="0.12"/>
  </r>
  <r>
    <x v="10"/>
    <x v="115"/>
    <x v="158"/>
    <n v="40"/>
    <n v="0.64"/>
  </r>
  <r>
    <x v="10"/>
    <x v="115"/>
    <x v="77"/>
    <n v="27"/>
    <n v="0.51300000000000001"/>
  </r>
  <r>
    <x v="10"/>
    <x v="115"/>
    <x v="133"/>
    <n v="6"/>
    <n v="0.58200000000000007"/>
  </r>
  <r>
    <x v="10"/>
    <x v="115"/>
    <x v="93"/>
    <n v="6"/>
    <n v="4.08"/>
  </r>
  <r>
    <x v="10"/>
    <x v="115"/>
    <x v="90"/>
    <n v="3"/>
    <n v="0.79800000000000004"/>
  </r>
  <r>
    <x v="10"/>
    <x v="115"/>
    <x v="177"/>
    <n v="23"/>
    <n v="4.37"/>
  </r>
  <r>
    <x v="10"/>
    <x v="115"/>
    <x v="174"/>
    <n v="43"/>
    <n v="11.54077"/>
  </r>
  <r>
    <x v="10"/>
    <x v="115"/>
    <x v="82"/>
    <n v="53"/>
    <n v="1.4121623074166967"/>
  </r>
  <r>
    <x v="0"/>
    <x v="2"/>
    <x v="20"/>
    <m/>
    <m/>
  </r>
  <r>
    <x v="10"/>
    <x v="116"/>
    <x v="173"/>
    <n v="125"/>
    <n v="6.7166666666666668"/>
  </r>
  <r>
    <x v="10"/>
    <x v="116"/>
    <x v="174"/>
    <n v="43"/>
    <n v="11.54077"/>
  </r>
  <r>
    <x v="10"/>
    <x v="116"/>
    <x v="176"/>
    <n v="161"/>
    <n v="5.9096288461538462"/>
  </r>
  <r>
    <x v="10"/>
    <x v="116"/>
    <x v="82"/>
    <n v="53"/>
    <n v="1.4121623074166967"/>
  </r>
  <r>
    <x v="0"/>
    <x v="2"/>
    <x v="20"/>
    <m/>
    <m/>
  </r>
  <r>
    <x v="10"/>
    <x v="117"/>
    <x v="178"/>
    <n v="2"/>
    <n v="10.992136751979999"/>
  </r>
  <r>
    <x v="10"/>
    <x v="117"/>
    <x v="174"/>
    <n v="43"/>
    <n v="11.54077"/>
  </r>
  <r>
    <x v="10"/>
    <x v="117"/>
    <x v="82"/>
    <n v="53"/>
    <n v="1.4121623074166967"/>
  </r>
  <r>
    <x v="10"/>
    <x v="117"/>
    <x v="176"/>
    <n v="161"/>
    <n v="5.9096288461538462"/>
  </r>
  <r>
    <x v="0"/>
    <x v="2"/>
    <x v="20"/>
    <m/>
    <m/>
  </r>
  <r>
    <x v="10"/>
    <x v="118"/>
    <x v="175"/>
    <n v="165"/>
    <n v="7.593055555555555"/>
  </r>
  <r>
    <x v="10"/>
    <x v="118"/>
    <x v="179"/>
    <n v="102"/>
    <n v="6.1731794870195991"/>
  </r>
  <r>
    <x v="10"/>
    <x v="118"/>
    <x v="173"/>
    <n v="125"/>
    <n v="6.7166666666666668"/>
  </r>
  <r>
    <x v="10"/>
    <x v="118"/>
    <x v="174"/>
    <n v="43"/>
    <n v="11.54077"/>
  </r>
  <r>
    <x v="10"/>
    <x v="118"/>
    <x v="176"/>
    <n v="161"/>
    <n v="5.9096288461538462"/>
  </r>
  <r>
    <x v="10"/>
    <x v="118"/>
    <x v="82"/>
    <n v="53"/>
    <n v="1.4121623074166967"/>
  </r>
  <r>
    <x v="0"/>
    <x v="2"/>
    <x v="20"/>
    <m/>
    <m/>
  </r>
  <r>
    <x v="10"/>
    <x v="119"/>
    <x v="180"/>
    <n v="2"/>
    <n v="24.649777778189598"/>
  </r>
  <r>
    <x v="10"/>
    <x v="119"/>
    <x v="174"/>
    <n v="43"/>
    <n v="11.54077"/>
  </r>
  <r>
    <x v="10"/>
    <x v="119"/>
    <x v="176"/>
    <n v="161"/>
    <n v="5.9096288461538462"/>
  </r>
  <r>
    <x v="10"/>
    <x v="119"/>
    <x v="82"/>
    <n v="53"/>
    <n v="1.4121623074166967"/>
  </r>
  <r>
    <x v="0"/>
    <x v="2"/>
    <x v="0"/>
    <m/>
    <m/>
  </r>
  <r>
    <x v="10"/>
    <x v="120"/>
    <x v="180"/>
    <n v="1"/>
    <n v="12.324888889094799"/>
  </r>
  <r>
    <x v="10"/>
    <x v="120"/>
    <x v="174"/>
    <n v="43"/>
    <n v="11.54077"/>
  </r>
  <r>
    <x v="10"/>
    <x v="120"/>
    <x v="176"/>
    <n v="161"/>
    <n v="5.9096288461538462"/>
  </r>
  <r>
    <x v="10"/>
    <x v="120"/>
    <x v="82"/>
    <n v="53"/>
    <n v="1.4121623074166967"/>
  </r>
  <r>
    <x v="10"/>
    <x v="120"/>
    <x v="178"/>
    <n v="1"/>
    <n v="5.4960683759899993"/>
  </r>
  <r>
    <x v="0"/>
    <x v="2"/>
    <x v="0"/>
    <m/>
    <m/>
  </r>
  <r>
    <x v="10"/>
    <x v="121"/>
    <x v="173"/>
    <n v="125"/>
    <n v="6.7166666666666668"/>
  </r>
  <r>
    <x v="10"/>
    <x v="121"/>
    <x v="174"/>
    <n v="43"/>
    <n v="11.54077"/>
  </r>
  <r>
    <x v="10"/>
    <x v="121"/>
    <x v="82"/>
    <n v="90"/>
    <n v="2.3980114654245792"/>
  </r>
  <r>
    <x v="10"/>
    <x v="121"/>
    <x v="174"/>
    <n v="52"/>
    <n v="13.956280000000001"/>
  </r>
  <r>
    <x v="10"/>
    <x v="121"/>
    <x v="82"/>
    <n v="36"/>
    <n v="0.95920458616983173"/>
  </r>
  <r>
    <x v="10"/>
    <x v="121"/>
    <x v="176"/>
    <n v="161"/>
    <n v="5.9096288461538462"/>
  </r>
  <r>
    <x v="10"/>
    <x v="121"/>
    <x v="175"/>
    <n v="165"/>
    <n v="7.593055555555555"/>
  </r>
  <r>
    <x v="0"/>
    <x v="2"/>
    <x v="20"/>
    <m/>
    <m/>
  </r>
  <r>
    <x v="10"/>
    <x v="122"/>
    <x v="36"/>
    <n v="14"/>
    <n v="3.7800000000000002"/>
  </r>
  <r>
    <x v="10"/>
    <x v="122"/>
    <x v="173"/>
    <n v="136"/>
    <n v="7.3077333333333332"/>
  </r>
  <r>
    <x v="10"/>
    <x v="122"/>
    <x v="105"/>
    <n v="6"/>
    <n v="0.54"/>
  </r>
  <r>
    <x v="10"/>
    <x v="122"/>
    <x v="59"/>
    <n v="6"/>
    <n v="0.21000000000000002"/>
  </r>
  <r>
    <x v="10"/>
    <x v="122"/>
    <x v="176"/>
    <n v="161"/>
    <n v="5.9096288461538462"/>
  </r>
  <r>
    <x v="10"/>
    <x v="122"/>
    <x v="98"/>
    <n v="48"/>
    <n v="0.76800000000000002"/>
  </r>
  <r>
    <x v="10"/>
    <x v="122"/>
    <x v="174"/>
    <n v="43"/>
    <n v="11.54077"/>
  </r>
  <r>
    <x v="10"/>
    <x v="122"/>
    <x v="82"/>
    <n v="53"/>
    <n v="1.4121623074166967"/>
  </r>
  <r>
    <x v="0"/>
    <x v="0"/>
    <x v="0"/>
    <m/>
    <m/>
  </r>
  <r>
    <x v="10"/>
    <x v="123"/>
    <x v="77"/>
    <n v="80"/>
    <n v="1.52"/>
  </r>
  <r>
    <x v="10"/>
    <x v="123"/>
    <x v="139"/>
    <n v="4"/>
    <n v="0.58399999999999996"/>
  </r>
  <r>
    <x v="10"/>
    <x v="123"/>
    <x v="58"/>
    <n v="3"/>
    <n v="8.4000000000000005E-2"/>
  </r>
  <r>
    <x v="10"/>
    <x v="123"/>
    <x v="133"/>
    <n v="3"/>
    <n v="0.29100000000000004"/>
  </r>
  <r>
    <x v="10"/>
    <x v="123"/>
    <x v="93"/>
    <n v="3"/>
    <n v="2.04"/>
  </r>
  <r>
    <x v="10"/>
    <x v="123"/>
    <x v="158"/>
    <n v="40"/>
    <n v="0.64"/>
  </r>
  <r>
    <x v="10"/>
    <x v="123"/>
    <x v="173"/>
    <n v="160"/>
    <n v="8.5973333333333333"/>
  </r>
  <r>
    <x v="10"/>
    <x v="123"/>
    <x v="174"/>
    <n v="43"/>
    <n v="11.54077"/>
  </r>
  <r>
    <x v="10"/>
    <x v="123"/>
    <x v="82"/>
    <n v="53"/>
    <n v="1.4121623074166967"/>
  </r>
  <r>
    <x v="10"/>
    <x v="123"/>
    <x v="176"/>
    <n v="161"/>
    <n v="5.9096288461538462"/>
  </r>
  <r>
    <x v="0"/>
    <x v="2"/>
    <x v="0"/>
    <m/>
    <m/>
  </r>
  <r>
    <x v="10"/>
    <x v="124"/>
    <x v="181"/>
    <n v="1"/>
    <n v="5.5636666666666663"/>
  </r>
  <r>
    <x v="10"/>
    <x v="124"/>
    <x v="182"/>
    <n v="1"/>
    <n v="6.0542740740740744"/>
  </r>
  <r>
    <x v="10"/>
    <x v="124"/>
    <x v="178"/>
    <n v="1"/>
    <n v="5.4960683759899993"/>
  </r>
  <r>
    <x v="10"/>
    <x v="124"/>
    <x v="180"/>
    <n v="1"/>
    <n v="12.324888889094799"/>
  </r>
  <r>
    <x v="10"/>
    <x v="124"/>
    <x v="176"/>
    <n v="175"/>
    <n v="6.4235096153846154"/>
  </r>
  <r>
    <x v="10"/>
    <x v="124"/>
    <x v="174"/>
    <n v="53"/>
    <n v="14.224670000000001"/>
  </r>
  <r>
    <x v="10"/>
    <x v="124"/>
    <x v="82"/>
    <n v="53"/>
    <n v="1.4121623074166967"/>
  </r>
  <r>
    <x v="11"/>
    <x v="125"/>
    <x v="40"/>
    <n v="500"/>
    <n v="370"/>
  </r>
  <r>
    <x v="11"/>
    <x v="125"/>
    <x v="46"/>
    <n v="150"/>
    <n v="10.500000000000002"/>
  </r>
  <r>
    <x v="11"/>
    <x v="125"/>
    <x v="70"/>
    <n v="125"/>
    <n v="2.25"/>
  </r>
  <r>
    <x v="11"/>
    <x v="125"/>
    <x v="172"/>
    <n v="50"/>
    <n v="0"/>
  </r>
  <r>
    <x v="11"/>
    <x v="125"/>
    <x v="8"/>
    <n v="50"/>
    <n v="90"/>
  </r>
  <r>
    <x v="11"/>
    <x v="125"/>
    <x v="183"/>
    <n v="100"/>
    <n v="38"/>
  </r>
  <r>
    <x v="11"/>
    <x v="125"/>
    <x v="133"/>
    <n v="3"/>
    <n v="0.29100000000000004"/>
  </r>
  <r>
    <x v="11"/>
    <x v="125"/>
    <x v="119"/>
    <n v="6"/>
    <n v="4.0200000000000005"/>
  </r>
  <r>
    <x v="11"/>
    <x v="125"/>
    <x v="58"/>
    <n v="15"/>
    <n v="0.42"/>
  </r>
  <r>
    <x v="11"/>
    <x v="125"/>
    <x v="154"/>
    <n v="10"/>
    <n v="0.79"/>
  </r>
  <r>
    <x v="11"/>
    <x v="125"/>
    <x v="138"/>
    <n v="10"/>
    <n v="0"/>
  </r>
  <r>
    <x v="11"/>
    <x v="125"/>
    <x v="16"/>
    <n v="100"/>
    <n v="53.333000000000006"/>
  </r>
  <r>
    <x v="0"/>
    <x v="2"/>
    <x v="20"/>
    <m/>
    <m/>
  </r>
  <r>
    <x v="11"/>
    <x v="126"/>
    <x v="40"/>
    <n v="769.23076920000005"/>
    <n v="569.23076920800008"/>
  </r>
  <r>
    <x v="11"/>
    <x v="126"/>
    <x v="184"/>
    <n v="230.7692308"/>
    <n v="96.923076936000001"/>
  </r>
  <r>
    <x v="11"/>
    <x v="126"/>
    <x v="16"/>
    <n v="153.8461538"/>
    <n v="82.050769206154015"/>
  </r>
  <r>
    <x v="0"/>
    <x v="2"/>
    <x v="20"/>
    <m/>
    <m/>
  </r>
  <r>
    <x v="11"/>
    <x v="127"/>
    <x v="172"/>
    <n v="909.09090909999998"/>
    <n v="0"/>
  </r>
  <r>
    <x v="11"/>
    <x v="127"/>
    <x v="58"/>
    <n v="27.272727270000001"/>
    <n v="0.76363636356000009"/>
  </r>
  <r>
    <x v="11"/>
    <x v="127"/>
    <x v="16"/>
    <n v="181.81818179999999"/>
    <n v="96.969090899394004"/>
  </r>
  <r>
    <x v="0"/>
    <x v="2"/>
    <x v="20"/>
    <m/>
    <m/>
  </r>
  <r>
    <x v="11"/>
    <x v="128"/>
    <x v="172"/>
    <n v="909.09090909999998"/>
    <n v="0"/>
  </r>
  <r>
    <x v="11"/>
    <x v="128"/>
    <x v="184"/>
    <n v="27.272727270000001"/>
    <n v="11.4545454534"/>
  </r>
  <r>
    <x v="11"/>
    <x v="128"/>
    <x v="16"/>
    <n v="181.81818179999999"/>
    <n v="96.969090899394004"/>
  </r>
  <r>
    <x v="0"/>
    <x v="2"/>
    <x v="20"/>
    <m/>
    <m/>
  </r>
  <r>
    <x v="11"/>
    <x v="129"/>
    <x v="40"/>
    <n v="909.09090909999998"/>
    <n v="672.72727273399994"/>
  </r>
  <r>
    <x v="11"/>
    <x v="129"/>
    <x v="58"/>
    <n v="27.272727270000001"/>
    <n v="0.76363636356000009"/>
  </r>
  <r>
    <x v="11"/>
    <x v="129"/>
    <x v="16"/>
    <n v="181.81818179999999"/>
    <n v="96.969090899394004"/>
  </r>
  <r>
    <x v="0"/>
    <x v="2"/>
    <x v="20"/>
    <m/>
    <m/>
  </r>
  <r>
    <x v="11"/>
    <x v="130"/>
    <x v="185"/>
    <n v="200"/>
    <n v="20"/>
  </r>
  <r>
    <x v="11"/>
    <x v="130"/>
    <x v="46"/>
    <n v="200"/>
    <n v="14.000000000000002"/>
  </r>
  <r>
    <x v="11"/>
    <x v="130"/>
    <x v="32"/>
    <n v="200"/>
    <n v="142"/>
  </r>
  <r>
    <x v="11"/>
    <x v="130"/>
    <x v="29"/>
    <n v="200"/>
    <n v="102"/>
  </r>
  <r>
    <x v="11"/>
    <x v="130"/>
    <x v="94"/>
    <n v="1"/>
    <n v="5"/>
  </r>
  <r>
    <x v="11"/>
    <x v="130"/>
    <x v="186"/>
    <n v="0.4"/>
    <n v="0.32000000000000006"/>
  </r>
  <r>
    <x v="11"/>
    <x v="130"/>
    <x v="133"/>
    <n v="20"/>
    <n v="1.94"/>
  </r>
  <r>
    <x v="11"/>
    <x v="130"/>
    <x v="184"/>
    <n v="40"/>
    <n v="16.8"/>
  </r>
  <r>
    <x v="11"/>
    <x v="130"/>
    <x v="183"/>
    <n v="10"/>
    <n v="3.8"/>
  </r>
  <r>
    <x v="11"/>
    <x v="130"/>
    <x v="58"/>
    <n v="4"/>
    <n v="0.112"/>
  </r>
  <r>
    <x v="11"/>
    <x v="130"/>
    <x v="154"/>
    <n v="4"/>
    <n v="0.316"/>
  </r>
  <r>
    <x v="11"/>
    <x v="130"/>
    <x v="16"/>
    <n v="160"/>
    <n v="85.332800000000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8DDBA8-1C0B-4180-9C95-54B207B7184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C16" firstHeaderRow="0" firstDataRow="1" firstDataCol="1" rowPageCount="2" colPageCount="1"/>
  <pivotFields count="5">
    <pivotField axis="axisPage" multipleItemSelectionAllowed="1" showAll="0">
      <items count="14">
        <item h="1" x="6"/>
        <item x="3"/>
        <item h="1" m="1" x="12"/>
        <item h="1" x="8"/>
        <item h="1" x="1"/>
        <item h="1" x="7"/>
        <item h="1" x="10"/>
        <item h="1" x="4"/>
        <item h="1" x="2"/>
        <item h="1" x="0"/>
        <item h="1" x="11"/>
        <item h="1" x="5"/>
        <item h="1" x="9"/>
        <item t="default"/>
      </items>
    </pivotField>
    <pivotField axis="axisPage" multipleItemSelectionAllowed="1" showAll="0">
      <items count="139">
        <item h="1" x="53"/>
        <item h="1" x="97"/>
        <item h="1" x="95"/>
        <item h="1" x="39"/>
        <item h="1" x="41"/>
        <item h="1" x="40"/>
        <item h="1" x="72"/>
        <item h="1" x="90"/>
        <item h="1" x="113"/>
        <item h="1" x="18"/>
        <item h="1" x="28"/>
        <item h="1" x="23"/>
        <item h="1" x="105"/>
        <item h="1" x="25"/>
        <item h="1" x="76"/>
        <item h="1" x="75"/>
        <item h="1" x="83"/>
        <item h="1" x="47"/>
        <item h="1" x="27"/>
        <item h="1" x="58"/>
        <item h="1" x="63"/>
        <item h="1" x="64"/>
        <item h="1" x="59"/>
        <item h="1" x="11"/>
        <item h="1" m="1" x="131"/>
        <item h="1" x="24"/>
        <item h="1" x="46"/>
        <item h="1" x="50"/>
        <item h="1" x="52"/>
        <item h="1" x="12"/>
        <item h="1" x="45"/>
        <item h="1" x="36"/>
        <item h="1" x="43"/>
        <item h="1" x="77"/>
        <item h="1" x="86"/>
        <item h="1" x="31"/>
        <item h="1" x="62"/>
        <item h="1" x="55"/>
        <item h="1" x="71"/>
        <item h="1" x="20"/>
        <item h="1" x="42"/>
        <item h="1" x="106"/>
        <item h="1" x="7"/>
        <item h="1" x="19"/>
        <item h="1" x="16"/>
        <item h="1" x="56"/>
        <item h="1" x="60"/>
        <item h="1" x="85"/>
        <item h="1" x="32"/>
        <item h="1" x="33"/>
        <item h="1" x="51"/>
        <item h="1" x="81"/>
        <item h="1" x="13"/>
        <item h="1" x="8"/>
        <item h="1" m="1" x="132"/>
        <item h="1" x="30"/>
        <item h="1" x="26"/>
        <item h="1" m="1" x="133"/>
        <item h="1" x="67"/>
        <item h="1" x="107"/>
        <item h="1" x="21"/>
        <item h="1" x="96"/>
        <item h="1" x="94"/>
        <item h="1" x="65"/>
        <item h="1" m="1" x="137"/>
        <item h="1" x="92"/>
        <item h="1" x="29"/>
        <item h="1" x="15"/>
        <item h="1" x="73"/>
        <item h="1" x="112"/>
        <item h="1" x="84"/>
        <item h="1" x="66"/>
        <item h="1" x="99"/>
        <item h="1" x="93"/>
        <item h="1" x="69"/>
        <item h="1" x="78"/>
        <item h="1" x="80"/>
        <item h="1" x="91"/>
        <item h="1" x="98"/>
        <item h="1" x="49"/>
        <item h="1" x="37"/>
        <item x="38"/>
        <item h="1" x="14"/>
        <item h="1" x="104"/>
        <item h="1" x="9"/>
        <item h="1" x="10"/>
        <item h="1" x="108"/>
        <item h="1" x="70"/>
        <item h="1" x="34"/>
        <item h="1" m="1" x="134"/>
        <item h="1" x="44"/>
        <item h="1" x="35"/>
        <item h="1" x="17"/>
        <item h="1" x="68"/>
        <item h="1" x="48"/>
        <item h="1" x="79"/>
        <item h="1" x="6"/>
        <item h="1" x="57"/>
        <item h="1" x="22"/>
        <item h="1" x="82"/>
        <item h="1" x="100"/>
        <item h="1" x="61"/>
        <item h="1" x="74"/>
        <item h="1" x="54"/>
        <item h="1" x="102"/>
        <item h="1" x="103"/>
        <item h="1" x="0"/>
        <item h="1" x="114"/>
        <item h="1" x="115"/>
        <item h="1" x="116"/>
        <item h="1" x="117"/>
        <item h="1" x="119"/>
        <item h="1" x="118"/>
        <item h="1" x="121"/>
        <item h="1" x="122"/>
        <item h="1" x="123"/>
        <item h="1" x="124"/>
        <item h="1" x="125"/>
        <item h="1" x="126"/>
        <item h="1" x="127"/>
        <item h="1" x="128"/>
        <item h="1" x="129"/>
        <item h="1" x="130"/>
        <item h="1" x="109"/>
        <item h="1" x="110"/>
        <item h="1" x="111"/>
        <item h="1" x="120"/>
        <item h="1" m="1" x="135"/>
        <item h="1" m="1" x="136"/>
        <item h="1" x="87"/>
        <item h="1" x="88"/>
        <item h="1" x="89"/>
        <item h="1" x="101"/>
        <item h="1" x="2"/>
        <item h="1" x="1"/>
        <item h="1" x="3"/>
        <item h="1" x="4"/>
        <item h="1" x="5"/>
        <item t="default"/>
      </items>
    </pivotField>
    <pivotField axis="axisRow" showAll="0">
      <items count="210">
        <item x="65"/>
        <item x="85"/>
        <item x="33"/>
        <item x="100"/>
        <item x="175"/>
        <item x="126"/>
        <item x="44"/>
        <item x="123"/>
        <item x="106"/>
        <item x="7"/>
        <item x="18"/>
        <item x="35"/>
        <item x="38"/>
        <item x="105"/>
        <item x="30"/>
        <item x="46"/>
        <item x="55"/>
        <item x="79"/>
        <item x="154"/>
        <item x="128"/>
        <item x="98"/>
        <item x="59"/>
        <item x="140"/>
        <item x="119"/>
        <item x="153"/>
        <item x="87"/>
        <item x="76"/>
        <item x="5"/>
        <item x="132"/>
        <item x="112"/>
        <item x="19"/>
        <item x="31"/>
        <item x="27"/>
        <item x="137"/>
        <item x="37"/>
        <item x="174"/>
        <item x="28"/>
        <item x="167"/>
        <item x="42"/>
        <item x="113"/>
        <item x="129"/>
        <item x="68"/>
        <item x="169"/>
        <item x="63"/>
        <item x="144"/>
        <item x="133"/>
        <item x="16"/>
        <item x="156"/>
        <item x="139"/>
        <item x="173"/>
        <item m="1" x="207"/>
        <item x="13"/>
        <item x="45"/>
        <item x="4"/>
        <item x="118"/>
        <item x="138"/>
        <item x="91"/>
        <item x="125"/>
        <item x="120"/>
        <item x="52"/>
        <item x="69"/>
        <item x="71"/>
        <item x="97"/>
        <item x="101"/>
        <item x="121"/>
        <item x="62"/>
        <item x="53"/>
        <item x="122"/>
        <item x="90"/>
        <item x="94"/>
        <item x="115"/>
        <item x="171"/>
        <item x="178"/>
        <item m="1" x="189"/>
        <item x="21"/>
        <item x="50"/>
        <item x="51"/>
        <item x="56"/>
        <item x="157"/>
        <item m="1" x="196"/>
        <item x="84"/>
        <item x="43"/>
        <item x="29"/>
        <item x="40"/>
        <item x="135"/>
        <item x="12"/>
        <item x="11"/>
        <item x="24"/>
        <item x="39"/>
        <item x="93"/>
        <item x="80"/>
        <item m="1" x="208"/>
        <item x="2"/>
        <item x="148"/>
        <item x="155"/>
        <item x="136"/>
        <item x="32"/>
        <item x="15"/>
        <item x="124"/>
        <item x="3"/>
        <item m="1" x="194"/>
        <item x="141"/>
        <item x="131"/>
        <item x="61"/>
        <item x="22"/>
        <item x="165"/>
        <item x="48"/>
        <item x="147"/>
        <item x="134"/>
        <item x="142"/>
        <item x="72"/>
        <item x="95"/>
        <item x="77"/>
        <item x="47"/>
        <item x="14"/>
        <item x="36"/>
        <item m="1" x="191"/>
        <item x="151"/>
        <item x="64"/>
        <item x="108"/>
        <item x="78"/>
        <item x="8"/>
        <item x="60"/>
        <item x="70"/>
        <item m="1" x="197"/>
        <item x="127"/>
        <item x="49"/>
        <item x="86"/>
        <item x="41"/>
        <item x="150"/>
        <item m="1" x="205"/>
        <item x="109"/>
        <item x="89"/>
        <item x="102"/>
        <item x="82"/>
        <item x="54"/>
        <item x="177"/>
        <item x="145"/>
        <item x="107"/>
        <item x="143"/>
        <item m="1" x="193"/>
        <item x="58"/>
        <item x="176"/>
        <item x="81"/>
        <item x="159"/>
        <item x="26"/>
        <item x="166"/>
        <item x="103"/>
        <item x="99"/>
        <item x="117"/>
        <item x="170"/>
        <item x="34"/>
        <item x="92"/>
        <item x="164"/>
        <item m="1" x="204"/>
        <item m="1" x="187"/>
        <item x="158"/>
        <item x="88"/>
        <item x="111"/>
        <item m="1" x="198"/>
        <item x="17"/>
        <item x="130"/>
        <item x="116"/>
        <item x="104"/>
        <item x="110"/>
        <item m="1" x="206"/>
        <item x="57"/>
        <item x="0"/>
        <item x="172"/>
        <item x="184"/>
        <item x="185"/>
        <item x="186"/>
        <item x="183"/>
        <item x="20"/>
        <item m="1" x="200"/>
        <item x="179"/>
        <item x="75"/>
        <item x="168"/>
        <item x="180"/>
        <item x="1"/>
        <item x="6"/>
        <item x="9"/>
        <item x="10"/>
        <item m="1" x="195"/>
        <item x="146"/>
        <item x="149"/>
        <item x="152"/>
        <item x="160"/>
        <item x="161"/>
        <item x="162"/>
        <item x="163"/>
        <item x="181"/>
        <item m="1" x="201"/>
        <item x="23"/>
        <item x="25"/>
        <item x="83"/>
        <item x="182"/>
        <item m="1" x="188"/>
        <item x="66"/>
        <item m="1" x="199"/>
        <item m="1" x="192"/>
        <item m="1" x="202"/>
        <item x="67"/>
        <item x="74"/>
        <item x="96"/>
        <item m="1" x="203"/>
        <item m="1" x="190"/>
        <item x="114"/>
        <item x="73"/>
        <item t="default"/>
      </items>
    </pivotField>
    <pivotField dataField="1" showAll="0"/>
    <pivotField dataField="1" showAll="0"/>
  </pivotFields>
  <rowFields count="1">
    <field x="2"/>
  </rowFields>
  <rowItems count="12">
    <i>
      <x/>
    </i>
    <i>
      <x v="21"/>
    </i>
    <i>
      <x v="43"/>
    </i>
    <i>
      <x v="65"/>
    </i>
    <i>
      <x v="77"/>
    </i>
    <i>
      <x v="103"/>
    </i>
    <i>
      <x v="118"/>
    </i>
    <i>
      <x v="122"/>
    </i>
    <i>
      <x v="141"/>
    </i>
    <i>
      <x v="166"/>
    </i>
    <i>
      <x v="198"/>
    </i>
    <i t="grand">
      <x/>
    </i>
  </rowItems>
  <colFields count="1">
    <field x="-2"/>
  </colFields>
  <colItems count="2">
    <i>
      <x/>
    </i>
    <i i="1">
      <x v="1"/>
    </i>
  </colItems>
  <pageFields count="2">
    <pageField fld="0" hier="-1"/>
    <pageField fld="1" hier="-1"/>
  </pageFields>
  <dataFields count="2">
    <dataField name="Sum of QTY" fld="3" baseField="2" baseItem="0"/>
    <dataField name="Sum of Cost" fld="4" baseField="0" baseItem="0"/>
  </dataFields>
  <pivotTableStyleInfo name="PivotStyleLight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F39D73F-682A-48D0-AE5D-67F81EA54AF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0" firstHeaderRow="0" firstDataRow="0" firstDataCol="0" rowPageCount="1" colPageCount="1"/>
  <pivotFields count="5">
    <pivotField multipleItemSelectionAllowed="1" showAll="0">
      <items count="14">
        <item h="1" x="6"/>
        <item x="3"/>
        <item h="1" x="5"/>
        <item h="1" x="9"/>
        <item h="1" m="1" x="12"/>
        <item h="1" x="8"/>
        <item h="1" x="1"/>
        <item h="1" x="11"/>
        <item h="1" x="7"/>
        <item h="1" x="10"/>
        <item h="1" x="4"/>
        <item h="1" x="2"/>
        <item h="1" x="0"/>
        <item t="default"/>
      </items>
    </pivotField>
    <pivotField axis="axisPage" multipleItemSelectionAllowed="1" showAll="0">
      <items count="139">
        <item h="1" x="53"/>
        <item h="1" x="97"/>
        <item h="1" x="95"/>
        <item h="1" x="39"/>
        <item h="1" x="41"/>
        <item h="1" x="40"/>
        <item h="1" x="72"/>
        <item h="1" x="90"/>
        <item h="1" x="113"/>
        <item h="1" x="18"/>
        <item h="1" x="28"/>
        <item h="1" x="23"/>
        <item h="1" x="105"/>
        <item h="1" x="25"/>
        <item h="1" x="76"/>
        <item h="1" x="75"/>
        <item h="1" x="83"/>
        <item h="1" x="47"/>
        <item h="1" x="27"/>
        <item h="1" x="58"/>
        <item h="1" x="63"/>
        <item h="1" x="64"/>
        <item h="1" x="59"/>
        <item h="1" x="11"/>
        <item h="1" m="1" x="131"/>
        <item h="1" x="24"/>
        <item h="1" x="46"/>
        <item h="1" x="50"/>
        <item h="1" x="52"/>
        <item h="1" x="12"/>
        <item h="1" x="45"/>
        <item h="1" x="36"/>
        <item h="1" x="43"/>
        <item h="1" x="77"/>
        <item h="1" x="86"/>
        <item h="1" x="31"/>
        <item h="1" x="62"/>
        <item h="1" x="55"/>
        <item h="1" x="71"/>
        <item h="1" x="20"/>
        <item h="1" x="42"/>
        <item h="1" x="106"/>
        <item h="1" x="7"/>
        <item h="1" x="19"/>
        <item h="1" x="16"/>
        <item h="1" x="56"/>
        <item h="1" x="60"/>
        <item h="1" x="85"/>
        <item h="1" x="32"/>
        <item h="1" x="33"/>
        <item h="1" x="51"/>
        <item h="1" x="81"/>
        <item h="1" x="13"/>
        <item h="1" x="8"/>
        <item h="1" m="1" x="132"/>
        <item h="1" x="30"/>
        <item h="1" x="26"/>
        <item h="1" m="1" x="133"/>
        <item h="1" x="67"/>
        <item h="1" x="107"/>
        <item h="1" x="21"/>
        <item h="1" x="96"/>
        <item h="1" x="94"/>
        <item h="1" x="65"/>
        <item h="1" m="1" x="137"/>
        <item h="1" x="92"/>
        <item h="1" x="29"/>
        <item h="1" x="15"/>
        <item h="1" x="73"/>
        <item h="1" x="112"/>
        <item h="1" x="84"/>
        <item h="1" x="66"/>
        <item h="1" x="99"/>
        <item h="1" x="93"/>
        <item h="1" x="69"/>
        <item h="1" x="78"/>
        <item h="1" x="80"/>
        <item h="1" x="91"/>
        <item h="1" x="98"/>
        <item h="1" x="49"/>
        <item h="1" x="37"/>
        <item x="38"/>
        <item h="1" x="14"/>
        <item h="1" x="104"/>
        <item h="1" x="9"/>
        <item h="1" x="10"/>
        <item h="1" x="108"/>
        <item h="1" x="70"/>
        <item h="1" x="34"/>
        <item h="1" m="1" x="134"/>
        <item h="1" x="44"/>
        <item h="1" x="35"/>
        <item h="1" x="17"/>
        <item h="1" x="68"/>
        <item h="1" x="48"/>
        <item h="1" x="79"/>
        <item h="1" x="6"/>
        <item h="1" x="57"/>
        <item h="1" x="22"/>
        <item h="1" x="82"/>
        <item h="1" x="100"/>
        <item h="1" x="61"/>
        <item h="1" x="74"/>
        <item h="1" x="54"/>
        <item h="1" x="102"/>
        <item h="1" x="103"/>
        <item h="1" x="0"/>
        <item h="1" x="114"/>
        <item h="1" x="115"/>
        <item h="1" x="116"/>
        <item h="1" x="117"/>
        <item h="1" x="119"/>
        <item h="1" x="118"/>
        <item h="1" x="121"/>
        <item h="1" x="122"/>
        <item h="1" x="123"/>
        <item h="1" x="124"/>
        <item h="1" x="125"/>
        <item h="1" x="126"/>
        <item h="1" x="127"/>
        <item h="1" x="128"/>
        <item h="1" x="129"/>
        <item h="1" x="130"/>
        <item h="1" x="109"/>
        <item h="1" x="110"/>
        <item h="1" x="111"/>
        <item h="1" x="120"/>
        <item h="1" m="1" x="135"/>
        <item h="1" m="1" x="136"/>
        <item h="1" x="87"/>
        <item h="1" x="88"/>
        <item h="1" x="89"/>
        <item h="1" x="101"/>
        <item h="1" x="2"/>
        <item h="1" x="1"/>
        <item h="1" x="3"/>
        <item h="1" x="4"/>
        <item h="1" x="5"/>
        <item t="default"/>
      </items>
    </pivotField>
    <pivotField showAll="0"/>
    <pivotField showAll="0"/>
    <pivotField showAll="0"/>
  </pivotFields>
  <pageFields count="1">
    <pageField fld="1" hier="-1"/>
  </pageFields>
  <pivotTableStyleInfo name="PivotStyleLight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CAFFA94-F874-4ED5-85D2-E6C8AD7314B9}"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R5" firstHeaderRow="0" firstDataRow="0" firstDataCol="0" rowPageCount="1" colPageCount="1"/>
  <pivotFields count="5">
    <pivotField multipleItemSelectionAllowed="1" showAll="0">
      <items count="14">
        <item h="1" x="6"/>
        <item x="3"/>
        <item h="1" x="5"/>
        <item h="1" x="9"/>
        <item h="1" m="1" x="12"/>
        <item h="1" x="8"/>
        <item h="1" x="1"/>
        <item h="1" x="11"/>
        <item h="1" x="7"/>
        <item h="1" x="10"/>
        <item h="1" x="4"/>
        <item h="1" x="2"/>
        <item h="1" x="0"/>
        <item t="default"/>
      </items>
    </pivotField>
    <pivotField axis="axisPage" multipleItemSelectionAllowed="1" showAll="0">
      <items count="139">
        <item h="1" x="53"/>
        <item h="1" x="97"/>
        <item h="1" x="95"/>
        <item h="1" x="39"/>
        <item h="1" x="41"/>
        <item h="1" x="40"/>
        <item h="1" x="72"/>
        <item h="1" x="90"/>
        <item h="1" x="113"/>
        <item h="1" x="18"/>
        <item h="1" x="28"/>
        <item h="1" x="23"/>
        <item h="1" x="105"/>
        <item h="1" x="25"/>
        <item h="1" x="76"/>
        <item h="1" x="75"/>
        <item h="1" x="83"/>
        <item h="1" x="47"/>
        <item h="1" x="27"/>
        <item h="1" x="58"/>
        <item h="1" x="63"/>
        <item h="1" x="64"/>
        <item h="1" x="59"/>
        <item h="1" x="11"/>
        <item h="1" m="1" x="131"/>
        <item h="1" x="24"/>
        <item h="1" x="46"/>
        <item h="1" x="50"/>
        <item h="1" x="52"/>
        <item h="1" x="12"/>
        <item h="1" x="45"/>
        <item h="1" x="36"/>
        <item h="1" x="43"/>
        <item h="1" x="77"/>
        <item h="1" x="86"/>
        <item h="1" x="31"/>
        <item h="1" x="62"/>
        <item h="1" x="55"/>
        <item h="1" x="71"/>
        <item h="1" x="20"/>
        <item h="1" x="42"/>
        <item h="1" x="106"/>
        <item h="1" x="7"/>
        <item h="1" x="19"/>
        <item h="1" x="16"/>
        <item h="1" x="56"/>
        <item h="1" x="60"/>
        <item h="1" x="85"/>
        <item h="1" x="32"/>
        <item h="1" x="33"/>
        <item h="1" x="51"/>
        <item h="1" x="81"/>
        <item h="1" x="13"/>
        <item h="1" x="8"/>
        <item h="1" m="1" x="132"/>
        <item h="1" x="30"/>
        <item h="1" x="26"/>
        <item h="1" m="1" x="133"/>
        <item h="1" x="67"/>
        <item h="1" x="107"/>
        <item h="1" x="21"/>
        <item h="1" x="96"/>
        <item h="1" x="94"/>
        <item h="1" x="65"/>
        <item h="1" m="1" x="137"/>
        <item h="1" x="92"/>
        <item h="1" x="29"/>
        <item h="1" x="15"/>
        <item h="1" x="73"/>
        <item h="1" x="112"/>
        <item h="1" x="84"/>
        <item h="1" x="66"/>
        <item h="1" x="99"/>
        <item h="1" x="93"/>
        <item h="1" x="69"/>
        <item h="1" x="78"/>
        <item h="1" x="80"/>
        <item h="1" x="91"/>
        <item h="1" x="98"/>
        <item h="1" x="49"/>
        <item h="1" x="37"/>
        <item x="38"/>
        <item h="1" x="14"/>
        <item h="1" x="104"/>
        <item h="1" x="9"/>
        <item h="1" x="10"/>
        <item h="1" x="108"/>
        <item h="1" x="70"/>
        <item h="1" x="34"/>
        <item h="1" m="1" x="134"/>
        <item h="1" x="44"/>
        <item h="1" x="35"/>
        <item h="1" x="17"/>
        <item h="1" x="68"/>
        <item h="1" x="48"/>
        <item h="1" x="79"/>
        <item h="1" x="6"/>
        <item h="1" x="57"/>
        <item h="1" x="22"/>
        <item h="1" x="82"/>
        <item h="1" x="100"/>
        <item h="1" x="61"/>
        <item h="1" x="74"/>
        <item h="1" x="54"/>
        <item h="1" x="102"/>
        <item h="1" x="103"/>
        <item h="1" x="0"/>
        <item h="1" x="114"/>
        <item h="1" x="115"/>
        <item h="1" x="116"/>
        <item h="1" x="117"/>
        <item h="1" x="119"/>
        <item h="1" x="118"/>
        <item h="1" x="121"/>
        <item h="1" x="122"/>
        <item h="1" x="123"/>
        <item h="1" x="124"/>
        <item h="1" x="125"/>
        <item h="1" x="126"/>
        <item h="1" x="127"/>
        <item h="1" x="128"/>
        <item h="1" x="129"/>
        <item h="1" x="130"/>
        <item h="1" x="109"/>
        <item h="1" x="110"/>
        <item h="1" x="111"/>
        <item h="1" x="120"/>
        <item h="1" m="1" x="135"/>
        <item h="1" m="1" x="136"/>
        <item h="1" x="87"/>
        <item h="1" x="88"/>
        <item h="1" x="89"/>
        <item h="1" x="101"/>
        <item h="1" x="2"/>
        <item h="1" x="1"/>
        <item h="1" x="3"/>
        <item h="1" x="4"/>
        <item h="1" x="5"/>
        <item t="default"/>
      </items>
    </pivotField>
    <pivotField showAll="0"/>
    <pivotField showAll="0"/>
    <pivotField showAll="0"/>
  </pivotFields>
  <pageFields count="1">
    <pageField fld="1" hier="-1"/>
  </pageFields>
  <pivotTableStyleInfo name="PivotStyleLight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6E2865D-E84B-4514-BD70-3ECCA112242A}"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C5:E17" firstHeaderRow="0" firstDataRow="1" firstDataCol="1"/>
  <pivotFields count="5">
    <pivotField showAll="0">
      <items count="14">
        <item h="1" x="6"/>
        <item x="3"/>
        <item h="1" x="5"/>
        <item h="1" x="9"/>
        <item h="1" m="1" x="12"/>
        <item h="1" x="8"/>
        <item h="1" x="1"/>
        <item h="1" x="11"/>
        <item h="1" x="7"/>
        <item h="1" x="10"/>
        <item h="1" x="4"/>
        <item h="1" x="2"/>
        <item h="1" x="0"/>
        <item t="default"/>
      </items>
    </pivotField>
    <pivotField showAll="0">
      <items count="139">
        <item h="1" x="2"/>
        <item h="1" x="53"/>
        <item h="1" x="97"/>
        <item h="1" x="95"/>
        <item h="1" x="39"/>
        <item h="1" x="41"/>
        <item h="1" x="40"/>
        <item h="1" x="72"/>
        <item h="1" x="90"/>
        <item h="1" x="113"/>
        <item h="1" x="18"/>
        <item h="1" x="28"/>
        <item h="1" x="23"/>
        <item h="1" x="105"/>
        <item h="1" x="25"/>
        <item h="1" x="76"/>
        <item h="1" x="75"/>
        <item h="1" x="83"/>
        <item h="1" x="47"/>
        <item h="1" x="27"/>
        <item h="1" x="58"/>
        <item h="1" x="63"/>
        <item h="1" x="64"/>
        <item h="1" x="59"/>
        <item h="1" x="11"/>
        <item h="1" m="1" x="131"/>
        <item h="1" x="5"/>
        <item h="1" x="24"/>
        <item h="1" x="46"/>
        <item h="1" x="50"/>
        <item h="1" x="52"/>
        <item h="1" x="12"/>
        <item h="1" x="45"/>
        <item h="1" x="36"/>
        <item h="1" x="43"/>
        <item h="1" x="77"/>
        <item h="1" x="86"/>
        <item h="1" x="130"/>
        <item h="1" x="89"/>
        <item h="1" x="31"/>
        <item h="1" x="62"/>
        <item h="1" x="109"/>
        <item h="1" x="55"/>
        <item h="1" x="71"/>
        <item h="1" x="20"/>
        <item h="1" x="42"/>
        <item h="1" x="106"/>
        <item h="1" x="7"/>
        <item h="1" x="19"/>
        <item h="1" x="16"/>
        <item h="1" x="56"/>
        <item h="1" x="60"/>
        <item h="1" x="85"/>
        <item h="1" x="117"/>
        <item h="1" x="32"/>
        <item h="1" x="33"/>
        <item h="1" x="51"/>
        <item h="1" x="81"/>
        <item h="1" x="13"/>
        <item h="1" x="125"/>
        <item h="1" x="8"/>
        <item h="1" m="1" x="132"/>
        <item h="1" x="30"/>
        <item h="1" x="26"/>
        <item h="1" m="1" x="133"/>
        <item h="1" x="3"/>
        <item h="1" m="1" x="135"/>
        <item h="1" x="67"/>
        <item h="1" x="107"/>
        <item h="1" x="111"/>
        <item h="1" x="21"/>
        <item h="1" x="96"/>
        <item h="1" x="94"/>
        <item h="1" x="65"/>
        <item h="1" x="1"/>
        <item h="1" m="1" x="137"/>
        <item h="1" x="128"/>
        <item h="1" x="92"/>
        <item h="1" x="114"/>
        <item h="1" x="126"/>
        <item h="1" x="29"/>
        <item h="1" x="15"/>
        <item h="1" x="88"/>
        <item h="1" x="73"/>
        <item h="1" x="112"/>
        <item h="1" x="84"/>
        <item h="1" x="122"/>
        <item h="1" x="66"/>
        <item h="1" x="99"/>
        <item h="1" x="93"/>
        <item h="1" x="121"/>
        <item h="1" x="69"/>
        <item h="1" x="127"/>
        <item h="1" x="129"/>
        <item h="1" x="87"/>
        <item h="1" x="118"/>
        <item h="1" x="123"/>
        <item h="1" x="78"/>
        <item h="1" x="115"/>
        <item h="1" x="80"/>
        <item h="1" x="91"/>
        <item h="1" x="98"/>
        <item h="1" x="49"/>
        <item h="1" x="37"/>
        <item x="38"/>
        <item h="1" x="14"/>
        <item h="1" x="104"/>
        <item h="1" x="9"/>
        <item h="1" x="10"/>
        <item h="1" x="116"/>
        <item h="1" x="108"/>
        <item h="1" x="70"/>
        <item h="1" x="34"/>
        <item h="1" m="1" x="134"/>
        <item h="1" x="44"/>
        <item h="1" x="35"/>
        <item h="1" x="17"/>
        <item h="1" x="68"/>
        <item h="1" x="48"/>
        <item h="1" x="79"/>
        <item h="1" x="6"/>
        <item h="1" x="57"/>
        <item h="1" x="22"/>
        <item h="1" x="124"/>
        <item h="1" x="82"/>
        <item h="1" x="100"/>
        <item h="1" x="61"/>
        <item h="1" x="110"/>
        <item h="1" x="74"/>
        <item h="1" x="4"/>
        <item h="1" m="1" x="136"/>
        <item h="1" x="101"/>
        <item h="1" x="120"/>
        <item h="1" x="119"/>
        <item h="1" x="54"/>
        <item h="1" x="102"/>
        <item h="1" x="103"/>
        <item h="1" x="0"/>
        <item t="default"/>
      </items>
    </pivotField>
    <pivotField axis="axisRow" showAll="0">
      <items count="210">
        <item x="65"/>
        <item x="85"/>
        <item x="33"/>
        <item x="100"/>
        <item x="175"/>
        <item x="126"/>
        <item x="44"/>
        <item x="123"/>
        <item x="106"/>
        <item x="7"/>
        <item x="18"/>
        <item x="35"/>
        <item x="38"/>
        <item x="105"/>
        <item x="30"/>
        <item x="46"/>
        <item x="55"/>
        <item x="79"/>
        <item x="154"/>
        <item x="128"/>
        <item x="98"/>
        <item x="59"/>
        <item x="140"/>
        <item x="119"/>
        <item x="153"/>
        <item x="87"/>
        <item x="76"/>
        <item x="5"/>
        <item x="132"/>
        <item x="112"/>
        <item x="19"/>
        <item x="31"/>
        <item x="27"/>
        <item x="137"/>
        <item x="37"/>
        <item x="174"/>
        <item x="28"/>
        <item x="167"/>
        <item x="42"/>
        <item x="113"/>
        <item x="129"/>
        <item x="68"/>
        <item x="169"/>
        <item x="63"/>
        <item x="144"/>
        <item x="133"/>
        <item x="16"/>
        <item x="156"/>
        <item x="139"/>
        <item x="173"/>
        <item m="1" x="207"/>
        <item x="13"/>
        <item x="45"/>
        <item x="4"/>
        <item x="118"/>
        <item x="138"/>
        <item x="91"/>
        <item x="125"/>
        <item x="120"/>
        <item x="52"/>
        <item x="69"/>
        <item x="71"/>
        <item x="97"/>
        <item x="101"/>
        <item x="121"/>
        <item x="62"/>
        <item x="53"/>
        <item x="122"/>
        <item x="90"/>
        <item x="94"/>
        <item x="115"/>
        <item x="171"/>
        <item x="178"/>
        <item m="1" x="189"/>
        <item x="21"/>
        <item x="50"/>
        <item x="51"/>
        <item x="56"/>
        <item x="157"/>
        <item m="1" x="196"/>
        <item x="84"/>
        <item x="43"/>
        <item x="29"/>
        <item x="40"/>
        <item x="135"/>
        <item x="12"/>
        <item x="11"/>
        <item x="24"/>
        <item x="39"/>
        <item x="93"/>
        <item x="80"/>
        <item m="1" x="208"/>
        <item x="2"/>
        <item x="148"/>
        <item x="155"/>
        <item x="136"/>
        <item x="32"/>
        <item x="15"/>
        <item x="124"/>
        <item x="3"/>
        <item m="1" x="194"/>
        <item x="141"/>
        <item x="131"/>
        <item x="61"/>
        <item x="22"/>
        <item x="165"/>
        <item x="48"/>
        <item x="147"/>
        <item x="134"/>
        <item x="142"/>
        <item x="72"/>
        <item x="95"/>
        <item x="77"/>
        <item x="47"/>
        <item x="14"/>
        <item x="36"/>
        <item m="1" x="191"/>
        <item x="151"/>
        <item x="64"/>
        <item x="108"/>
        <item x="78"/>
        <item x="8"/>
        <item x="60"/>
        <item x="70"/>
        <item m="1" x="197"/>
        <item x="127"/>
        <item x="49"/>
        <item x="86"/>
        <item x="41"/>
        <item x="150"/>
        <item m="1" x="205"/>
        <item x="109"/>
        <item x="89"/>
        <item x="102"/>
        <item x="82"/>
        <item x="54"/>
        <item x="177"/>
        <item x="145"/>
        <item x="107"/>
        <item x="143"/>
        <item m="1" x="193"/>
        <item x="58"/>
        <item x="176"/>
        <item x="81"/>
        <item x="159"/>
        <item x="26"/>
        <item x="166"/>
        <item x="103"/>
        <item x="99"/>
        <item x="117"/>
        <item x="170"/>
        <item x="34"/>
        <item x="92"/>
        <item x="164"/>
        <item m="1" x="204"/>
        <item m="1" x="187"/>
        <item x="158"/>
        <item x="88"/>
        <item x="111"/>
        <item m="1" x="198"/>
        <item x="17"/>
        <item x="130"/>
        <item x="116"/>
        <item x="104"/>
        <item x="110"/>
        <item m="1" x="206"/>
        <item x="57"/>
        <item x="0"/>
        <item x="172"/>
        <item x="184"/>
        <item x="185"/>
        <item x="186"/>
        <item x="183"/>
        <item x="20"/>
        <item m="1" x="200"/>
        <item x="179"/>
        <item x="75"/>
        <item x="168"/>
        <item x="180"/>
        <item x="1"/>
        <item x="6"/>
        <item x="9"/>
        <item x="10"/>
        <item m="1" x="195"/>
        <item x="146"/>
        <item x="149"/>
        <item x="152"/>
        <item x="160"/>
        <item x="161"/>
        <item x="162"/>
        <item x="163"/>
        <item x="181"/>
        <item m="1" x="201"/>
        <item x="23"/>
        <item x="25"/>
        <item x="83"/>
        <item x="182"/>
        <item m="1" x="188"/>
        <item x="66"/>
        <item m="1" x="199"/>
        <item m="1" x="192"/>
        <item m="1" x="202"/>
        <item x="67"/>
        <item x="74"/>
        <item x="96"/>
        <item m="1" x="203"/>
        <item m="1" x="190"/>
        <item x="114"/>
        <item x="73"/>
        <item t="default"/>
      </items>
    </pivotField>
    <pivotField dataField="1" showAll="0"/>
    <pivotField dataField="1" showAll="0"/>
  </pivotFields>
  <rowFields count="1">
    <field x="2"/>
  </rowFields>
  <rowItems count="12">
    <i>
      <x/>
    </i>
    <i>
      <x v="21"/>
    </i>
    <i>
      <x v="43"/>
    </i>
    <i>
      <x v="65"/>
    </i>
    <i>
      <x v="77"/>
    </i>
    <i>
      <x v="103"/>
    </i>
    <i>
      <x v="118"/>
    </i>
    <i>
      <x v="122"/>
    </i>
    <i>
      <x v="141"/>
    </i>
    <i>
      <x v="166"/>
    </i>
    <i>
      <x v="198"/>
    </i>
    <i t="grand">
      <x/>
    </i>
  </rowItems>
  <colFields count="1">
    <field x="-2"/>
  </colFields>
  <colItems count="2">
    <i>
      <x/>
    </i>
    <i i="1">
      <x v="1"/>
    </i>
  </colItems>
  <dataFields count="2">
    <dataField name="Quantity" fld="3" baseField="2" baseItem="0" numFmtId="1"/>
    <dataField name=" Cost" fld="4" baseField="0" baseItem="0" numFmtId="2"/>
  </dataFields>
  <formats count="28">
    <format dxfId="130">
      <pivotArea type="all" dataOnly="0" outline="0" fieldPosition="0"/>
    </format>
    <format dxfId="129">
      <pivotArea field="2" type="button" dataOnly="0" labelOnly="1" outline="0" axis="axisRow" fieldPosition="0"/>
    </format>
    <format dxfId="128">
      <pivotArea dataOnly="0" labelOnly="1" fieldPosition="0">
        <references count="1">
          <reference field="2" count="17">
            <x v="14"/>
            <x v="18"/>
            <x v="43"/>
            <x v="45"/>
            <x v="47"/>
            <x v="55"/>
            <x v="57"/>
            <x v="62"/>
            <x v="78"/>
            <x v="84"/>
            <x v="89"/>
            <x v="94"/>
            <x v="112"/>
            <x v="115"/>
            <x v="136"/>
            <x v="144"/>
            <x v="156"/>
          </reference>
        </references>
      </pivotArea>
    </format>
    <format dxfId="127">
      <pivotArea dataOnly="0" labelOnly="1" grandRow="1" outline="0" fieldPosition="0"/>
    </format>
    <format dxfId="126">
      <pivotArea dataOnly="0" labelOnly="1" outline="0" fieldPosition="0">
        <references count="1">
          <reference field="4294967294" count="2">
            <x v="0"/>
            <x v="1"/>
          </reference>
        </references>
      </pivotArea>
    </format>
    <format dxfId="125">
      <pivotArea outline="0" collapsedLevelsAreSubtotals="1" fieldPosition="0">
        <references count="1">
          <reference field="4294967294" count="1" selected="0">
            <x v="1"/>
          </reference>
        </references>
      </pivotArea>
    </format>
    <format dxfId="124">
      <pivotArea dataOnly="0" labelOnly="1" outline="0" fieldPosition="0">
        <references count="1">
          <reference field="4294967294" count="1">
            <x v="1"/>
          </reference>
        </references>
      </pivotArea>
    </format>
    <format dxfId="123">
      <pivotArea dataOnly="0" labelOnly="1" outline="0" fieldPosition="0">
        <references count="1">
          <reference field="4294967294" count="1">
            <x v="0"/>
          </reference>
        </references>
      </pivotArea>
    </format>
    <format dxfId="122">
      <pivotArea dataOnly="0" labelOnly="1" fieldPosition="0">
        <references count="1">
          <reference field="2" count="17">
            <x v="14"/>
            <x v="18"/>
            <x v="22"/>
            <x v="43"/>
            <x v="45"/>
            <x v="47"/>
            <x v="55"/>
            <x v="62"/>
            <x v="78"/>
            <x v="84"/>
            <x v="89"/>
            <x v="94"/>
            <x v="112"/>
            <x v="119"/>
            <x v="136"/>
            <x v="144"/>
            <x v="156"/>
          </reference>
        </references>
      </pivotArea>
    </format>
    <format dxfId="121">
      <pivotArea dataOnly="0" labelOnly="1" grandRow="1" outline="0" fieldPosition="0"/>
    </format>
    <format dxfId="120">
      <pivotArea dataOnly="0" labelOnly="1" outline="0" fieldPosition="0">
        <references count="1">
          <reference field="4294967294" count="2">
            <x v="0"/>
            <x v="1"/>
          </reference>
        </references>
      </pivotArea>
    </format>
    <format dxfId="119">
      <pivotArea field="2" type="button" dataOnly="0" labelOnly="1" outline="0" axis="axisRow" fieldPosition="0"/>
    </format>
    <format dxfId="118">
      <pivotArea dataOnly="0" labelOnly="1" outline="0" fieldPosition="0">
        <references count="1">
          <reference field="4294967294" count="1">
            <x v="1"/>
          </reference>
        </references>
      </pivotArea>
    </format>
    <format dxfId="117">
      <pivotArea dataOnly="0" labelOnly="1" outline="0" fieldPosition="0">
        <references count="1">
          <reference field="4294967294" count="1">
            <x v="0"/>
          </reference>
        </references>
      </pivotArea>
    </format>
    <format dxfId="116">
      <pivotArea dataOnly="0" labelOnly="1" outline="0" fieldPosition="0">
        <references count="1">
          <reference field="4294967294" count="1">
            <x v="0"/>
          </reference>
        </references>
      </pivotArea>
    </format>
    <format dxfId="115">
      <pivotArea dataOnly="0" labelOnly="1" outline="0" fieldPosition="0">
        <references count="1">
          <reference field="4294967294" count="1">
            <x v="0"/>
          </reference>
        </references>
      </pivotArea>
    </format>
    <format dxfId="114">
      <pivotArea dataOnly="0" labelOnly="1" outline="0" fieldPosition="0">
        <references count="1">
          <reference field="4294967294" count="1">
            <x v="0"/>
          </reference>
        </references>
      </pivotArea>
    </format>
    <format dxfId="113">
      <pivotArea dataOnly="0" labelOnly="1" outline="0" fieldPosition="0">
        <references count="1">
          <reference field="4294967294" count="1">
            <x v="1"/>
          </reference>
        </references>
      </pivotArea>
    </format>
    <format dxfId="112">
      <pivotArea dataOnly="0" labelOnly="1" outline="0" fieldPosition="0">
        <references count="1">
          <reference field="4294967294" count="1">
            <x v="1"/>
          </reference>
        </references>
      </pivotArea>
    </format>
    <format dxfId="111">
      <pivotArea type="all" dataOnly="0" outline="0" fieldPosition="0"/>
    </format>
    <format dxfId="110">
      <pivotArea outline="0" collapsedLevelsAreSubtotals="1" fieldPosition="0">
        <references count="1">
          <reference field="4294967294" count="1" selected="0">
            <x v="0"/>
          </reference>
        </references>
      </pivotArea>
    </format>
    <format dxfId="109">
      <pivotArea dataOnly="0" labelOnly="1" fieldPosition="0">
        <references count="1">
          <reference field="2" count="12">
            <x v="35"/>
            <x v="45"/>
            <x v="49"/>
            <x v="64"/>
            <x v="67"/>
            <x v="68"/>
            <x v="89"/>
            <x v="112"/>
            <x v="115"/>
            <x v="134"/>
            <x v="136"/>
            <x v="156"/>
          </reference>
        </references>
      </pivotArea>
    </format>
    <format dxfId="108">
      <pivotArea type="all" dataOnly="0" outline="0" fieldPosition="0"/>
    </format>
    <format dxfId="107">
      <pivotArea outline="0" collapsedLevelsAreSubtotals="1" fieldPosition="0"/>
    </format>
    <format dxfId="106">
      <pivotArea field="2" type="button" dataOnly="0" labelOnly="1" outline="0" axis="axisRow" fieldPosition="0"/>
    </format>
    <format dxfId="105">
      <pivotArea dataOnly="0" labelOnly="1" fieldPosition="0">
        <references count="1">
          <reference field="2" count="2">
            <x v="44"/>
            <x v="137"/>
          </reference>
        </references>
      </pivotArea>
    </format>
    <format dxfId="104">
      <pivotArea dataOnly="0" labelOnly="1" grandRow="1" outline="0" fieldPosition="0"/>
    </format>
    <format dxfId="103">
      <pivotArea dataOnly="0" labelOnly="1" outline="0" fieldPosition="0">
        <references count="1">
          <reference field="4294967294" count="2">
            <x v="0"/>
            <x v="1"/>
          </reference>
        </references>
      </pivotArea>
    </format>
  </formats>
  <pivotTableStyleInfo name="PivotStyleLight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connectionId="1" xr16:uid="{E44E1796-6693-41D8-B107-118173E91C6A}" autoFormatId="16" applyNumberFormats="0" applyBorderFormats="0" applyFontFormats="0" applyPatternFormats="0" applyAlignmentFormats="0" applyWidthHeightFormats="0">
  <queryTableRefresh nextId="8">
    <queryTableFields count="5">
      <queryTableField id="1" name="Category" tableColumnId="1"/>
      <queryTableField id="2" name="Dish" tableColumnId="2"/>
      <queryTableField id="3" name="Ingredients" tableColumnId="3"/>
      <queryTableField id="4" name="QTY" tableColumnId="4"/>
      <queryTableField id="5" name="Cost"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FEC90C0-EEE5-48CC-B16E-A9B9EFE81526}" sourceName="Category">
  <pivotTables>
    <pivotTable tabId="30" name="PivotTable2"/>
    <pivotTable tabId="28" name="PivotTable3"/>
    <pivotTable tabId="30" name="PivotTable1"/>
    <pivotTable tabId="28" name="PivotTable2"/>
  </pivotTables>
  <data>
    <tabular pivotCacheId="1565916577">
      <items count="13">
        <i x="3" s="1"/>
        <i x="6" nd="1"/>
        <i x="5" nd="1"/>
        <i x="9" nd="1"/>
        <i x="12" nd="1"/>
        <i x="8" nd="1"/>
        <i x="1" nd="1"/>
        <i x="11" nd="1"/>
        <i x="7" nd="1"/>
        <i x="10" nd="1"/>
        <i x="4" nd="1"/>
        <i x="2"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h1" xr10:uid="{59FCC38F-3E65-48D8-8536-40898E21028D}" sourceName="Dish">
  <pivotTables>
    <pivotTable tabId="30" name="PivotTable2"/>
    <pivotTable tabId="28" name="PivotTable3"/>
    <pivotTable tabId="30" name="PivotTable1"/>
    <pivotTable tabId="28" name="PivotTable2"/>
  </pivotTables>
  <data>
    <tabular pivotCacheId="1565916577">
      <items count="138">
        <i x="2"/>
        <i x="39"/>
        <i x="41"/>
        <i x="40"/>
        <i x="45"/>
        <i x="36"/>
        <i x="43"/>
        <i x="42"/>
        <i x="37"/>
        <i x="38" s="1"/>
        <i x="44"/>
        <i x="0"/>
        <i x="53" nd="1"/>
        <i x="97" nd="1"/>
        <i x="95" nd="1"/>
        <i x="72" nd="1"/>
        <i x="90" nd="1"/>
        <i x="113" nd="1"/>
        <i x="18" nd="1"/>
        <i x="28" nd="1"/>
        <i x="23" nd="1"/>
        <i x="105" nd="1"/>
        <i x="25" nd="1"/>
        <i x="76" nd="1"/>
        <i x="75" nd="1"/>
        <i x="83" nd="1"/>
        <i x="47" nd="1"/>
        <i x="27" nd="1"/>
        <i x="58" nd="1"/>
        <i x="63" nd="1"/>
        <i x="64" nd="1"/>
        <i x="59" nd="1"/>
        <i x="11" nd="1"/>
        <i x="131" nd="1"/>
        <i x="5" nd="1"/>
        <i x="24" nd="1"/>
        <i x="46" nd="1"/>
        <i x="50" nd="1"/>
        <i x="52" nd="1"/>
        <i x="12" nd="1"/>
        <i x="77" nd="1"/>
        <i x="86" nd="1"/>
        <i x="130" nd="1"/>
        <i x="89" nd="1"/>
        <i x="31" nd="1"/>
        <i x="62" nd="1"/>
        <i x="109" nd="1"/>
        <i x="55" nd="1"/>
        <i x="71" nd="1"/>
        <i x="20" nd="1"/>
        <i x="106" nd="1"/>
        <i x="7" nd="1"/>
        <i x="19" nd="1"/>
        <i x="16" nd="1"/>
        <i x="56" nd="1"/>
        <i x="60" nd="1"/>
        <i x="85" nd="1"/>
        <i x="117" nd="1"/>
        <i x="32" nd="1"/>
        <i x="33" nd="1"/>
        <i x="51" nd="1"/>
        <i x="81" nd="1"/>
        <i x="13" nd="1"/>
        <i x="125" nd="1"/>
        <i x="8" nd="1"/>
        <i x="132" nd="1"/>
        <i x="30" nd="1"/>
        <i x="26" nd="1"/>
        <i x="133" nd="1"/>
        <i x="3" nd="1"/>
        <i x="135" nd="1"/>
        <i x="67" nd="1"/>
        <i x="107" nd="1"/>
        <i x="111" nd="1"/>
        <i x="21" nd="1"/>
        <i x="96" nd="1"/>
        <i x="94" nd="1"/>
        <i x="65" nd="1"/>
        <i x="1" nd="1"/>
        <i x="137" nd="1"/>
        <i x="128" nd="1"/>
        <i x="92" nd="1"/>
        <i x="114" nd="1"/>
        <i x="126" nd="1"/>
        <i x="29" nd="1"/>
        <i x="15" nd="1"/>
        <i x="88" nd="1"/>
        <i x="73" nd="1"/>
        <i x="112" nd="1"/>
        <i x="84" nd="1"/>
        <i x="122" nd="1"/>
        <i x="66" nd="1"/>
        <i x="99" nd="1"/>
        <i x="93" nd="1"/>
        <i x="121" nd="1"/>
        <i x="69" nd="1"/>
        <i x="127" nd="1"/>
        <i x="129" nd="1"/>
        <i x="87" nd="1"/>
        <i x="118" nd="1"/>
        <i x="123" nd="1"/>
        <i x="78" nd="1"/>
        <i x="115" nd="1"/>
        <i x="80" nd="1"/>
        <i x="91" nd="1"/>
        <i x="98" nd="1"/>
        <i x="49" nd="1"/>
        <i x="14" nd="1"/>
        <i x="104" nd="1"/>
        <i x="9" nd="1"/>
        <i x="10" nd="1"/>
        <i x="116" nd="1"/>
        <i x="108" nd="1"/>
        <i x="70" nd="1"/>
        <i x="34" nd="1"/>
        <i x="134" nd="1"/>
        <i x="35" nd="1"/>
        <i x="17" nd="1"/>
        <i x="68" nd="1"/>
        <i x="48" nd="1"/>
        <i x="79" nd="1"/>
        <i x="6" nd="1"/>
        <i x="57" nd="1"/>
        <i x="22" nd="1"/>
        <i x="124" nd="1"/>
        <i x="82" nd="1"/>
        <i x="100" nd="1"/>
        <i x="61" nd="1"/>
        <i x="110" nd="1"/>
        <i x="74" nd="1"/>
        <i x="4" nd="1"/>
        <i x="136" nd="1"/>
        <i x="101" nd="1"/>
        <i x="120" nd="1"/>
        <i x="119" nd="1"/>
        <i x="54" nd="1"/>
        <i x="102" nd="1"/>
        <i x="10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8B9BDFC1-1725-4568-BBDC-DD51E81D0D11}" cache="Slicer_Category" caption="Category" startItem="3" style="Slicer Style 1" rowHeight="225425"/>
  <slicer name="Dish 2" xr10:uid="{4B46FAD8-9165-4CB6-B86D-45DD12E41E3D}" cache="Slicer_Dish1" caption="Dish" style="Slicer Style 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D73DEEA4-6A00-422A-B60B-7A10CBD9CA4A}" cache="Slicer_Category" caption="Category" columnCount="6" style="Slice 2" rowHeight="225425"/>
  <slicer name="Dish 3" xr10:uid="{A85BB965-4B0C-4C94-B582-B65D6445CD13}" cache="Slicer_Dish1" caption="Dish" style="Slice 2" rowHeight="22542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4D3B24B-0852-4389-8B8E-A9F0DB3A28C6}" name="Table_Append1" displayName="Table_Append1" ref="A1:E1174" tableType="queryTable" totalsRowShown="0">
  <autoFilter ref="A1:E1174" xr:uid="{44D3B24B-0852-4389-8B8E-A9F0DB3A28C6}"/>
  <tableColumns count="5">
    <tableColumn id="1" xr3:uid="{36C1188C-A468-4D36-A5F7-AB44A7D95059}" uniqueName="1" name="Category" queryTableFieldId="1" dataDxfId="138"/>
    <tableColumn id="2" xr3:uid="{F30110F4-F9ED-4EC6-B7AE-B32F4DE0CA6B}" uniqueName="2" name="Dish" queryTableFieldId="2" dataDxfId="137"/>
    <tableColumn id="3" xr3:uid="{0EA085E3-761B-4E11-8D37-3FA99049DEDB}" uniqueName="3" name="Ingredients" queryTableFieldId="3" dataDxfId="136"/>
    <tableColumn id="4" xr3:uid="{BE1317B7-282E-4B0D-9E6E-52AA0676393E}" uniqueName="4" name="QTY" queryTableFieldId="4" dataDxfId="135"/>
    <tableColumn id="5" xr3:uid="{0E1F3723-30BF-4538-B3DC-7A5C8A1217F2}" uniqueName="5" name="Cost" queryTableFieldId="5" dataDxfId="1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4CD4C1-2BF5-4027-9885-A2F9236EE3E6}" name="Table6" displayName="Table6" ref="A1:D1048576" totalsRowShown="0" headerRowDxfId="133" headerRowBorderDxfId="132" tableBorderDxfId="131">
  <autoFilter ref="A1:D1048576" xr:uid="{8E4CD4C1-2BF5-4027-9885-A2F9236EE3E6}"/>
  <sortState xmlns:xlrd2="http://schemas.microsoft.com/office/spreadsheetml/2017/richdata2" ref="A2:D1048576">
    <sortCondition ref="B1:B1048576"/>
  </sortState>
  <tableColumns count="4">
    <tableColumn id="1" xr3:uid="{F7591DA4-B2BD-4107-860D-1BFA055E238D}" name="Dish"/>
    <tableColumn id="2" xr3:uid="{A7038A7C-7A89-4BC3-845F-F5DF54DCC6AB}" name="Ingredients"/>
    <tableColumn id="3" xr3:uid="{F5574961-8228-48AD-8CEB-7A5E6C6B5899}" name="QTY"/>
    <tableColumn id="4" xr3:uid="{15C1DADD-3A92-4B49-BBC8-5B4CE4876D22}" name="Cos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7BD3E1-091F-499E-93B6-3D2258684A9E}" name="Table2" displayName="Table2" ref="A2:C134" totalsRowShown="0" headerRowDxfId="102" headerRowBorderDxfId="101" tableBorderDxfId="100">
  <autoFilter ref="A2:C134" xr:uid="{CC7BD3E1-091F-499E-93B6-3D2258684A9E}"/>
  <sortState xmlns:xlrd2="http://schemas.microsoft.com/office/spreadsheetml/2017/richdata2" ref="A3:C134">
    <sortCondition ref="C2:C134"/>
  </sortState>
  <tableColumns count="3">
    <tableColumn id="1" xr3:uid="{D5553389-94D0-4D8D-BD93-88FDB11494B9}" name="Dish" dataDxfId="99"/>
    <tableColumn id="2" xr3:uid="{23CC8721-9ACD-448D-9F1E-46CF6FBCD4BA}" name="Category" dataDxfId="98"/>
    <tableColumn id="3" xr3:uid="{D81A19A1-2900-4DA5-807B-03399BB40AA4}" name="Selling Price" dataDxfId="9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3B9C543-7373-4FA1-B350-1D578B55B2D3}" name="Table12" displayName="Table12" ref="A2:E145" totalsRowShown="0" headerRowDxfId="96" headerRowBorderDxfId="95" tableBorderDxfId="94">
  <autoFilter ref="A2:E145" xr:uid="{13B9C543-7373-4FA1-B350-1D578B55B2D3}"/>
  <tableColumns count="5">
    <tableColumn id="1" xr3:uid="{F9AC430B-A3F1-4EFC-AAD9-D33295CF2031}" name="Category" dataDxfId="93"/>
    <tableColumn id="2" xr3:uid="{7472B9EE-2381-453C-BE48-455B32BD1B7D}" name="Dish" dataDxfId="92"/>
    <tableColumn id="3" xr3:uid="{A982296C-8C1D-4DEA-9CC8-E4E44EDBD6E6}" name="Ingredients" dataDxfId="91"/>
    <tableColumn id="4" xr3:uid="{5F17704C-AEC5-4C92-B507-7D85036E782C}" name="QTY" dataDxfId="90"/>
    <tableColumn id="5" xr3:uid="{1C56A52D-2074-47FA-BBC0-EE7B9B541CE6}" name="Cost" dataDxfId="89">
      <calculatedColumnFormula>IF(C3="","",VLOOKUP(C3,'ITEM LIST'!B:M,12,0)*D3)</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1A43681-7F89-4C33-B320-EC33935A87D9}" name="Table4" displayName="Table4" ref="A2:E85" totalsRowShown="0" headerRowDxfId="88" headerRowBorderDxfId="87" tableBorderDxfId="86" totalsRowBorderDxfId="85">
  <autoFilter ref="A2:E85" xr:uid="{71A43681-7F89-4C33-B320-EC33935A87D9}"/>
  <tableColumns count="5">
    <tableColumn id="1" xr3:uid="{3C0D32DD-9AAF-4A18-A25A-E32AA1A18B52}" name="Category" dataDxfId="84"/>
    <tableColumn id="2" xr3:uid="{9F7D2465-8862-4BCE-A350-EC669A2CDD9F}" name="Dish " dataDxfId="83"/>
    <tableColumn id="3" xr3:uid="{796704BD-A798-4B01-85CC-B4AAF1EC14EB}" name="Ingredients" dataDxfId="82"/>
    <tableColumn id="4" xr3:uid="{2C1F5FAA-3336-42EF-BF5B-8A9E1919B1B8}" name="QTY" dataDxfId="81"/>
    <tableColumn id="5" xr3:uid="{9EEFF945-2546-480C-A5D3-DE773F614212}" name="Cost" dataDxfId="80"/>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9E6725E-6772-418A-89FA-96BA0A2800D8}" name="Table13" displayName="Table13" ref="A2:E200" totalsRowShown="0" headerRowDxfId="79" headerRowBorderDxfId="78" tableBorderDxfId="77" totalsRowBorderDxfId="76">
  <autoFilter ref="A2:E200" xr:uid="{F9E6725E-6772-418A-89FA-96BA0A2800D8}"/>
  <tableColumns count="5">
    <tableColumn id="1" xr3:uid="{9B688554-15D3-4894-BC0C-952C556848E2}" name="Category" dataDxfId="75"/>
    <tableColumn id="2" xr3:uid="{7CAA183F-264F-4BF7-99A2-04DB0E6A7DDC}" name="Dish" dataDxfId="74"/>
    <tableColumn id="3" xr3:uid="{F2A6FD1E-C496-45AD-B67D-766BC7068D7C}" name="Ingredients" dataDxfId="73"/>
    <tableColumn id="4" xr3:uid="{272350AD-BDAE-44F5-8943-C8AE9671CA5F}" name="QTY" dataDxfId="72"/>
    <tableColumn id="5" xr3:uid="{F5D32C5E-F5F9-41C9-93A0-68F43F8E3634}" name="Cost" dataDxfId="71">
      <calculatedColumnFormula>IF(C3="","",IFERROR(VLOOKUP(C3,'ITEM LIST'!B:M,12,0)*D3,0))</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BEFB3AD-9EDE-4B65-A3EF-E8C33B4E095A}" name="Table11" displayName="Table11" ref="A2:E59" totalsRowShown="0" headerRowDxfId="70" dataDxfId="68" headerRowBorderDxfId="69" tableBorderDxfId="67" totalsRowBorderDxfId="66">
  <autoFilter ref="A2:E59" xr:uid="{CBEFB3AD-9EDE-4B65-A3EF-E8C33B4E095A}"/>
  <tableColumns count="5">
    <tableColumn id="1" xr3:uid="{28B8A142-7DDA-4584-9E56-ACC4DC7FD4AD}" name="Category" dataDxfId="65"/>
    <tableColumn id="2" xr3:uid="{80E1F475-0E26-4B12-921E-DEFEC83AE5E2}" name="Dish" dataDxfId="64"/>
    <tableColumn id="3" xr3:uid="{F3390113-4660-459B-9AEA-29588B006381}" name="Ingredients" dataDxfId="63"/>
    <tableColumn id="4" xr3:uid="{62255C72-C5D7-4FD6-AAAB-D0439DBBB504}" name="QTY" dataDxfId="62"/>
    <tableColumn id="5" xr3:uid="{A5715AEE-C61A-4CCF-BC6D-CD033790C837}" name="Cost" dataDxfId="61">
      <calculatedColumnFormula>IF(C3="","",IFERROR(VLOOKUP(C3,'ITEM LIST'!B:M,12,0)*D3,0))</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C3F616D-CA23-43C8-A827-E25361601199}" name="Table10" displayName="Table10" ref="A2:E193" totalsRowShown="0" headerRowDxfId="60" headerRowBorderDxfId="59" tableBorderDxfId="58" totalsRowBorderDxfId="57">
  <autoFilter ref="A2:E193" xr:uid="{3C3F616D-CA23-43C8-A827-E25361601199}"/>
  <tableColumns count="5">
    <tableColumn id="1" xr3:uid="{0C333C9B-52CB-4962-BCF5-92CA8878F000}" name="Category" dataDxfId="56"/>
    <tableColumn id="2" xr3:uid="{D5476D27-170A-4ED9-9531-CE2CE155AA61}" name="Dish" dataDxfId="55"/>
    <tableColumn id="3" xr3:uid="{E2CF5E96-B73E-4B41-8433-5D6EC239E4EF}" name="Ingredients" dataDxfId="54"/>
    <tableColumn id="4" xr3:uid="{EDF90D82-BF43-497C-A876-37F5479ED232}" name="QTY" dataDxfId="53"/>
    <tableColumn id="5" xr3:uid="{86D1A7D5-24BA-42CD-970D-961E91941DD4}" name="Cost" dataDxfId="52">
      <calculatedColumnFormula>IF(C3="","",IFERROR(VLOOKUP(C3,'ITEM LIST'!B:M,12,0)*D3,0))</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275E2F8-9CB1-4D40-931F-C9A3DB3B5264}" name="Table9" displayName="Table9" ref="A2:E48" totalsRowShown="0" headerRowDxfId="51" headerRowBorderDxfId="50" tableBorderDxfId="49" totalsRowBorderDxfId="48">
  <autoFilter ref="A2:E48" xr:uid="{3275E2F8-9CB1-4D40-931F-C9A3DB3B5264}"/>
  <tableColumns count="5">
    <tableColumn id="1" xr3:uid="{CAEEA8F6-79D6-41B5-A132-9F432E4E0BD0}" name="Category" dataDxfId="47"/>
    <tableColumn id="2" xr3:uid="{98674B9C-AED6-4392-BA0C-A1940D058EBE}" name="Dish" dataDxfId="46"/>
    <tableColumn id="3" xr3:uid="{0C173FDB-8A46-4E5F-84A0-5A310D4E2EFD}" name="Ingredient" dataDxfId="45"/>
    <tableColumn id="4" xr3:uid="{0BB494BB-3A71-441A-A51E-42D19C0C6E74}" name="QTY" dataDxfId="44"/>
    <tableColumn id="5" xr3:uid="{ADCC753E-1698-437E-A809-35C3198DB2B6}" name="Cost" dataDxfId="43">
      <calculatedColumnFormula>IF(C3="","",IFERROR(VLOOKUP(C3,'ITEM LIST'!B:M,12,0)*D3,0))</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2F073A1-AA86-483F-8441-68EA96C7B056}" name="Table8" displayName="Table8" ref="A2:E71" totalsRowShown="0" headerRowDxfId="42" headerRowBorderDxfId="41" tableBorderDxfId="40" totalsRowBorderDxfId="39">
  <autoFilter ref="A2:E71" xr:uid="{62F073A1-AA86-483F-8441-68EA96C7B056}"/>
  <tableColumns count="5">
    <tableColumn id="1" xr3:uid="{40E55637-DCAA-4286-894B-14F1F67C8981}" name="Category" dataDxfId="38"/>
    <tableColumn id="2" xr3:uid="{E991EB0B-F489-4EB2-A7AF-480760A2A343}" name="Dish" dataDxfId="37"/>
    <tableColumn id="3" xr3:uid="{3018810A-E9F3-46E8-B8EB-CB5E28D92629}" name="Ingredients" dataDxfId="36"/>
    <tableColumn id="4" xr3:uid="{2D0CBBCE-2A17-4FB0-840A-19F3073364AE}" name="QTY" dataDxfId="35"/>
    <tableColumn id="5" xr3:uid="{C86BFBA1-C307-4C98-ACC8-B7CF093C8BFA}" name="Cost" dataDxfId="34">
      <calculatedColumnFormula>IF(C3="","",IFERROR(VLOOKUP(C3,'ITEM LIST'!B:M,12,0)*D3,0))</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3AB2B26-6F8F-412E-9755-5A2EFA0772FE}" name="Table5" displayName="Table5" ref="A2:E99" totalsRowShown="0" headerRowDxfId="33" headerRowBorderDxfId="32" tableBorderDxfId="31" totalsRowBorderDxfId="30">
  <autoFilter ref="A2:E99" xr:uid="{83AB2B26-6F8F-412E-9755-5A2EFA0772FE}"/>
  <tableColumns count="5">
    <tableColumn id="1" xr3:uid="{E0E73557-C420-4BA5-B7DA-92A7B7CA57B6}" name="Category" dataDxfId="29"/>
    <tableColumn id="2" xr3:uid="{45581322-59BC-4F64-8B75-679B4A1DEFF3}" name="Dish" dataDxfId="28"/>
    <tableColumn id="3" xr3:uid="{1E0A865F-BFEE-43C1-ADCF-02F303B816E2}" name="Ingredients" dataDxfId="27"/>
    <tableColumn id="4" xr3:uid="{9C16FF26-534A-4F62-8CCA-75F1D3999E66}" name="QTY" dataDxfId="26"/>
    <tableColumn id="5" xr3:uid="{DDF626C9-CF96-4FDF-8CFD-14F7A73BC76E}" name="Cost" dataDxfId="25">
      <calculatedColumnFormula>IF(C3="","",IFERROR(VLOOKUP(C3,'ITEM LIST'!B:M,12,0)*D3,0))</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7C4C1CA-516C-470B-8CDB-C244B93FBB8D}" name="Table3" displayName="Table3" ref="A2:E219" totalsRowShown="0" headerRowDxfId="24" headerRowBorderDxfId="23" tableBorderDxfId="22" totalsRowBorderDxfId="21">
  <autoFilter ref="A2:E219" xr:uid="{27C4C1CA-516C-470B-8CDB-C244B93FBB8D}"/>
  <tableColumns count="5">
    <tableColumn id="1" xr3:uid="{DBE94C1F-9961-4790-A362-AA24ACFBB90E}" name="Category" dataDxfId="20"/>
    <tableColumn id="2" xr3:uid="{E53D4050-1F89-4C5B-92DB-2889B7EDD843}" name="Dish" dataDxfId="19"/>
    <tableColumn id="3" xr3:uid="{F81C119D-03CA-4CB1-8929-D6A316F0C3F8}" name="Ingredients" dataDxfId="18"/>
    <tableColumn id="4" xr3:uid="{E6C06BCF-3D09-4D89-9E68-1AE35E58F74A}" name="QTY" dataDxfId="17"/>
    <tableColumn id="5" xr3:uid="{F4225AC1-278A-46FA-945F-A0B485684C19}" name="Cost" dataDxfId="16">
      <calculatedColumnFormula>IF(C3="","",IFERROR(VLOOKUP(C3,'ITEM LIST'!B:M,12,0)*D3,0))</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2EECCF-206B-4239-AF97-03B4FB07687D}" name="Table1" displayName="Table1" ref="A2:E43" totalsRowShown="0" headerRowDxfId="15" tableBorderDxfId="14">
  <autoFilter ref="A2:E43" xr:uid="{262EECCF-206B-4239-AF97-03B4FB07687D}"/>
  <tableColumns count="5">
    <tableColumn id="1" xr3:uid="{1B27C338-6035-40D5-BCE3-FBE0F562154C}" name="Category" dataDxfId="13"/>
    <tableColumn id="2" xr3:uid="{67DDBC55-7CB2-4E39-A65B-B5B0B85E6F2E}" name="Dish" dataDxfId="12"/>
    <tableColumn id="3" xr3:uid="{6FA8E757-8BF7-432C-A111-20EADD585806}" name="Ingredients" dataDxfId="11"/>
    <tableColumn id="4" xr3:uid="{8C26E3C1-8718-4D43-AEDF-ADCB2E14C898}" name="QTY" dataDxfId="10"/>
    <tableColumn id="5" xr3:uid="{2AF6025B-CFDD-460D-8BDF-89F9A390FE19}" name="Cost" dataDxfId="9">
      <calculatedColumnFormula>IF(C3="","",IFERROR(VLOOKUP(C3,'ITEM LIST'!B:M,12,0)*D3,0))</calculatedColumnFormula>
    </tableColumn>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664280-91B2-476F-9298-242F6CD5E5F9}" name="Table7" displayName="Table7" ref="A2:E33" totalsRowShown="0" headerRowDxfId="8" headerRowBorderDxfId="7" tableBorderDxfId="6" totalsRowBorderDxfId="5">
  <autoFilter ref="A2:E33" xr:uid="{1E664280-91B2-476F-9298-242F6CD5E5F9}"/>
  <tableColumns count="5">
    <tableColumn id="1" xr3:uid="{F942E4DF-7270-4175-A63C-F7CD8B238A8D}" name="Category" dataDxfId="4"/>
    <tableColumn id="2" xr3:uid="{CA16D016-3752-419E-BBC2-BD5ADCE497D9}" name="Dish" dataDxfId="3"/>
    <tableColumn id="3" xr3:uid="{BBC9B14C-A83A-4337-9562-D886B6905D6F}" name="Ingredient" dataDxfId="2"/>
    <tableColumn id="4" xr3:uid="{3CF3A711-4533-4569-ADE1-B3617444947F}" name="Quantity" dataDxfId="1"/>
    <tableColumn id="5" xr3:uid="{F2741532-0D39-499A-8CE7-D4E08380E8AB}" name="Cost" dataDxfId="0">
      <calculatedColumnFormula>IF(C3="","",IFERROR(VLOOKUP(C3,'ITEM LIST'!B:M,12,0)*D3,0))</calculatedColumnFormula>
    </tableColumn>
  </tableColumns>
  <tableStyleInfo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2.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F267B-4EE3-4CDA-B449-D26038CB4AA8}">
  <sheetPr codeName="Sheet1"/>
  <dimension ref="A1:H28"/>
  <sheetViews>
    <sheetView zoomScale="91" workbookViewId="0">
      <selection activeCell="C18" sqref="C18"/>
    </sheetView>
  </sheetViews>
  <sheetFormatPr defaultRowHeight="12.75"/>
  <cols>
    <col min="1" max="1" width="4.42578125" bestFit="1" customWidth="1"/>
    <col min="2" max="2" width="12.85546875" bestFit="1" customWidth="1"/>
    <col min="3" max="3" width="11.85546875" bestFit="1" customWidth="1"/>
    <col min="4" max="4" width="10.42578125" bestFit="1" customWidth="1"/>
  </cols>
  <sheetData>
    <row r="1" spans="1:8">
      <c r="A1" s="110" t="s">
        <v>125</v>
      </c>
      <c r="B1" t="s">
        <v>96</v>
      </c>
      <c r="C1" t="str">
        <f>B1</f>
        <v>Chaat</v>
      </c>
    </row>
    <row r="2" spans="1:8">
      <c r="A2" s="110" t="s">
        <v>126</v>
      </c>
      <c r="B2" t="s">
        <v>609</v>
      </c>
      <c r="C2" t="str">
        <f>B2</f>
        <v>Papri Chaat</v>
      </c>
      <c r="E2">
        <f>Sheet7!G2</f>
        <v>140</v>
      </c>
      <c r="G2" s="59">
        <f>VLOOKUP(Sheet7!C2,'SELLING PRICE'!A:C,3,FALSE)</f>
        <v>140</v>
      </c>
    </row>
    <row r="3" spans="1:8">
      <c r="G3" s="132">
        <f>(G2-Sheet7!D23)/G2</f>
        <v>0.63451085308888511</v>
      </c>
    </row>
    <row r="4" spans="1:8">
      <c r="A4" s="110" t="s">
        <v>318</v>
      </c>
      <c r="B4" t="s">
        <v>316</v>
      </c>
      <c r="C4" t="s">
        <v>317</v>
      </c>
      <c r="G4" s="132" t="s">
        <v>321</v>
      </c>
      <c r="H4" t="s">
        <v>320</v>
      </c>
    </row>
    <row r="5" spans="1:8">
      <c r="A5" s="109" t="s">
        <v>295</v>
      </c>
      <c r="B5">
        <v>78</v>
      </c>
      <c r="C5">
        <v>9.6164889599999999</v>
      </c>
      <c r="G5" s="59">
        <f>(G2-Sheet7!D23)</f>
        <v>88.831519432443912</v>
      </c>
      <c r="H5" s="59">
        <f>Sheet7!D23</f>
        <v>51.168480567556095</v>
      </c>
    </row>
    <row r="6" spans="1:8">
      <c r="A6" s="109" t="s">
        <v>32</v>
      </c>
      <c r="B6">
        <v>18</v>
      </c>
      <c r="C6">
        <v>0.63000000000000012</v>
      </c>
    </row>
    <row r="7" spans="1:8">
      <c r="A7" s="109" t="s">
        <v>427</v>
      </c>
      <c r="B7">
        <v>250</v>
      </c>
      <c r="C7">
        <v>12</v>
      </c>
    </row>
    <row r="8" spans="1:8">
      <c r="A8" s="109" t="s">
        <v>43</v>
      </c>
      <c r="B8">
        <v>30</v>
      </c>
      <c r="C8">
        <v>3.9057749999999998</v>
      </c>
    </row>
    <row r="9" spans="1:8">
      <c r="A9" s="109" t="s">
        <v>52</v>
      </c>
      <c r="B9">
        <v>6</v>
      </c>
      <c r="C9">
        <v>3.9000000000000004</v>
      </c>
    </row>
    <row r="10" spans="1:8">
      <c r="A10" s="109" t="s">
        <v>557</v>
      </c>
      <c r="B10">
        <v>118</v>
      </c>
      <c r="C10">
        <v>13.722856607556107</v>
      </c>
    </row>
    <row r="11" spans="1:8">
      <c r="A11" s="109" t="s">
        <v>55</v>
      </c>
      <c r="B11">
        <v>91</v>
      </c>
      <c r="C11">
        <v>1.4523599999999999</v>
      </c>
    </row>
    <row r="12" spans="1:8">
      <c r="A12" s="109" t="s">
        <v>54</v>
      </c>
      <c r="B12">
        <v>10</v>
      </c>
      <c r="C12">
        <v>1.4000000000000001</v>
      </c>
    </row>
    <row r="13" spans="1:8">
      <c r="A13" s="109" t="s">
        <v>114</v>
      </c>
      <c r="B13">
        <v>5</v>
      </c>
      <c r="C13">
        <v>0.14000000000000001</v>
      </c>
    </row>
    <row r="14" spans="1:8">
      <c r="A14" s="109" t="s">
        <v>53</v>
      </c>
      <c r="B14">
        <v>3</v>
      </c>
      <c r="C14">
        <v>1.7999999999999998</v>
      </c>
    </row>
    <row r="15" spans="1:8">
      <c r="A15" s="109" t="s">
        <v>660</v>
      </c>
      <c r="B15">
        <v>30</v>
      </c>
      <c r="C15">
        <v>2.6009999999999995</v>
      </c>
    </row>
    <row r="16" spans="1:8">
      <c r="A16" s="109" t="s">
        <v>315</v>
      </c>
      <c r="B16">
        <v>639</v>
      </c>
      <c r="C16">
        <v>51.168480567556095</v>
      </c>
    </row>
    <row r="23" spans="1:4">
      <c r="D23" s="59">
        <f>GETPIVOTDATA("Sum of Cost",$A$4)</f>
        <v>51.168480567556095</v>
      </c>
    </row>
    <row r="24" spans="1:4">
      <c r="D24" s="120">
        <f>GETPIVOTDATA("Sum of QTY",$A$4)</f>
        <v>639</v>
      </c>
    </row>
    <row r="27" spans="1:4">
      <c r="C27">
        <f>B27</f>
        <v>0</v>
      </c>
    </row>
    <row r="28" spans="1:4">
      <c r="A28" s="110" t="s">
        <v>126</v>
      </c>
      <c r="B28" t="s">
        <v>609</v>
      </c>
      <c r="C28" t="str">
        <f>B28</f>
        <v>Papri Chaat</v>
      </c>
    </row>
  </sheetData>
  <sheetProtection selectLockedCells="1" autoFilter="0" pivotTables="0" selectUnlockedCells="1"/>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3249E-92A6-4A18-B008-956BDF8867A2}">
  <sheetPr codeName="Sheet3"/>
  <dimension ref="A1:I1174"/>
  <sheetViews>
    <sheetView workbookViewId="0">
      <selection activeCell="E11" sqref="E11"/>
    </sheetView>
  </sheetViews>
  <sheetFormatPr defaultRowHeight="12.75"/>
  <cols>
    <col min="1" max="1" width="10.85546875" bestFit="1" customWidth="1"/>
    <col min="2" max="2" width="29.85546875" bestFit="1" customWidth="1"/>
    <col min="3" max="3" width="21.140625" bestFit="1" customWidth="1"/>
    <col min="4" max="4" width="8.28515625" bestFit="1" customWidth="1"/>
    <col min="5" max="5" width="7.140625" bestFit="1" customWidth="1"/>
  </cols>
  <sheetData>
    <row r="1" spans="1:9">
      <c r="A1" t="s">
        <v>125</v>
      </c>
      <c r="B1" t="s">
        <v>126</v>
      </c>
      <c r="C1" t="s">
        <v>302</v>
      </c>
      <c r="D1" t="s">
        <v>303</v>
      </c>
      <c r="E1" t="s">
        <v>128</v>
      </c>
    </row>
    <row r="2" spans="1:9">
      <c r="D2" s="123"/>
      <c r="E2" s="120"/>
    </row>
    <row r="3" spans="1:9">
      <c r="A3" t="s">
        <v>104</v>
      </c>
      <c r="B3" t="s">
        <v>667</v>
      </c>
      <c r="C3" t="s">
        <v>575</v>
      </c>
      <c r="D3" s="123">
        <v>20</v>
      </c>
      <c r="E3" s="120">
        <v>3.5999999999999996</v>
      </c>
    </row>
    <row r="4" spans="1:9">
      <c r="A4" t="s">
        <v>104</v>
      </c>
      <c r="B4" t="s">
        <v>667</v>
      </c>
      <c r="C4" t="s">
        <v>543</v>
      </c>
      <c r="D4" s="123">
        <v>100</v>
      </c>
      <c r="E4" s="120">
        <v>28.955000000000002</v>
      </c>
      <c r="I4" s="166"/>
    </row>
    <row r="5" spans="1:9">
      <c r="A5" t="s">
        <v>104</v>
      </c>
      <c r="B5" t="s">
        <v>667</v>
      </c>
      <c r="C5" t="s">
        <v>62</v>
      </c>
      <c r="D5" s="123">
        <v>25</v>
      </c>
      <c r="E5" s="120">
        <v>3</v>
      </c>
    </row>
    <row r="6" spans="1:9">
      <c r="A6" t="s">
        <v>104</v>
      </c>
      <c r="B6" t="s">
        <v>667</v>
      </c>
      <c r="C6" t="s">
        <v>292</v>
      </c>
      <c r="D6" s="123">
        <v>150</v>
      </c>
      <c r="E6" s="120">
        <v>7.2</v>
      </c>
    </row>
    <row r="7" spans="1:9">
      <c r="A7" t="s">
        <v>104</v>
      </c>
      <c r="B7" t="s">
        <v>667</v>
      </c>
      <c r="C7" t="s">
        <v>576</v>
      </c>
      <c r="D7" s="123">
        <v>20</v>
      </c>
      <c r="E7" s="120">
        <v>0.4</v>
      </c>
    </row>
    <row r="8" spans="1:9">
      <c r="A8" t="s">
        <v>104</v>
      </c>
      <c r="B8" t="s">
        <v>667</v>
      </c>
      <c r="C8" t="s">
        <v>574</v>
      </c>
      <c r="D8" s="123">
        <v>50</v>
      </c>
      <c r="E8" s="120">
        <v>3.5825000000000005</v>
      </c>
    </row>
    <row r="9" spans="1:9">
      <c r="A9" t="s">
        <v>104</v>
      </c>
      <c r="B9" t="s">
        <v>371</v>
      </c>
      <c r="D9" s="123"/>
      <c r="E9" s="120"/>
    </row>
    <row r="10" spans="1:9">
      <c r="A10" t="s">
        <v>104</v>
      </c>
      <c r="B10" t="s">
        <v>666</v>
      </c>
      <c r="C10" t="s">
        <v>543</v>
      </c>
      <c r="D10" s="123">
        <v>130</v>
      </c>
      <c r="E10" s="120">
        <v>37.641500000000001</v>
      </c>
    </row>
    <row r="11" spans="1:9">
      <c r="A11" t="s">
        <v>104</v>
      </c>
      <c r="B11" t="s">
        <v>666</v>
      </c>
      <c r="C11" t="s">
        <v>292</v>
      </c>
      <c r="D11" s="123">
        <v>150</v>
      </c>
      <c r="E11" s="120">
        <v>7.2</v>
      </c>
    </row>
    <row r="12" spans="1:9">
      <c r="A12" t="s">
        <v>104</v>
      </c>
      <c r="B12" t="s">
        <v>666</v>
      </c>
      <c r="C12" t="s">
        <v>576</v>
      </c>
      <c r="D12" s="123">
        <v>20</v>
      </c>
      <c r="E12" s="120">
        <v>0.4</v>
      </c>
    </row>
    <row r="13" spans="1:9">
      <c r="A13" t="s">
        <v>104</v>
      </c>
      <c r="B13" t="s">
        <v>666</v>
      </c>
      <c r="C13" t="s">
        <v>574</v>
      </c>
      <c r="D13" s="123">
        <v>50</v>
      </c>
      <c r="E13" s="120">
        <v>3.5825000000000005</v>
      </c>
    </row>
    <row r="14" spans="1:9">
      <c r="A14" t="s">
        <v>104</v>
      </c>
      <c r="B14" t="s">
        <v>666</v>
      </c>
      <c r="C14" t="s">
        <v>0</v>
      </c>
      <c r="D14" s="123">
        <v>1</v>
      </c>
      <c r="E14" s="120">
        <v>1.1745000000000001</v>
      </c>
    </row>
    <row r="15" spans="1:9">
      <c r="A15" t="s">
        <v>104</v>
      </c>
      <c r="B15" t="s">
        <v>666</v>
      </c>
      <c r="C15" t="s">
        <v>103</v>
      </c>
      <c r="D15" s="123">
        <v>1</v>
      </c>
      <c r="E15" s="120">
        <v>2.4300000000000002</v>
      </c>
    </row>
    <row r="16" spans="1:9">
      <c r="A16" t="s">
        <v>104</v>
      </c>
      <c r="B16" t="s">
        <v>371</v>
      </c>
      <c r="D16" s="123"/>
      <c r="E16" s="120"/>
    </row>
    <row r="17" spans="1:5">
      <c r="A17" t="s">
        <v>104</v>
      </c>
      <c r="B17" t="s">
        <v>665</v>
      </c>
      <c r="C17" t="s">
        <v>421</v>
      </c>
      <c r="D17" s="123">
        <v>260</v>
      </c>
      <c r="E17" s="120">
        <v>14.04</v>
      </c>
    </row>
    <row r="18" spans="1:5">
      <c r="A18" t="s">
        <v>104</v>
      </c>
      <c r="B18" t="s">
        <v>665</v>
      </c>
      <c r="C18" t="s">
        <v>577</v>
      </c>
      <c r="D18" s="123">
        <v>5</v>
      </c>
      <c r="E18" s="120">
        <v>13</v>
      </c>
    </row>
    <row r="19" spans="1:5">
      <c r="A19" t="s">
        <v>104</v>
      </c>
      <c r="B19" t="s">
        <v>665</v>
      </c>
      <c r="C19" t="s">
        <v>500</v>
      </c>
      <c r="D19" s="123">
        <v>5</v>
      </c>
      <c r="E19" s="120">
        <v>0.41600000000000004</v>
      </c>
    </row>
    <row r="20" spans="1:5">
      <c r="A20" t="s">
        <v>104</v>
      </c>
      <c r="B20" t="s">
        <v>665</v>
      </c>
      <c r="C20" t="s">
        <v>0</v>
      </c>
      <c r="D20" s="123">
        <v>4</v>
      </c>
      <c r="E20" s="120">
        <v>3.3929999999999998</v>
      </c>
    </row>
    <row r="21" spans="1:5">
      <c r="A21" t="s">
        <v>104</v>
      </c>
      <c r="B21" t="s">
        <v>665</v>
      </c>
      <c r="C21" t="s">
        <v>103</v>
      </c>
      <c r="D21" s="123">
        <v>4</v>
      </c>
      <c r="E21" s="120">
        <v>7.02</v>
      </c>
    </row>
    <row r="22" spans="1:5">
      <c r="A22" t="s">
        <v>104</v>
      </c>
      <c r="B22" t="s">
        <v>665</v>
      </c>
      <c r="C22" t="s">
        <v>411</v>
      </c>
      <c r="D22" s="123">
        <v>0</v>
      </c>
      <c r="E22" s="120">
        <v>2.625</v>
      </c>
    </row>
    <row r="23" spans="1:5">
      <c r="A23" t="s">
        <v>104</v>
      </c>
      <c r="B23" t="s">
        <v>665</v>
      </c>
      <c r="C23" t="s">
        <v>352</v>
      </c>
      <c r="D23" s="123">
        <v>5</v>
      </c>
      <c r="E23" s="120">
        <v>8.32</v>
      </c>
    </row>
    <row r="24" spans="1:5">
      <c r="A24" t="s">
        <v>104</v>
      </c>
      <c r="B24" t="s">
        <v>665</v>
      </c>
      <c r="C24" t="s">
        <v>292</v>
      </c>
      <c r="D24" s="123">
        <v>150</v>
      </c>
      <c r="E24" s="120">
        <v>7.2</v>
      </c>
    </row>
    <row r="25" spans="1:5">
      <c r="A25" t="s">
        <v>104</v>
      </c>
      <c r="B25" t="s">
        <v>665</v>
      </c>
      <c r="C25" t="s">
        <v>574</v>
      </c>
      <c r="D25" s="123">
        <v>50</v>
      </c>
      <c r="E25" s="120">
        <v>3.5825000000000005</v>
      </c>
    </row>
    <row r="26" spans="1:5">
      <c r="A26" t="s">
        <v>104</v>
      </c>
      <c r="B26" t="s">
        <v>371</v>
      </c>
      <c r="D26" s="123"/>
      <c r="E26" s="120"/>
    </row>
    <row r="27" spans="1:5">
      <c r="A27" t="s">
        <v>104</v>
      </c>
      <c r="B27" t="s">
        <v>664</v>
      </c>
      <c r="C27" t="s">
        <v>543</v>
      </c>
      <c r="D27" s="123">
        <v>80</v>
      </c>
      <c r="E27" s="120">
        <v>23.164000000000001</v>
      </c>
    </row>
    <row r="28" spans="1:5">
      <c r="A28" t="s">
        <v>104</v>
      </c>
      <c r="B28" t="s">
        <v>664</v>
      </c>
      <c r="C28" t="s">
        <v>524</v>
      </c>
      <c r="D28" s="123">
        <v>48</v>
      </c>
      <c r="E28" s="120">
        <v>10.56</v>
      </c>
    </row>
    <row r="29" spans="1:5">
      <c r="A29" t="s">
        <v>104</v>
      </c>
      <c r="B29" t="s">
        <v>664</v>
      </c>
      <c r="C29" t="s">
        <v>292</v>
      </c>
      <c r="D29" s="123">
        <v>150</v>
      </c>
      <c r="E29" s="120">
        <v>7.2</v>
      </c>
    </row>
    <row r="30" spans="1:5">
      <c r="A30" t="s">
        <v>104</v>
      </c>
      <c r="B30" t="s">
        <v>664</v>
      </c>
      <c r="C30" t="s">
        <v>576</v>
      </c>
      <c r="D30" s="123">
        <v>20</v>
      </c>
      <c r="E30" s="120">
        <v>0.4</v>
      </c>
    </row>
    <row r="31" spans="1:5">
      <c r="A31" t="s">
        <v>104</v>
      </c>
      <c r="B31" t="s">
        <v>664</v>
      </c>
      <c r="C31" t="s">
        <v>574</v>
      </c>
      <c r="D31" s="123">
        <v>50</v>
      </c>
      <c r="E31" s="120">
        <v>3.5825000000000005</v>
      </c>
    </row>
    <row r="32" spans="1:5">
      <c r="B32" t="s">
        <v>371</v>
      </c>
      <c r="D32" s="123"/>
      <c r="E32" s="120"/>
    </row>
    <row r="33" spans="1:5">
      <c r="A33" t="s">
        <v>100</v>
      </c>
      <c r="B33" t="s">
        <v>584</v>
      </c>
      <c r="C33" t="s">
        <v>40</v>
      </c>
      <c r="D33" s="123">
        <v>666.66666666666674</v>
      </c>
      <c r="E33" s="120">
        <v>21.333333333333336</v>
      </c>
    </row>
    <row r="34" spans="1:5">
      <c r="A34" t="s">
        <v>100</v>
      </c>
      <c r="B34" t="s">
        <v>584</v>
      </c>
      <c r="C34" t="s">
        <v>380</v>
      </c>
      <c r="D34" s="123">
        <v>200</v>
      </c>
      <c r="E34" s="120">
        <v>106.66600000000001</v>
      </c>
    </row>
    <row r="35" spans="1:5">
      <c r="A35" t="s">
        <v>100</v>
      </c>
      <c r="B35" t="s">
        <v>584</v>
      </c>
      <c r="C35" t="s">
        <v>101</v>
      </c>
      <c r="D35" s="123">
        <v>100</v>
      </c>
      <c r="E35" s="120">
        <v>0</v>
      </c>
    </row>
    <row r="36" spans="1:5">
      <c r="A36" t="s">
        <v>100</v>
      </c>
      <c r="B36" t="s">
        <v>584</v>
      </c>
      <c r="C36" t="s">
        <v>355</v>
      </c>
      <c r="D36" s="123">
        <v>4</v>
      </c>
      <c r="E36" s="120">
        <v>0.64</v>
      </c>
    </row>
    <row r="37" spans="1:5">
      <c r="A37" t="s">
        <v>100</v>
      </c>
      <c r="B37" t="s">
        <v>584</v>
      </c>
      <c r="C37" t="s">
        <v>512</v>
      </c>
      <c r="D37" s="123">
        <v>1000</v>
      </c>
      <c r="E37" s="120">
        <v>50</v>
      </c>
    </row>
    <row r="38" spans="1:5">
      <c r="B38" t="s">
        <v>371</v>
      </c>
      <c r="C38" t="s">
        <v>371</v>
      </c>
      <c r="D38" s="123"/>
      <c r="E38" s="120"/>
    </row>
    <row r="39" spans="1:5">
      <c r="A39" t="s">
        <v>100</v>
      </c>
      <c r="B39" t="s">
        <v>585</v>
      </c>
      <c r="C39" t="s">
        <v>40</v>
      </c>
      <c r="D39" s="123">
        <v>666.66666666666663</v>
      </c>
      <c r="E39" s="120">
        <v>21.333333333333332</v>
      </c>
    </row>
    <row r="40" spans="1:5">
      <c r="A40" t="s">
        <v>100</v>
      </c>
      <c r="B40" t="s">
        <v>585</v>
      </c>
      <c r="C40" t="s">
        <v>380</v>
      </c>
      <c r="D40" s="123">
        <v>200</v>
      </c>
      <c r="E40" s="120">
        <v>106.66600000000001</v>
      </c>
    </row>
    <row r="41" spans="1:5">
      <c r="A41" t="s">
        <v>100</v>
      </c>
      <c r="B41" t="s">
        <v>585</v>
      </c>
      <c r="C41" t="s">
        <v>59</v>
      </c>
      <c r="D41" s="123">
        <v>833.33333333333337</v>
      </c>
      <c r="E41" s="120">
        <v>58.333333333333343</v>
      </c>
    </row>
    <row r="42" spans="1:5">
      <c r="A42" t="s">
        <v>100</v>
      </c>
      <c r="B42" t="s">
        <v>585</v>
      </c>
      <c r="C42" t="s">
        <v>101</v>
      </c>
      <c r="D42" s="123">
        <v>100</v>
      </c>
      <c r="E42" s="120">
        <v>0</v>
      </c>
    </row>
    <row r="43" spans="1:5">
      <c r="A43" t="s">
        <v>100</v>
      </c>
      <c r="B43" t="s">
        <v>371</v>
      </c>
      <c r="C43" t="s">
        <v>371</v>
      </c>
      <c r="D43" s="123"/>
      <c r="E43" s="120"/>
    </row>
    <row r="44" spans="1:5">
      <c r="A44" t="s">
        <v>100</v>
      </c>
      <c r="B44" t="s">
        <v>586</v>
      </c>
      <c r="C44" t="s">
        <v>420</v>
      </c>
      <c r="D44" s="123">
        <v>3240</v>
      </c>
      <c r="E44" s="120">
        <v>213.84</v>
      </c>
    </row>
    <row r="45" spans="1:5">
      <c r="A45" t="s">
        <v>100</v>
      </c>
      <c r="B45" t="s">
        <v>586</v>
      </c>
      <c r="C45" t="s">
        <v>653</v>
      </c>
      <c r="D45" s="123">
        <v>1.3513513513513513</v>
      </c>
      <c r="E45" s="120">
        <v>1.0810810810810811</v>
      </c>
    </row>
    <row r="46" spans="1:5">
      <c r="A46" t="s">
        <v>100</v>
      </c>
      <c r="B46" t="s">
        <v>586</v>
      </c>
      <c r="C46" t="s">
        <v>512</v>
      </c>
      <c r="D46" s="123">
        <v>151.35135135135135</v>
      </c>
      <c r="E46" s="120">
        <v>7.5675675675675684</v>
      </c>
    </row>
    <row r="47" spans="1:5">
      <c r="A47" t="s">
        <v>100</v>
      </c>
      <c r="B47" t="s">
        <v>371</v>
      </c>
      <c r="C47" t="s">
        <v>371</v>
      </c>
      <c r="D47" s="123"/>
      <c r="E47" s="120"/>
    </row>
    <row r="48" spans="1:5">
      <c r="A48" t="s">
        <v>100</v>
      </c>
      <c r="B48" t="s">
        <v>587</v>
      </c>
      <c r="C48" t="s">
        <v>122</v>
      </c>
      <c r="D48" s="123">
        <v>750</v>
      </c>
      <c r="E48" s="120">
        <v>210.00000000000003</v>
      </c>
    </row>
    <row r="49" spans="1:5">
      <c r="A49" t="s">
        <v>100</v>
      </c>
      <c r="B49" t="s">
        <v>587</v>
      </c>
      <c r="C49" t="s">
        <v>512</v>
      </c>
      <c r="D49" s="123">
        <v>208.33333333333334</v>
      </c>
      <c r="E49" s="120">
        <v>10.416666666666668</v>
      </c>
    </row>
    <row r="50" spans="1:5">
      <c r="A50" t="s">
        <v>100</v>
      </c>
      <c r="B50" t="s">
        <v>587</v>
      </c>
      <c r="C50" t="s">
        <v>380</v>
      </c>
      <c r="D50" s="123">
        <v>33.333333333333336</v>
      </c>
      <c r="E50" s="120">
        <v>17.777666666666672</v>
      </c>
    </row>
    <row r="51" spans="1:5">
      <c r="A51" t="s">
        <v>100</v>
      </c>
      <c r="B51" t="s">
        <v>587</v>
      </c>
      <c r="C51" t="s">
        <v>103</v>
      </c>
      <c r="D51" s="123">
        <v>25</v>
      </c>
      <c r="E51" s="120">
        <v>45</v>
      </c>
    </row>
    <row r="52" spans="1:5">
      <c r="A52" t="s">
        <v>100</v>
      </c>
      <c r="B52" t="s">
        <v>587</v>
      </c>
      <c r="C52" t="s">
        <v>581</v>
      </c>
      <c r="D52" s="123">
        <v>8.3333333333333339</v>
      </c>
      <c r="E52" s="120">
        <v>16.666666666666668</v>
      </c>
    </row>
    <row r="53" spans="1:5">
      <c r="A53" t="s">
        <v>100</v>
      </c>
      <c r="B53" t="s">
        <v>371</v>
      </c>
      <c r="C53" t="s">
        <v>371</v>
      </c>
      <c r="D53" s="123"/>
      <c r="E53" s="120"/>
    </row>
    <row r="54" spans="1:5">
      <c r="A54" t="s">
        <v>100</v>
      </c>
      <c r="B54" t="s">
        <v>588</v>
      </c>
      <c r="C54" t="s">
        <v>122</v>
      </c>
      <c r="D54" s="123">
        <v>762.71186440677957</v>
      </c>
      <c r="E54" s="120">
        <v>213.5593220338983</v>
      </c>
    </row>
    <row r="55" spans="1:5">
      <c r="A55" t="s">
        <v>100</v>
      </c>
      <c r="B55" t="s">
        <v>588</v>
      </c>
      <c r="C55" t="s">
        <v>512</v>
      </c>
      <c r="D55" s="123">
        <v>211.86440677966101</v>
      </c>
      <c r="E55" s="120">
        <v>10.593220338983052</v>
      </c>
    </row>
    <row r="56" spans="1:5">
      <c r="A56" t="s">
        <v>100</v>
      </c>
      <c r="B56" t="s">
        <v>588</v>
      </c>
      <c r="C56" t="s">
        <v>380</v>
      </c>
      <c r="D56" s="123">
        <v>33.898305084745758</v>
      </c>
      <c r="E56" s="120">
        <v>18.078983050847459</v>
      </c>
    </row>
    <row r="57" spans="1:5">
      <c r="A57" t="s">
        <v>100</v>
      </c>
      <c r="B57" t="s">
        <v>588</v>
      </c>
      <c r="C57" t="s">
        <v>581</v>
      </c>
      <c r="D57" s="123">
        <v>8.4745762711864394</v>
      </c>
      <c r="E57" s="120">
        <v>16.949152542372879</v>
      </c>
    </row>
    <row r="58" spans="1:5">
      <c r="A58" t="s">
        <v>100</v>
      </c>
      <c r="B58" t="s">
        <v>588</v>
      </c>
      <c r="C58" t="s">
        <v>418</v>
      </c>
      <c r="D58" s="123">
        <v>3.33</v>
      </c>
      <c r="E58" s="120">
        <v>233.1</v>
      </c>
    </row>
    <row r="59" spans="1:5">
      <c r="A59" t="s">
        <v>100</v>
      </c>
      <c r="B59" t="s">
        <v>371</v>
      </c>
      <c r="C59" t="s">
        <v>371</v>
      </c>
      <c r="D59" s="123"/>
      <c r="E59" s="120"/>
    </row>
    <row r="60" spans="1:5">
      <c r="A60" t="s">
        <v>100</v>
      </c>
      <c r="B60" t="s">
        <v>589</v>
      </c>
      <c r="C60" t="s">
        <v>122</v>
      </c>
      <c r="D60" s="123">
        <v>800</v>
      </c>
      <c r="E60" s="120">
        <v>224.00000000000003</v>
      </c>
    </row>
    <row r="61" spans="1:5">
      <c r="A61" t="s">
        <v>100</v>
      </c>
      <c r="B61" t="s">
        <v>589</v>
      </c>
      <c r="C61" t="s">
        <v>503</v>
      </c>
      <c r="D61" s="123">
        <v>8</v>
      </c>
      <c r="E61" s="120">
        <v>3.44</v>
      </c>
    </row>
    <row r="62" spans="1:5">
      <c r="A62" t="s">
        <v>100</v>
      </c>
      <c r="B62" t="s">
        <v>589</v>
      </c>
      <c r="C62" t="s">
        <v>512</v>
      </c>
      <c r="D62" s="123">
        <v>240</v>
      </c>
      <c r="E62" s="120">
        <v>12</v>
      </c>
    </row>
    <row r="63" spans="1:5">
      <c r="A63" t="s">
        <v>100</v>
      </c>
      <c r="B63" t="s">
        <v>589</v>
      </c>
      <c r="C63" t="s">
        <v>418</v>
      </c>
      <c r="D63" s="123">
        <v>2.25</v>
      </c>
      <c r="E63" s="120">
        <v>157.5</v>
      </c>
    </row>
    <row r="64" spans="1:5">
      <c r="A64" t="s">
        <v>100</v>
      </c>
      <c r="B64" t="s">
        <v>371</v>
      </c>
      <c r="C64" t="s">
        <v>371</v>
      </c>
      <c r="D64" s="123"/>
      <c r="E64" s="120"/>
    </row>
    <row r="65" spans="1:5">
      <c r="A65" t="s">
        <v>100</v>
      </c>
      <c r="B65" t="s">
        <v>371</v>
      </c>
      <c r="C65" t="s">
        <v>371</v>
      </c>
      <c r="D65" s="123"/>
      <c r="E65" s="120"/>
    </row>
    <row r="66" spans="1:5">
      <c r="A66" t="s">
        <v>100</v>
      </c>
      <c r="B66" t="s">
        <v>590</v>
      </c>
      <c r="C66" t="s">
        <v>122</v>
      </c>
      <c r="D66" s="123">
        <v>714.28571428571433</v>
      </c>
      <c r="E66" s="120">
        <v>200.00000000000003</v>
      </c>
    </row>
    <row r="67" spans="1:5">
      <c r="A67" t="s">
        <v>100</v>
      </c>
      <c r="B67" t="s">
        <v>590</v>
      </c>
      <c r="C67" t="s">
        <v>496</v>
      </c>
      <c r="D67" s="123">
        <v>71.428571428571431</v>
      </c>
      <c r="E67" s="120">
        <v>11.428571428571429</v>
      </c>
    </row>
    <row r="68" spans="1:5">
      <c r="A68" t="s">
        <v>100</v>
      </c>
      <c r="B68" t="s">
        <v>590</v>
      </c>
      <c r="C68" t="s">
        <v>512</v>
      </c>
      <c r="D68" s="123">
        <v>214.28571428571428</v>
      </c>
      <c r="E68" s="120">
        <v>10.714285714285715</v>
      </c>
    </row>
    <row r="69" spans="1:5">
      <c r="A69" t="s">
        <v>100</v>
      </c>
      <c r="B69" t="s">
        <v>590</v>
      </c>
      <c r="C69" t="s">
        <v>380</v>
      </c>
      <c r="D69" s="123">
        <v>57.142857142857146</v>
      </c>
      <c r="E69" s="120">
        <v>30.476000000000006</v>
      </c>
    </row>
    <row r="70" spans="1:5">
      <c r="A70" t="s">
        <v>100</v>
      </c>
      <c r="B70" t="s">
        <v>590</v>
      </c>
      <c r="C70" t="s">
        <v>418</v>
      </c>
      <c r="D70" s="123">
        <v>1.56</v>
      </c>
      <c r="E70" s="120">
        <v>109.2</v>
      </c>
    </row>
    <row r="71" spans="1:5">
      <c r="A71" t="s">
        <v>100</v>
      </c>
      <c r="B71" t="s">
        <v>371</v>
      </c>
      <c r="C71" t="s">
        <v>371</v>
      </c>
      <c r="D71" s="123"/>
      <c r="E71" s="120"/>
    </row>
    <row r="72" spans="1:5">
      <c r="A72" t="s">
        <v>100</v>
      </c>
      <c r="B72" t="s">
        <v>436</v>
      </c>
      <c r="C72" t="s">
        <v>414</v>
      </c>
      <c r="D72" s="123">
        <v>571.42857142857144</v>
      </c>
      <c r="E72" s="120">
        <v>291.42857142857144</v>
      </c>
    </row>
    <row r="73" spans="1:5">
      <c r="A73" t="s">
        <v>100</v>
      </c>
      <c r="B73" t="s">
        <v>436</v>
      </c>
      <c r="C73" t="s">
        <v>512</v>
      </c>
      <c r="D73" s="123">
        <v>571.42857142857144</v>
      </c>
      <c r="E73" s="120">
        <v>28.571428571428573</v>
      </c>
    </row>
    <row r="74" spans="1:5">
      <c r="A74" t="s">
        <v>100</v>
      </c>
      <c r="B74" t="s">
        <v>436</v>
      </c>
      <c r="C74" t="s">
        <v>418</v>
      </c>
      <c r="D74" s="123">
        <v>3.5</v>
      </c>
      <c r="E74" s="120">
        <v>245</v>
      </c>
    </row>
    <row r="75" spans="1:5">
      <c r="A75" t="s">
        <v>100</v>
      </c>
      <c r="B75" t="s">
        <v>371</v>
      </c>
      <c r="C75" t="s">
        <v>371</v>
      </c>
      <c r="D75" s="123"/>
      <c r="E75" s="120"/>
    </row>
    <row r="76" spans="1:5">
      <c r="A76" t="s">
        <v>100</v>
      </c>
      <c r="B76" t="s">
        <v>371</v>
      </c>
      <c r="C76" t="s">
        <v>371</v>
      </c>
      <c r="D76" s="123"/>
      <c r="E76" s="120"/>
    </row>
    <row r="77" spans="1:5">
      <c r="A77" t="s">
        <v>100</v>
      </c>
      <c r="B77" t="s">
        <v>591</v>
      </c>
      <c r="C77" t="s">
        <v>40</v>
      </c>
      <c r="D77" s="123">
        <v>160</v>
      </c>
      <c r="E77" s="120">
        <v>5.12</v>
      </c>
    </row>
    <row r="78" spans="1:5">
      <c r="A78" t="s">
        <v>100</v>
      </c>
      <c r="B78" t="s">
        <v>591</v>
      </c>
      <c r="C78" t="s">
        <v>24</v>
      </c>
      <c r="D78" s="123">
        <v>160</v>
      </c>
      <c r="E78" s="120">
        <v>11.200000000000001</v>
      </c>
    </row>
    <row r="79" spans="1:5">
      <c r="A79" t="s">
        <v>100</v>
      </c>
      <c r="B79" t="s">
        <v>591</v>
      </c>
      <c r="C79" t="s">
        <v>380</v>
      </c>
      <c r="D79" s="123">
        <v>320</v>
      </c>
      <c r="E79" s="120">
        <v>170.66560000000004</v>
      </c>
    </row>
    <row r="80" spans="1:5">
      <c r="A80" t="s">
        <v>100</v>
      </c>
      <c r="B80" t="s">
        <v>591</v>
      </c>
      <c r="C80" t="s">
        <v>512</v>
      </c>
      <c r="D80" s="123">
        <v>400</v>
      </c>
      <c r="E80" s="120">
        <v>20</v>
      </c>
    </row>
    <row r="81" spans="1:5">
      <c r="A81" t="s">
        <v>100</v>
      </c>
      <c r="B81" t="s">
        <v>591</v>
      </c>
      <c r="C81" t="s">
        <v>0</v>
      </c>
      <c r="D81" s="123">
        <v>11.2</v>
      </c>
      <c r="E81" s="120">
        <v>9.7439999999999998</v>
      </c>
    </row>
    <row r="82" spans="1:5">
      <c r="A82" t="s">
        <v>100</v>
      </c>
      <c r="B82" t="s">
        <v>591</v>
      </c>
      <c r="C82" t="s">
        <v>103</v>
      </c>
      <c r="D82" s="123">
        <v>11.2</v>
      </c>
      <c r="E82" s="120">
        <v>20.16</v>
      </c>
    </row>
    <row r="83" spans="1:5">
      <c r="A83" t="s">
        <v>100</v>
      </c>
      <c r="B83" t="s">
        <v>591</v>
      </c>
      <c r="C83" t="s">
        <v>60</v>
      </c>
      <c r="D83" s="123">
        <v>8</v>
      </c>
      <c r="E83" s="120">
        <v>10.8</v>
      </c>
    </row>
    <row r="84" spans="1:5">
      <c r="A84" t="s">
        <v>100</v>
      </c>
      <c r="B84" t="s">
        <v>591</v>
      </c>
      <c r="C84" t="s">
        <v>11</v>
      </c>
      <c r="D84" s="123">
        <v>8</v>
      </c>
      <c r="E84" s="120">
        <v>5.68</v>
      </c>
    </row>
    <row r="85" spans="1:5">
      <c r="A85" t="s">
        <v>100</v>
      </c>
      <c r="B85" t="s">
        <v>591</v>
      </c>
      <c r="C85" t="s">
        <v>418</v>
      </c>
      <c r="D85" s="123">
        <v>2.5</v>
      </c>
      <c r="E85" s="120">
        <v>175</v>
      </c>
    </row>
    <row r="86" spans="1:5">
      <c r="A86" t="s">
        <v>100</v>
      </c>
      <c r="B86" t="s">
        <v>371</v>
      </c>
      <c r="C86" t="s">
        <v>371</v>
      </c>
      <c r="D86" s="123"/>
      <c r="E86" s="120"/>
    </row>
    <row r="87" spans="1:5">
      <c r="A87" t="s">
        <v>100</v>
      </c>
      <c r="B87" t="s">
        <v>592</v>
      </c>
      <c r="C87" t="s">
        <v>420</v>
      </c>
      <c r="D87" s="123">
        <v>2850</v>
      </c>
      <c r="E87" s="120">
        <v>188.10000000000002</v>
      </c>
    </row>
    <row r="88" spans="1:5">
      <c r="A88" t="s">
        <v>100</v>
      </c>
      <c r="B88" t="s">
        <v>592</v>
      </c>
      <c r="C88" t="s">
        <v>512</v>
      </c>
      <c r="D88" s="123">
        <v>285</v>
      </c>
      <c r="E88" s="120">
        <v>14.25</v>
      </c>
    </row>
    <row r="89" spans="1:5">
      <c r="A89" t="s">
        <v>100</v>
      </c>
      <c r="B89" t="s">
        <v>371</v>
      </c>
      <c r="C89" t="s">
        <v>371</v>
      </c>
      <c r="D89" s="123"/>
      <c r="E89" s="120"/>
    </row>
    <row r="90" spans="1:5">
      <c r="A90" t="s">
        <v>100</v>
      </c>
      <c r="B90" t="s">
        <v>105</v>
      </c>
      <c r="C90" t="s">
        <v>39</v>
      </c>
      <c r="D90" s="123">
        <v>10.16260162601626</v>
      </c>
      <c r="E90" s="120">
        <v>0.35569105691056913</v>
      </c>
    </row>
    <row r="91" spans="1:5">
      <c r="A91" t="s">
        <v>100</v>
      </c>
      <c r="B91" t="s">
        <v>105</v>
      </c>
      <c r="C91" t="s">
        <v>512</v>
      </c>
      <c r="D91" s="123">
        <v>30</v>
      </c>
      <c r="E91" s="120">
        <v>1.5</v>
      </c>
    </row>
    <row r="92" spans="1:5">
      <c r="A92" t="s">
        <v>100</v>
      </c>
      <c r="B92" t="s">
        <v>105</v>
      </c>
      <c r="C92" t="s">
        <v>380</v>
      </c>
      <c r="D92" s="123">
        <v>12.195121951219512</v>
      </c>
      <c r="E92" s="120">
        <v>6.5040243902439032</v>
      </c>
    </row>
    <row r="93" spans="1:5">
      <c r="A93" t="s">
        <v>100</v>
      </c>
      <c r="B93" t="s">
        <v>105</v>
      </c>
      <c r="C93" t="s">
        <v>40</v>
      </c>
      <c r="D93" s="123">
        <v>2.0325203252032518</v>
      </c>
      <c r="E93" s="120">
        <v>6.5040650406504058E-2</v>
      </c>
    </row>
    <row r="94" spans="1:5">
      <c r="A94" t="s">
        <v>100</v>
      </c>
      <c r="B94" t="s">
        <v>105</v>
      </c>
      <c r="C94" t="s">
        <v>384</v>
      </c>
      <c r="D94" s="123">
        <v>0.50813008130081294</v>
      </c>
      <c r="E94" s="120">
        <v>1.7784552845528455E-2</v>
      </c>
    </row>
    <row r="95" spans="1:5">
      <c r="A95" t="s">
        <v>100</v>
      </c>
      <c r="B95" t="s">
        <v>105</v>
      </c>
      <c r="C95" t="s">
        <v>581</v>
      </c>
      <c r="D95" s="123">
        <v>0.10162601626016261</v>
      </c>
      <c r="E95" s="120">
        <v>0.20325203252032523</v>
      </c>
    </row>
    <row r="96" spans="1:5">
      <c r="A96" t="s">
        <v>100</v>
      </c>
      <c r="B96" t="s">
        <v>105</v>
      </c>
      <c r="C96" t="s">
        <v>355</v>
      </c>
      <c r="D96" s="123">
        <v>2.4390243902439025E-2</v>
      </c>
      <c r="E96" s="120">
        <v>3.9024390243902443E-3</v>
      </c>
    </row>
    <row r="97" spans="1:5">
      <c r="A97" t="s">
        <v>100</v>
      </c>
      <c r="B97" t="s">
        <v>105</v>
      </c>
      <c r="C97" t="s">
        <v>356</v>
      </c>
      <c r="D97" s="123">
        <v>4.0650406504065036E-3</v>
      </c>
      <c r="E97" s="120">
        <v>5.2845528455284553E-4</v>
      </c>
    </row>
    <row r="98" spans="1:5">
      <c r="A98" t="s">
        <v>100</v>
      </c>
      <c r="B98" t="s">
        <v>105</v>
      </c>
      <c r="C98" t="s">
        <v>17</v>
      </c>
      <c r="D98" s="123">
        <v>4.0650406504065035</v>
      </c>
      <c r="E98" s="120">
        <v>1.097560975609756</v>
      </c>
    </row>
    <row r="99" spans="1:5">
      <c r="A99" t="s">
        <v>100</v>
      </c>
      <c r="B99" t="s">
        <v>371</v>
      </c>
      <c r="C99" t="s">
        <v>371</v>
      </c>
      <c r="D99" s="123"/>
      <c r="E99" s="120"/>
    </row>
    <row r="100" spans="1:5">
      <c r="A100" t="s">
        <v>100</v>
      </c>
      <c r="B100" t="s">
        <v>371</v>
      </c>
      <c r="C100" t="s">
        <v>371</v>
      </c>
      <c r="D100" s="123"/>
      <c r="E100" s="120"/>
    </row>
    <row r="101" spans="1:5">
      <c r="A101" t="s">
        <v>100</v>
      </c>
      <c r="B101" t="s">
        <v>593</v>
      </c>
      <c r="C101" t="s">
        <v>420</v>
      </c>
      <c r="D101" s="123">
        <v>190</v>
      </c>
      <c r="E101" s="120">
        <v>12.540000000000001</v>
      </c>
    </row>
    <row r="102" spans="1:5">
      <c r="A102" t="s">
        <v>100</v>
      </c>
      <c r="B102" t="s">
        <v>593</v>
      </c>
      <c r="C102" t="s">
        <v>512</v>
      </c>
      <c r="D102" s="123">
        <v>60</v>
      </c>
      <c r="E102" s="120">
        <v>3</v>
      </c>
    </row>
    <row r="103" spans="1:5">
      <c r="A103" t="s">
        <v>100</v>
      </c>
      <c r="B103" t="s">
        <v>371</v>
      </c>
      <c r="C103" t="s">
        <v>371</v>
      </c>
      <c r="D103" s="123"/>
      <c r="E103" s="120"/>
    </row>
    <row r="104" spans="1:5">
      <c r="A104" t="s">
        <v>100</v>
      </c>
      <c r="B104" t="s">
        <v>106</v>
      </c>
      <c r="C104" t="s">
        <v>40</v>
      </c>
      <c r="D104" s="123">
        <v>19.23076923076923</v>
      </c>
      <c r="E104" s="120">
        <v>0.61538461538461542</v>
      </c>
    </row>
    <row r="105" spans="1:5">
      <c r="A105" t="s">
        <v>100</v>
      </c>
      <c r="B105" t="s">
        <v>106</v>
      </c>
      <c r="C105" t="s">
        <v>380</v>
      </c>
      <c r="D105" s="123">
        <v>5.7692307692307692</v>
      </c>
      <c r="E105" s="120">
        <v>3.0769038461538467</v>
      </c>
    </row>
    <row r="106" spans="1:5">
      <c r="A106" t="s">
        <v>100</v>
      </c>
      <c r="B106" t="s">
        <v>106</v>
      </c>
      <c r="C106" t="s">
        <v>355</v>
      </c>
      <c r="D106" s="123">
        <v>0.17307692307692307</v>
      </c>
      <c r="E106" s="120">
        <v>2.7692307692307693E-2</v>
      </c>
    </row>
    <row r="107" spans="1:5">
      <c r="A107" t="s">
        <v>100</v>
      </c>
      <c r="B107" t="s">
        <v>106</v>
      </c>
      <c r="C107" t="s">
        <v>356</v>
      </c>
      <c r="D107" s="123">
        <v>4.807692307692308E-3</v>
      </c>
      <c r="E107" s="120">
        <v>6.2500000000000001E-4</v>
      </c>
    </row>
    <row r="108" spans="1:5">
      <c r="A108" t="s">
        <v>100</v>
      </c>
      <c r="B108" t="s">
        <v>106</v>
      </c>
      <c r="C108" t="s">
        <v>512</v>
      </c>
      <c r="D108" s="123">
        <v>52.884615384615387</v>
      </c>
      <c r="E108" s="120">
        <v>2.6442307692307696</v>
      </c>
    </row>
    <row r="109" spans="1:5">
      <c r="A109" t="s">
        <v>100</v>
      </c>
      <c r="B109" t="s">
        <v>371</v>
      </c>
      <c r="C109" t="s">
        <v>371</v>
      </c>
      <c r="D109" s="123"/>
      <c r="E109" s="120"/>
    </row>
    <row r="110" spans="1:5">
      <c r="A110" t="s">
        <v>100</v>
      </c>
      <c r="B110" t="s">
        <v>102</v>
      </c>
      <c r="C110" t="s">
        <v>40</v>
      </c>
      <c r="D110" s="123">
        <v>15.384615384615385</v>
      </c>
      <c r="E110" s="120">
        <v>0.49230769230769234</v>
      </c>
    </row>
    <row r="111" spans="1:5">
      <c r="A111" t="s">
        <v>100</v>
      </c>
      <c r="B111" t="s">
        <v>102</v>
      </c>
      <c r="C111" t="s">
        <v>122</v>
      </c>
      <c r="D111" s="123">
        <v>23.076923076923077</v>
      </c>
      <c r="E111" s="120">
        <v>6.4615384615384617</v>
      </c>
    </row>
    <row r="112" spans="1:5">
      <c r="A112" t="s">
        <v>100</v>
      </c>
      <c r="B112" t="s">
        <v>102</v>
      </c>
      <c r="C112" t="s">
        <v>14</v>
      </c>
      <c r="D112" s="123">
        <v>4.615384615384615</v>
      </c>
      <c r="E112" s="120">
        <v>147.69230769230768</v>
      </c>
    </row>
    <row r="113" spans="1:5">
      <c r="A113" t="s">
        <v>100</v>
      </c>
      <c r="B113" t="s">
        <v>102</v>
      </c>
      <c r="C113" t="s">
        <v>509</v>
      </c>
      <c r="D113" s="123">
        <v>3.8461538461538463</v>
      </c>
      <c r="E113" s="120">
        <v>0.16153846153846155</v>
      </c>
    </row>
    <row r="114" spans="1:5">
      <c r="A114" t="s">
        <v>100</v>
      </c>
      <c r="B114" t="s">
        <v>102</v>
      </c>
      <c r="C114" t="s">
        <v>0</v>
      </c>
      <c r="D114" s="123">
        <v>0.92307692307692313</v>
      </c>
      <c r="E114" s="120">
        <v>0.80307692307692313</v>
      </c>
    </row>
    <row r="115" spans="1:5">
      <c r="A115" t="s">
        <v>100</v>
      </c>
      <c r="B115" t="s">
        <v>102</v>
      </c>
      <c r="C115" t="s">
        <v>103</v>
      </c>
      <c r="D115" s="123">
        <v>0.92307692307692313</v>
      </c>
      <c r="E115" s="120">
        <v>1.6615384615384616</v>
      </c>
    </row>
    <row r="116" spans="1:5">
      <c r="A116" t="s">
        <v>100</v>
      </c>
      <c r="B116" t="s">
        <v>102</v>
      </c>
      <c r="C116" t="s">
        <v>415</v>
      </c>
      <c r="D116" s="123">
        <v>0.76923076923076927</v>
      </c>
      <c r="E116" s="120">
        <v>0.23076923076923078</v>
      </c>
    </row>
    <row r="117" spans="1:5">
      <c r="A117" t="s">
        <v>100</v>
      </c>
      <c r="B117" t="s">
        <v>102</v>
      </c>
      <c r="C117" t="s">
        <v>412</v>
      </c>
      <c r="D117" s="123">
        <v>1.5384615384615385</v>
      </c>
      <c r="E117" s="120">
        <v>1.1384615384615384</v>
      </c>
    </row>
    <row r="118" spans="1:5">
      <c r="A118" t="s">
        <v>100</v>
      </c>
      <c r="B118" t="s">
        <v>102</v>
      </c>
      <c r="C118" t="s">
        <v>380</v>
      </c>
      <c r="D118" s="123">
        <v>3.8461538461538463</v>
      </c>
      <c r="E118" s="120">
        <v>2.0512692307692313</v>
      </c>
    </row>
    <row r="119" spans="1:5">
      <c r="A119" t="s">
        <v>100</v>
      </c>
      <c r="B119" t="s">
        <v>371</v>
      </c>
      <c r="C119" t="s">
        <v>371</v>
      </c>
      <c r="D119" s="123"/>
      <c r="E119" s="120"/>
    </row>
    <row r="120" spans="1:5">
      <c r="A120" t="s">
        <v>100</v>
      </c>
      <c r="B120" t="s">
        <v>594</v>
      </c>
      <c r="C120" t="s">
        <v>380</v>
      </c>
      <c r="D120" s="123">
        <v>209.44444444444443</v>
      </c>
      <c r="E120" s="120">
        <v>111.70300555555556</v>
      </c>
    </row>
    <row r="121" spans="1:5">
      <c r="A121" t="s">
        <v>100</v>
      </c>
      <c r="B121" t="s">
        <v>594</v>
      </c>
      <c r="C121" t="s">
        <v>512</v>
      </c>
      <c r="D121" s="123">
        <v>161.11111111111111</v>
      </c>
      <c r="E121" s="120">
        <v>8.0555555555555554</v>
      </c>
    </row>
    <row r="122" spans="1:5">
      <c r="A122" t="s">
        <v>100</v>
      </c>
      <c r="B122" t="s">
        <v>594</v>
      </c>
      <c r="C122" t="s">
        <v>418</v>
      </c>
      <c r="D122" s="123">
        <v>1.6111111111111109</v>
      </c>
      <c r="E122" s="120">
        <v>112.77777777777777</v>
      </c>
    </row>
    <row r="123" spans="1:5">
      <c r="A123" t="s">
        <v>100</v>
      </c>
      <c r="B123" t="s">
        <v>594</v>
      </c>
      <c r="C123" t="s">
        <v>0</v>
      </c>
      <c r="D123" s="123">
        <v>16.111111111111111</v>
      </c>
      <c r="E123" s="120">
        <v>14.016666666666666</v>
      </c>
    </row>
    <row r="124" spans="1:5">
      <c r="A124" t="s">
        <v>100</v>
      </c>
      <c r="B124" t="s">
        <v>594</v>
      </c>
      <c r="C124" t="s">
        <v>103</v>
      </c>
      <c r="D124" s="123">
        <v>16.111111111111111</v>
      </c>
      <c r="E124" s="120">
        <v>29</v>
      </c>
    </row>
    <row r="125" spans="1:5">
      <c r="A125" t="s">
        <v>100</v>
      </c>
      <c r="B125" t="s">
        <v>594</v>
      </c>
      <c r="C125" t="s">
        <v>40</v>
      </c>
      <c r="D125" s="123">
        <v>161.11111111111111</v>
      </c>
      <c r="E125" s="120">
        <v>5.1555555555555559</v>
      </c>
    </row>
    <row r="126" spans="1:5">
      <c r="A126" t="s">
        <v>100</v>
      </c>
      <c r="B126" t="s">
        <v>594</v>
      </c>
      <c r="C126" t="s">
        <v>101</v>
      </c>
      <c r="D126" s="123">
        <v>128.88888888888889</v>
      </c>
      <c r="E126" s="120">
        <v>0</v>
      </c>
    </row>
    <row r="127" spans="1:5">
      <c r="A127" t="s">
        <v>100</v>
      </c>
      <c r="B127" t="s">
        <v>594</v>
      </c>
      <c r="C127" t="s">
        <v>420</v>
      </c>
      <c r="D127" s="123">
        <v>700</v>
      </c>
      <c r="E127" s="120">
        <v>46.2</v>
      </c>
    </row>
    <row r="128" spans="1:5">
      <c r="A128" t="s">
        <v>100</v>
      </c>
      <c r="B128" t="s">
        <v>371</v>
      </c>
      <c r="C128" t="s">
        <v>371</v>
      </c>
      <c r="D128" s="123"/>
      <c r="E128" s="120"/>
    </row>
    <row r="129" spans="1:5">
      <c r="A129" t="s">
        <v>100</v>
      </c>
      <c r="B129" t="s">
        <v>595</v>
      </c>
      <c r="C129" t="s">
        <v>384</v>
      </c>
      <c r="D129" s="123">
        <v>909.09090909090912</v>
      </c>
      <c r="E129" s="120">
        <v>31.818181818181824</v>
      </c>
    </row>
    <row r="130" spans="1:5">
      <c r="A130" t="s">
        <v>100</v>
      </c>
      <c r="B130" t="s">
        <v>595</v>
      </c>
      <c r="C130" t="s">
        <v>296</v>
      </c>
      <c r="D130" s="123">
        <v>90.909090909090907</v>
      </c>
      <c r="E130" s="120">
        <v>15.363636363636365</v>
      </c>
    </row>
    <row r="131" spans="1:5">
      <c r="A131" t="s">
        <v>100</v>
      </c>
      <c r="B131" t="s">
        <v>595</v>
      </c>
      <c r="C131" t="s">
        <v>40</v>
      </c>
      <c r="D131" s="123">
        <v>13.636363636363637</v>
      </c>
      <c r="E131" s="120">
        <v>0.4363636363636364</v>
      </c>
    </row>
    <row r="132" spans="1:5">
      <c r="A132" t="s">
        <v>100</v>
      </c>
      <c r="B132" t="s">
        <v>595</v>
      </c>
      <c r="C132" t="s">
        <v>508</v>
      </c>
      <c r="D132" s="123">
        <v>6.3636363636363633</v>
      </c>
      <c r="E132" s="120">
        <v>0.30545454545454542</v>
      </c>
    </row>
    <row r="133" spans="1:5">
      <c r="A133" t="s">
        <v>100</v>
      </c>
      <c r="B133" t="s">
        <v>595</v>
      </c>
      <c r="C133" t="s">
        <v>103</v>
      </c>
      <c r="D133" s="123">
        <v>2.2727272727272729</v>
      </c>
      <c r="E133" s="120">
        <v>4.0909090909090917</v>
      </c>
    </row>
    <row r="134" spans="1:5">
      <c r="A134" t="s">
        <v>100</v>
      </c>
      <c r="B134" t="s">
        <v>595</v>
      </c>
      <c r="C134" t="s">
        <v>0</v>
      </c>
      <c r="D134" s="123">
        <v>2.2727272727272729</v>
      </c>
      <c r="E134" s="120">
        <v>1.9772727272727275</v>
      </c>
    </row>
    <row r="135" spans="1:5">
      <c r="A135" t="s">
        <v>100</v>
      </c>
      <c r="B135" t="s">
        <v>595</v>
      </c>
      <c r="C135" t="s">
        <v>411</v>
      </c>
      <c r="D135" s="123">
        <v>4.5454545454545456E-2</v>
      </c>
      <c r="E135" s="120">
        <v>4.7727272727272725</v>
      </c>
    </row>
    <row r="136" spans="1:5">
      <c r="A136" t="s">
        <v>100</v>
      </c>
      <c r="B136" t="s">
        <v>371</v>
      </c>
      <c r="C136" t="s">
        <v>371</v>
      </c>
      <c r="D136" s="123"/>
      <c r="E136" s="120"/>
    </row>
    <row r="137" spans="1:5">
      <c r="A137" t="s">
        <v>100</v>
      </c>
      <c r="B137" t="s">
        <v>596</v>
      </c>
      <c r="C137" t="s">
        <v>0</v>
      </c>
      <c r="D137" s="123">
        <v>8.3333333333333339</v>
      </c>
      <c r="E137" s="120">
        <v>7.2500000000000009</v>
      </c>
    </row>
    <row r="138" spans="1:5">
      <c r="A138" t="s">
        <v>100</v>
      </c>
      <c r="B138" t="s">
        <v>596</v>
      </c>
      <c r="C138" t="s">
        <v>413</v>
      </c>
      <c r="D138" s="123">
        <v>8.3333333333333339</v>
      </c>
      <c r="E138" s="120">
        <v>5.416666666666667</v>
      </c>
    </row>
    <row r="139" spans="1:5">
      <c r="A139" t="s">
        <v>100</v>
      </c>
      <c r="B139" t="s">
        <v>596</v>
      </c>
      <c r="C139" t="s">
        <v>103</v>
      </c>
      <c r="D139" s="123">
        <v>3.3333333333333335</v>
      </c>
      <c r="E139" s="120">
        <v>6</v>
      </c>
    </row>
    <row r="140" spans="1:5">
      <c r="A140" t="s">
        <v>100</v>
      </c>
      <c r="B140" t="s">
        <v>596</v>
      </c>
      <c r="C140" t="s">
        <v>495</v>
      </c>
      <c r="D140" s="123">
        <v>16.666666666666668</v>
      </c>
      <c r="E140" s="120">
        <v>2.3333333333333339</v>
      </c>
    </row>
    <row r="141" spans="1:5">
      <c r="A141" t="s">
        <v>100</v>
      </c>
      <c r="B141" t="s">
        <v>596</v>
      </c>
      <c r="C141" t="s">
        <v>40</v>
      </c>
      <c r="D141" s="123">
        <v>66.666666666666671</v>
      </c>
      <c r="E141" s="120">
        <v>2.1333333333333337</v>
      </c>
    </row>
    <row r="142" spans="1:5">
      <c r="A142" t="s">
        <v>100</v>
      </c>
      <c r="B142" t="s">
        <v>596</v>
      </c>
      <c r="C142" t="s">
        <v>512</v>
      </c>
      <c r="D142" s="123">
        <v>266.66666666666669</v>
      </c>
      <c r="E142" s="120">
        <v>13.333333333333336</v>
      </c>
    </row>
    <row r="143" spans="1:5">
      <c r="A143" t="s">
        <v>100</v>
      </c>
      <c r="B143" t="s">
        <v>596</v>
      </c>
      <c r="C143" t="s">
        <v>101</v>
      </c>
      <c r="D143" s="123">
        <v>1000</v>
      </c>
      <c r="E143" s="120">
        <v>0</v>
      </c>
    </row>
    <row r="144" spans="1:5">
      <c r="A144" t="s">
        <v>100</v>
      </c>
      <c r="B144" t="s">
        <v>596</v>
      </c>
      <c r="C144" t="s">
        <v>380</v>
      </c>
      <c r="D144" s="123">
        <v>1000</v>
      </c>
      <c r="E144" s="120">
        <v>533.33000000000004</v>
      </c>
    </row>
    <row r="145" spans="1:5">
      <c r="A145" t="s">
        <v>100</v>
      </c>
      <c r="B145" t="s">
        <v>371</v>
      </c>
      <c r="C145" t="s">
        <v>371</v>
      </c>
      <c r="D145" s="123"/>
      <c r="E145" s="120"/>
    </row>
    <row r="146" spans="1:5">
      <c r="A146" t="s">
        <v>100</v>
      </c>
      <c r="B146" t="s">
        <v>597</v>
      </c>
      <c r="C146" t="s">
        <v>122</v>
      </c>
      <c r="D146" s="123">
        <v>1000</v>
      </c>
      <c r="E146" s="120">
        <v>280</v>
      </c>
    </row>
    <row r="147" spans="1:5">
      <c r="A147" t="s">
        <v>100</v>
      </c>
      <c r="B147" t="s">
        <v>597</v>
      </c>
      <c r="C147" t="s">
        <v>509</v>
      </c>
      <c r="D147" s="123">
        <v>300</v>
      </c>
      <c r="E147" s="120">
        <v>12.600000000000001</v>
      </c>
    </row>
    <row r="148" spans="1:5">
      <c r="A148" t="s">
        <v>100</v>
      </c>
      <c r="B148" t="s">
        <v>597</v>
      </c>
      <c r="C148" t="s">
        <v>103</v>
      </c>
      <c r="D148" s="123">
        <v>25</v>
      </c>
      <c r="E148" s="120">
        <v>45</v>
      </c>
    </row>
    <row r="149" spans="1:5">
      <c r="A149" t="s">
        <v>100</v>
      </c>
      <c r="B149" t="s">
        <v>597</v>
      </c>
      <c r="C149" t="s">
        <v>0</v>
      </c>
      <c r="D149" s="123">
        <v>25</v>
      </c>
      <c r="E149" s="120">
        <v>21.75</v>
      </c>
    </row>
    <row r="150" spans="1:5">
      <c r="A150" t="s">
        <v>100</v>
      </c>
      <c r="B150" t="s">
        <v>597</v>
      </c>
      <c r="C150" t="s">
        <v>353</v>
      </c>
      <c r="D150" s="123">
        <v>5</v>
      </c>
      <c r="E150" s="120">
        <v>7</v>
      </c>
    </row>
    <row r="151" spans="1:5">
      <c r="A151" t="s">
        <v>100</v>
      </c>
      <c r="B151" t="s">
        <v>597</v>
      </c>
      <c r="C151" t="s">
        <v>581</v>
      </c>
      <c r="D151" s="123">
        <v>5</v>
      </c>
      <c r="E151" s="120">
        <v>10</v>
      </c>
    </row>
    <row r="152" spans="1:5">
      <c r="A152" t="s">
        <v>100</v>
      </c>
      <c r="B152" t="s">
        <v>597</v>
      </c>
      <c r="C152" t="s">
        <v>418</v>
      </c>
      <c r="D152" s="123">
        <v>3</v>
      </c>
      <c r="E152" s="120">
        <v>210</v>
      </c>
    </row>
    <row r="153" spans="1:5">
      <c r="A153" t="s">
        <v>100</v>
      </c>
      <c r="B153" t="s">
        <v>371</v>
      </c>
      <c r="C153" t="s">
        <v>371</v>
      </c>
      <c r="D153" s="123"/>
      <c r="E153" s="120"/>
    </row>
    <row r="154" spans="1:5">
      <c r="A154" t="s">
        <v>100</v>
      </c>
      <c r="B154" t="s">
        <v>371</v>
      </c>
      <c r="C154" t="s">
        <v>371</v>
      </c>
      <c r="D154" s="123"/>
      <c r="E154" s="120"/>
    </row>
    <row r="155" spans="1:5">
      <c r="A155" t="s">
        <v>100</v>
      </c>
      <c r="B155" t="s">
        <v>598</v>
      </c>
      <c r="C155" t="s">
        <v>122</v>
      </c>
      <c r="D155" s="123">
        <v>714.28571428571433</v>
      </c>
      <c r="E155" s="120">
        <v>200.00000000000003</v>
      </c>
    </row>
    <row r="156" spans="1:5">
      <c r="A156" t="s">
        <v>100</v>
      </c>
      <c r="B156" t="s">
        <v>598</v>
      </c>
      <c r="C156" t="s">
        <v>512</v>
      </c>
      <c r="D156" s="123">
        <v>214.28571428571431</v>
      </c>
      <c r="E156" s="120">
        <v>10.714285714285715</v>
      </c>
    </row>
    <row r="157" spans="1:5">
      <c r="A157" t="s">
        <v>100</v>
      </c>
      <c r="B157" t="s">
        <v>598</v>
      </c>
      <c r="C157" t="s">
        <v>103</v>
      </c>
      <c r="D157" s="123">
        <v>35.714285714285715</v>
      </c>
      <c r="E157" s="120">
        <v>64.285714285714292</v>
      </c>
    </row>
    <row r="158" spans="1:5">
      <c r="A158" t="s">
        <v>100</v>
      </c>
      <c r="B158" t="s">
        <v>598</v>
      </c>
      <c r="C158" t="s">
        <v>0</v>
      </c>
      <c r="D158" s="123">
        <v>17.857142857142858</v>
      </c>
      <c r="E158" s="120">
        <v>15.535714285714286</v>
      </c>
    </row>
    <row r="159" spans="1:5">
      <c r="A159" t="s">
        <v>100</v>
      </c>
      <c r="B159" t="s">
        <v>598</v>
      </c>
      <c r="C159" t="s">
        <v>353</v>
      </c>
      <c r="D159" s="123">
        <v>3.5714285714285716</v>
      </c>
      <c r="E159" s="120">
        <v>5</v>
      </c>
    </row>
    <row r="160" spans="1:5">
      <c r="A160" t="s">
        <v>100</v>
      </c>
      <c r="B160" t="s">
        <v>598</v>
      </c>
      <c r="C160" t="s">
        <v>581</v>
      </c>
      <c r="D160" s="123">
        <v>3.5714285714285716</v>
      </c>
      <c r="E160" s="120">
        <v>7.1428571428571432</v>
      </c>
    </row>
    <row r="161" spans="1:5">
      <c r="A161" t="s">
        <v>100</v>
      </c>
      <c r="B161" t="s">
        <v>598</v>
      </c>
      <c r="C161" t="s">
        <v>418</v>
      </c>
      <c r="D161" s="123">
        <v>4</v>
      </c>
      <c r="E161" s="120">
        <v>280</v>
      </c>
    </row>
    <row r="162" spans="1:5">
      <c r="A162" t="s">
        <v>100</v>
      </c>
      <c r="B162" t="s">
        <v>598</v>
      </c>
      <c r="C162" t="s">
        <v>503</v>
      </c>
      <c r="D162" s="123">
        <v>35.714285714285715</v>
      </c>
      <c r="E162" s="120">
        <v>15.357142857142858</v>
      </c>
    </row>
    <row r="163" spans="1:5">
      <c r="A163" t="s">
        <v>100</v>
      </c>
      <c r="B163" t="s">
        <v>371</v>
      </c>
      <c r="C163" t="s">
        <v>371</v>
      </c>
      <c r="D163" s="123"/>
      <c r="E163" s="120"/>
    </row>
    <row r="164" spans="1:5">
      <c r="A164" t="s">
        <v>100</v>
      </c>
      <c r="B164" t="s">
        <v>599</v>
      </c>
      <c r="C164" t="s">
        <v>371</v>
      </c>
      <c r="D164" s="123"/>
      <c r="E164" s="120"/>
    </row>
    <row r="165" spans="1:5">
      <c r="A165" t="s">
        <v>100</v>
      </c>
      <c r="B165" t="s">
        <v>599</v>
      </c>
      <c r="C165" t="s">
        <v>512</v>
      </c>
      <c r="D165" s="123">
        <v>333.33333333333331</v>
      </c>
      <c r="E165" s="120">
        <v>16.666666666666668</v>
      </c>
    </row>
    <row r="166" spans="1:5">
      <c r="A166" t="s">
        <v>100</v>
      </c>
      <c r="B166" t="s">
        <v>599</v>
      </c>
      <c r="C166" t="s">
        <v>101</v>
      </c>
      <c r="D166" s="123">
        <v>333.33333333333331</v>
      </c>
      <c r="E166" s="120">
        <v>0</v>
      </c>
    </row>
    <row r="167" spans="1:5">
      <c r="A167" t="s">
        <v>100</v>
      </c>
      <c r="B167" t="s">
        <v>599</v>
      </c>
      <c r="C167" t="s">
        <v>0</v>
      </c>
      <c r="D167" s="123">
        <v>20</v>
      </c>
      <c r="E167" s="120">
        <v>17.399999999999999</v>
      </c>
    </row>
    <row r="168" spans="1:5">
      <c r="A168" t="s">
        <v>100</v>
      </c>
      <c r="B168" t="s">
        <v>599</v>
      </c>
      <c r="C168" t="s">
        <v>103</v>
      </c>
      <c r="D168" s="123">
        <v>20</v>
      </c>
      <c r="E168" s="120">
        <v>36</v>
      </c>
    </row>
    <row r="169" spans="1:5">
      <c r="A169" t="s">
        <v>100</v>
      </c>
      <c r="B169" t="s">
        <v>599</v>
      </c>
      <c r="C169" t="s">
        <v>11</v>
      </c>
      <c r="D169" s="123">
        <v>16.666666666666668</v>
      </c>
      <c r="E169" s="120">
        <v>11.833333333333334</v>
      </c>
    </row>
    <row r="170" spans="1:5">
      <c r="A170" t="s">
        <v>100</v>
      </c>
      <c r="B170" t="s">
        <v>599</v>
      </c>
      <c r="C170" t="s">
        <v>383</v>
      </c>
      <c r="D170" s="123">
        <v>333.33333333333331</v>
      </c>
      <c r="E170" s="120">
        <v>23.333333333333336</v>
      </c>
    </row>
    <row r="171" spans="1:5">
      <c r="A171" t="s">
        <v>100</v>
      </c>
      <c r="B171" t="s">
        <v>599</v>
      </c>
      <c r="C171" t="s">
        <v>380</v>
      </c>
      <c r="D171" s="123">
        <v>166.66666666666666</v>
      </c>
      <c r="E171" s="120">
        <v>88.888333333333335</v>
      </c>
    </row>
    <row r="172" spans="1:5">
      <c r="A172" t="s">
        <v>100</v>
      </c>
      <c r="B172" t="s">
        <v>599</v>
      </c>
      <c r="C172" t="s">
        <v>523</v>
      </c>
      <c r="D172" s="123">
        <v>1</v>
      </c>
      <c r="E172" s="120">
        <v>0.66</v>
      </c>
    </row>
    <row r="173" spans="1:5">
      <c r="A173" t="s">
        <v>100</v>
      </c>
      <c r="B173" t="s">
        <v>371</v>
      </c>
      <c r="C173" t="s">
        <v>371</v>
      </c>
      <c r="D173" s="123"/>
      <c r="E173" s="120"/>
    </row>
    <row r="174" spans="1:5">
      <c r="A174" t="s">
        <v>100</v>
      </c>
      <c r="B174" t="s">
        <v>600</v>
      </c>
      <c r="C174" t="s">
        <v>122</v>
      </c>
      <c r="D174" s="123">
        <v>769.23076923076917</v>
      </c>
      <c r="E174" s="120">
        <v>215.38461538461539</v>
      </c>
    </row>
    <row r="175" spans="1:5">
      <c r="A175" t="s">
        <v>100</v>
      </c>
      <c r="B175" t="s">
        <v>600</v>
      </c>
      <c r="C175" t="s">
        <v>512</v>
      </c>
      <c r="D175" s="123">
        <v>230.76923076923077</v>
      </c>
      <c r="E175" s="120">
        <v>11.53846153846154</v>
      </c>
    </row>
    <row r="176" spans="1:5">
      <c r="A176" t="s">
        <v>100</v>
      </c>
      <c r="B176" t="s">
        <v>600</v>
      </c>
      <c r="C176" t="s">
        <v>103</v>
      </c>
      <c r="D176" s="123">
        <v>38.46153846153846</v>
      </c>
      <c r="E176" s="120">
        <v>69.230769230769226</v>
      </c>
    </row>
    <row r="177" spans="1:5">
      <c r="A177" t="s">
        <v>100</v>
      </c>
      <c r="B177" t="s">
        <v>600</v>
      </c>
      <c r="C177" t="s">
        <v>0</v>
      </c>
      <c r="D177" s="123">
        <v>19.23076923076923</v>
      </c>
      <c r="E177" s="120">
        <v>16.73076923076923</v>
      </c>
    </row>
    <row r="178" spans="1:5">
      <c r="A178" t="s">
        <v>100</v>
      </c>
      <c r="B178" t="s">
        <v>600</v>
      </c>
      <c r="C178" t="s">
        <v>353</v>
      </c>
      <c r="D178" s="123">
        <v>3.8461538461538458</v>
      </c>
      <c r="E178" s="120">
        <v>5.3846153846153841</v>
      </c>
    </row>
    <row r="179" spans="1:5">
      <c r="A179" t="s">
        <v>100</v>
      </c>
      <c r="B179" t="s">
        <v>600</v>
      </c>
      <c r="C179" t="s">
        <v>581</v>
      </c>
      <c r="D179" s="123">
        <v>3.8461538461538458</v>
      </c>
      <c r="E179" s="120">
        <v>7.6923076923076916</v>
      </c>
    </row>
    <row r="180" spans="1:5">
      <c r="A180" t="s">
        <v>100</v>
      </c>
      <c r="B180" t="s">
        <v>600</v>
      </c>
      <c r="C180" t="s">
        <v>418</v>
      </c>
      <c r="D180" s="123">
        <v>5</v>
      </c>
      <c r="E180" s="120">
        <v>350</v>
      </c>
    </row>
    <row r="181" spans="1:5">
      <c r="A181" t="s">
        <v>100</v>
      </c>
      <c r="B181" t="s">
        <v>371</v>
      </c>
      <c r="C181" t="s">
        <v>371</v>
      </c>
      <c r="D181" s="123"/>
      <c r="E181" s="120"/>
    </row>
    <row r="182" spans="1:5">
      <c r="A182" t="s">
        <v>100</v>
      </c>
      <c r="B182" t="s">
        <v>601</v>
      </c>
      <c r="C182" t="s">
        <v>17</v>
      </c>
      <c r="D182" s="123">
        <v>400</v>
      </c>
      <c r="E182" s="120">
        <v>108</v>
      </c>
    </row>
    <row r="183" spans="1:5">
      <c r="A183" t="s">
        <v>100</v>
      </c>
      <c r="B183" t="s">
        <v>601</v>
      </c>
      <c r="C183" t="s">
        <v>512</v>
      </c>
      <c r="D183" s="123">
        <v>400</v>
      </c>
      <c r="E183" s="120">
        <v>20</v>
      </c>
    </row>
    <row r="184" spans="1:5">
      <c r="A184" t="s">
        <v>100</v>
      </c>
      <c r="B184" t="s">
        <v>601</v>
      </c>
      <c r="C184" t="s">
        <v>101</v>
      </c>
      <c r="D184" s="123">
        <v>280</v>
      </c>
      <c r="E184" s="120">
        <v>0</v>
      </c>
    </row>
    <row r="185" spans="1:5">
      <c r="A185" t="s">
        <v>100</v>
      </c>
      <c r="B185" t="s">
        <v>371</v>
      </c>
      <c r="C185" t="s">
        <v>371</v>
      </c>
      <c r="D185" s="123"/>
      <c r="E185" s="120"/>
    </row>
    <row r="186" spans="1:5">
      <c r="A186" t="s">
        <v>100</v>
      </c>
      <c r="B186" t="s">
        <v>371</v>
      </c>
      <c r="C186" t="s">
        <v>371</v>
      </c>
      <c r="D186" s="123"/>
      <c r="E186" s="120"/>
    </row>
    <row r="187" spans="1:5">
      <c r="A187" t="s">
        <v>100</v>
      </c>
      <c r="B187" t="s">
        <v>602</v>
      </c>
      <c r="C187" t="s">
        <v>383</v>
      </c>
      <c r="D187" s="123">
        <v>500</v>
      </c>
      <c r="E187" s="120">
        <v>35</v>
      </c>
    </row>
    <row r="188" spans="1:5">
      <c r="A188" t="s">
        <v>100</v>
      </c>
      <c r="B188" t="s">
        <v>602</v>
      </c>
      <c r="C188" t="s">
        <v>380</v>
      </c>
      <c r="D188" s="123">
        <v>400</v>
      </c>
      <c r="E188" s="120">
        <v>213.33200000000002</v>
      </c>
    </row>
    <row r="189" spans="1:5">
      <c r="A189" t="s">
        <v>100</v>
      </c>
      <c r="B189" t="s">
        <v>602</v>
      </c>
      <c r="C189" t="s">
        <v>384</v>
      </c>
      <c r="D189" s="123">
        <v>625</v>
      </c>
      <c r="E189" s="120">
        <v>21.875000000000004</v>
      </c>
    </row>
    <row r="190" spans="1:5">
      <c r="A190" t="s">
        <v>100</v>
      </c>
      <c r="B190" t="s">
        <v>602</v>
      </c>
      <c r="C190" t="s">
        <v>581</v>
      </c>
      <c r="D190" s="123">
        <v>25</v>
      </c>
      <c r="E190" s="120">
        <v>50</v>
      </c>
    </row>
    <row r="191" spans="1:5">
      <c r="A191" t="s">
        <v>100</v>
      </c>
      <c r="B191" t="s">
        <v>602</v>
      </c>
      <c r="C191" t="s">
        <v>0</v>
      </c>
      <c r="D191" s="123">
        <v>20</v>
      </c>
      <c r="E191" s="120">
        <v>17.399999999999999</v>
      </c>
    </row>
    <row r="192" spans="1:5">
      <c r="A192" t="s">
        <v>100</v>
      </c>
      <c r="B192" t="s">
        <v>602</v>
      </c>
      <c r="C192" t="s">
        <v>413</v>
      </c>
      <c r="D192" s="123">
        <v>20</v>
      </c>
      <c r="E192" s="120">
        <v>13</v>
      </c>
    </row>
    <row r="193" spans="1:5">
      <c r="A193" t="s">
        <v>100</v>
      </c>
      <c r="B193" t="s">
        <v>602</v>
      </c>
      <c r="C193" t="s">
        <v>103</v>
      </c>
      <c r="D193" s="123">
        <v>10</v>
      </c>
      <c r="E193" s="120">
        <v>18</v>
      </c>
    </row>
    <row r="194" spans="1:5">
      <c r="A194" t="s">
        <v>100</v>
      </c>
      <c r="B194" t="s">
        <v>371</v>
      </c>
      <c r="C194" t="s">
        <v>371</v>
      </c>
      <c r="D194" s="123"/>
      <c r="E194" s="120"/>
    </row>
    <row r="195" spans="1:5">
      <c r="A195" t="s">
        <v>100</v>
      </c>
      <c r="B195" t="s">
        <v>603</v>
      </c>
      <c r="C195" t="s">
        <v>122</v>
      </c>
      <c r="D195" s="123">
        <v>833.33333333333337</v>
      </c>
      <c r="E195" s="120">
        <v>233.33333333333337</v>
      </c>
    </row>
    <row r="196" spans="1:5">
      <c r="A196" t="s">
        <v>100</v>
      </c>
      <c r="B196" t="s">
        <v>603</v>
      </c>
      <c r="C196" t="s">
        <v>512</v>
      </c>
      <c r="D196" s="123">
        <v>250</v>
      </c>
      <c r="E196" s="120">
        <v>12.5</v>
      </c>
    </row>
    <row r="197" spans="1:5">
      <c r="A197" t="s">
        <v>100</v>
      </c>
      <c r="B197" t="s">
        <v>603</v>
      </c>
      <c r="C197" t="s">
        <v>581</v>
      </c>
      <c r="D197" s="123">
        <v>16.666666666666668</v>
      </c>
      <c r="E197" s="120">
        <v>33.333333333333336</v>
      </c>
    </row>
    <row r="198" spans="1:5">
      <c r="A198" t="s">
        <v>100</v>
      </c>
      <c r="B198" t="s">
        <v>371</v>
      </c>
      <c r="C198" t="s">
        <v>371</v>
      </c>
      <c r="D198" s="123"/>
      <c r="E198" s="120"/>
    </row>
    <row r="199" spans="1:5">
      <c r="A199" t="s">
        <v>100</v>
      </c>
      <c r="B199" t="s">
        <v>604</v>
      </c>
      <c r="C199" t="s">
        <v>122</v>
      </c>
      <c r="D199" s="123">
        <v>666.66666666666663</v>
      </c>
      <c r="E199" s="120">
        <v>186.66666666666669</v>
      </c>
    </row>
    <row r="200" spans="1:5">
      <c r="A200" t="s">
        <v>100</v>
      </c>
      <c r="B200" t="s">
        <v>604</v>
      </c>
      <c r="C200" t="s">
        <v>512</v>
      </c>
      <c r="D200" s="123">
        <v>200</v>
      </c>
      <c r="E200" s="120">
        <v>10</v>
      </c>
    </row>
    <row r="201" spans="1:5">
      <c r="A201" t="s">
        <v>100</v>
      </c>
      <c r="B201" t="s">
        <v>604</v>
      </c>
      <c r="C201" t="s">
        <v>229</v>
      </c>
      <c r="D201" s="123">
        <v>66.666666666666671</v>
      </c>
      <c r="E201" s="120">
        <v>5.3333333333333339</v>
      </c>
    </row>
    <row r="202" spans="1:5">
      <c r="A202" t="s">
        <v>100</v>
      </c>
      <c r="B202" t="s">
        <v>604</v>
      </c>
      <c r="C202" t="s">
        <v>0</v>
      </c>
      <c r="D202" s="123">
        <v>16.666666666666668</v>
      </c>
      <c r="E202" s="120">
        <v>14.500000000000002</v>
      </c>
    </row>
    <row r="203" spans="1:5">
      <c r="A203" t="s">
        <v>100</v>
      </c>
      <c r="B203" t="s">
        <v>604</v>
      </c>
      <c r="C203" t="s">
        <v>103</v>
      </c>
      <c r="D203" s="123">
        <v>16.666666666666668</v>
      </c>
      <c r="E203" s="120">
        <v>30.000000000000004</v>
      </c>
    </row>
    <row r="204" spans="1:5">
      <c r="A204" t="s">
        <v>100</v>
      </c>
      <c r="B204" t="s">
        <v>604</v>
      </c>
      <c r="C204" t="s">
        <v>61</v>
      </c>
      <c r="D204" s="123">
        <v>133.33333333333334</v>
      </c>
      <c r="E204" s="120">
        <v>3.3333333333333339</v>
      </c>
    </row>
    <row r="205" spans="1:5">
      <c r="A205" t="s">
        <v>100</v>
      </c>
      <c r="B205" t="s">
        <v>604</v>
      </c>
      <c r="C205" t="s">
        <v>411</v>
      </c>
      <c r="D205" s="123">
        <v>0.66666666666666663</v>
      </c>
      <c r="E205" s="120">
        <v>70</v>
      </c>
    </row>
    <row r="206" spans="1:5">
      <c r="A206" t="s">
        <v>100</v>
      </c>
      <c r="B206" t="s">
        <v>604</v>
      </c>
      <c r="C206" t="s">
        <v>581</v>
      </c>
      <c r="D206" s="123">
        <v>13.333333333333334</v>
      </c>
      <c r="E206" s="120">
        <v>26.666666666666668</v>
      </c>
    </row>
    <row r="207" spans="1:5">
      <c r="A207" t="s">
        <v>100</v>
      </c>
      <c r="B207" t="s">
        <v>371</v>
      </c>
      <c r="C207" t="s">
        <v>371</v>
      </c>
      <c r="D207" s="123"/>
      <c r="E207" s="120"/>
    </row>
    <row r="208" spans="1:5">
      <c r="A208" t="s">
        <v>100</v>
      </c>
      <c r="B208" t="s">
        <v>605</v>
      </c>
      <c r="C208" t="s">
        <v>420</v>
      </c>
      <c r="D208" s="123">
        <v>1111.1111111111111</v>
      </c>
      <c r="E208" s="120">
        <v>73.333333333333329</v>
      </c>
    </row>
    <row r="209" spans="1:5">
      <c r="A209" t="s">
        <v>100</v>
      </c>
      <c r="B209" t="s">
        <v>605</v>
      </c>
      <c r="C209" t="s">
        <v>495</v>
      </c>
      <c r="D209" s="123">
        <v>44.444444444444443</v>
      </c>
      <c r="E209" s="120">
        <v>6.2222222222222223</v>
      </c>
    </row>
    <row r="210" spans="1:5">
      <c r="A210" t="s">
        <v>100</v>
      </c>
      <c r="B210" t="s">
        <v>605</v>
      </c>
      <c r="C210" t="s">
        <v>512</v>
      </c>
      <c r="D210" s="123">
        <v>250</v>
      </c>
      <c r="E210" s="120">
        <v>12.5</v>
      </c>
    </row>
    <row r="211" spans="1:5">
      <c r="A211" t="s">
        <v>100</v>
      </c>
      <c r="B211" t="s">
        <v>605</v>
      </c>
      <c r="C211" t="s">
        <v>581</v>
      </c>
      <c r="D211" s="123">
        <v>5.5555555555555554</v>
      </c>
      <c r="E211" s="120">
        <v>11.111111111111111</v>
      </c>
    </row>
    <row r="212" spans="1:5">
      <c r="A212" t="s">
        <v>100</v>
      </c>
      <c r="B212" t="s">
        <v>605</v>
      </c>
      <c r="C212" t="s">
        <v>0</v>
      </c>
      <c r="D212" s="123">
        <v>8.3333333333333339</v>
      </c>
      <c r="E212" s="120">
        <v>7.2500000000000009</v>
      </c>
    </row>
    <row r="213" spans="1:5">
      <c r="A213" t="s">
        <v>100</v>
      </c>
      <c r="B213" t="s">
        <v>605</v>
      </c>
      <c r="C213" t="s">
        <v>103</v>
      </c>
      <c r="D213" s="123">
        <v>8.3333333333333339</v>
      </c>
      <c r="E213" s="120">
        <v>15.000000000000002</v>
      </c>
    </row>
    <row r="214" spans="1:5">
      <c r="A214" t="s">
        <v>100</v>
      </c>
      <c r="B214" t="s">
        <v>605</v>
      </c>
      <c r="C214" t="s">
        <v>244</v>
      </c>
      <c r="D214" s="123">
        <v>0.72222222222222221</v>
      </c>
      <c r="E214" s="120">
        <v>0.65</v>
      </c>
    </row>
    <row r="215" spans="1:5">
      <c r="A215" t="s">
        <v>100</v>
      </c>
      <c r="B215" t="s">
        <v>605</v>
      </c>
      <c r="C215" t="s">
        <v>520</v>
      </c>
      <c r="D215" s="123">
        <v>0.66666666666666663</v>
      </c>
      <c r="E215" s="120">
        <v>0.56666666666666665</v>
      </c>
    </row>
    <row r="216" spans="1:5">
      <c r="A216" t="s">
        <v>100</v>
      </c>
      <c r="B216" t="s">
        <v>605</v>
      </c>
      <c r="C216" t="s">
        <v>380</v>
      </c>
      <c r="D216" s="123">
        <v>55.555555555555557</v>
      </c>
      <c r="E216" s="120">
        <v>29.629444444444449</v>
      </c>
    </row>
    <row r="217" spans="1:5">
      <c r="A217" t="s">
        <v>100</v>
      </c>
      <c r="B217" t="s">
        <v>605</v>
      </c>
      <c r="C217" t="s">
        <v>519</v>
      </c>
      <c r="D217" s="123">
        <v>27.777777777777779</v>
      </c>
      <c r="E217" s="120">
        <v>5.5555555555555562</v>
      </c>
    </row>
    <row r="218" spans="1:5">
      <c r="A218" t="s">
        <v>100</v>
      </c>
      <c r="B218" t="s">
        <v>371</v>
      </c>
      <c r="C218" t="s">
        <v>371</v>
      </c>
      <c r="D218" s="123"/>
      <c r="E218" s="120"/>
    </row>
    <row r="219" spans="1:5">
      <c r="A219" t="s">
        <v>100</v>
      </c>
      <c r="B219" t="s">
        <v>606</v>
      </c>
      <c r="C219" t="s">
        <v>512</v>
      </c>
      <c r="D219" s="123">
        <v>333.33333333333331</v>
      </c>
      <c r="E219" s="120">
        <v>16.666666666666668</v>
      </c>
    </row>
    <row r="220" spans="1:5">
      <c r="A220" t="s">
        <v>100</v>
      </c>
      <c r="B220" t="s">
        <v>606</v>
      </c>
      <c r="C220" t="s">
        <v>101</v>
      </c>
      <c r="D220" s="123">
        <v>333.33333333333331</v>
      </c>
      <c r="E220" s="120">
        <v>0</v>
      </c>
    </row>
    <row r="221" spans="1:5">
      <c r="A221" t="s">
        <v>100</v>
      </c>
      <c r="B221" t="s">
        <v>606</v>
      </c>
      <c r="C221" t="s">
        <v>0</v>
      </c>
      <c r="D221" s="123">
        <v>20</v>
      </c>
      <c r="E221" s="120">
        <v>17.399999999999999</v>
      </c>
    </row>
    <row r="222" spans="1:5">
      <c r="A222" t="s">
        <v>100</v>
      </c>
      <c r="B222" t="s">
        <v>606</v>
      </c>
      <c r="C222" t="s">
        <v>103</v>
      </c>
      <c r="D222" s="123">
        <v>20</v>
      </c>
      <c r="E222" s="120">
        <v>36</v>
      </c>
    </row>
    <row r="223" spans="1:5">
      <c r="A223" t="s">
        <v>100</v>
      </c>
      <c r="B223" t="s">
        <v>606</v>
      </c>
      <c r="C223" t="s">
        <v>11</v>
      </c>
      <c r="D223" s="123">
        <v>16.666666666666668</v>
      </c>
      <c r="E223" s="120">
        <v>11.833333333333334</v>
      </c>
    </row>
    <row r="224" spans="1:5">
      <c r="A224" t="s">
        <v>100</v>
      </c>
      <c r="B224" t="s">
        <v>606</v>
      </c>
      <c r="C224" t="s">
        <v>383</v>
      </c>
      <c r="D224" s="123">
        <v>333.33333333333331</v>
      </c>
      <c r="E224" s="120">
        <v>23.333333333333336</v>
      </c>
    </row>
    <row r="225" spans="1:5">
      <c r="A225" t="s">
        <v>100</v>
      </c>
      <c r="B225" t="s">
        <v>606</v>
      </c>
      <c r="C225" t="s">
        <v>380</v>
      </c>
      <c r="D225" s="123">
        <v>166.66666666666666</v>
      </c>
      <c r="E225" s="120">
        <v>88.888333333333335</v>
      </c>
    </row>
    <row r="226" spans="1:5">
      <c r="A226" t="s">
        <v>100</v>
      </c>
      <c r="B226" t="s">
        <v>606</v>
      </c>
      <c r="C226" t="s">
        <v>523</v>
      </c>
      <c r="D226" s="123">
        <v>0.66666666666666663</v>
      </c>
      <c r="E226" s="120">
        <v>0.44</v>
      </c>
    </row>
    <row r="227" spans="1:5">
      <c r="A227" t="s">
        <v>100</v>
      </c>
      <c r="B227" t="s">
        <v>606</v>
      </c>
      <c r="C227" t="s">
        <v>369</v>
      </c>
      <c r="D227" s="123">
        <v>0.66666666666666663</v>
      </c>
      <c r="E227" s="120">
        <v>0.44</v>
      </c>
    </row>
    <row r="228" spans="1:5">
      <c r="A228" t="s">
        <v>100</v>
      </c>
      <c r="B228" t="s">
        <v>606</v>
      </c>
      <c r="C228" t="s">
        <v>526</v>
      </c>
      <c r="D228" s="123">
        <v>0.66666666666666663</v>
      </c>
      <c r="E228" s="120">
        <v>0.44</v>
      </c>
    </row>
    <row r="229" spans="1:5">
      <c r="A229" t="s">
        <v>100</v>
      </c>
      <c r="B229" t="s">
        <v>606</v>
      </c>
      <c r="C229" t="s">
        <v>519</v>
      </c>
      <c r="D229" s="123">
        <v>23.333333333333332</v>
      </c>
      <c r="E229" s="120">
        <v>4.666666666666667</v>
      </c>
    </row>
    <row r="230" spans="1:5">
      <c r="A230" t="s">
        <v>100</v>
      </c>
      <c r="B230" t="s">
        <v>371</v>
      </c>
      <c r="C230" t="s">
        <v>371</v>
      </c>
      <c r="D230" s="123"/>
      <c r="E230" s="120"/>
    </row>
    <row r="231" spans="1:5">
      <c r="A231" t="s">
        <v>100</v>
      </c>
      <c r="B231" t="s">
        <v>107</v>
      </c>
      <c r="C231" t="s">
        <v>39</v>
      </c>
      <c r="D231" s="123">
        <v>14.227642276422763</v>
      </c>
      <c r="E231" s="120">
        <v>0.49796747967479676</v>
      </c>
    </row>
    <row r="232" spans="1:5">
      <c r="A232" t="s">
        <v>100</v>
      </c>
      <c r="B232" t="s">
        <v>107</v>
      </c>
      <c r="C232" t="s">
        <v>512</v>
      </c>
      <c r="D232" s="123">
        <v>45</v>
      </c>
      <c r="E232" s="120">
        <v>2.25</v>
      </c>
    </row>
    <row r="233" spans="1:5">
      <c r="A233" t="s">
        <v>100</v>
      </c>
      <c r="B233" t="s">
        <v>107</v>
      </c>
      <c r="C233" t="s">
        <v>380</v>
      </c>
      <c r="D233" s="123">
        <v>19</v>
      </c>
      <c r="E233" s="120">
        <v>10.133270000000001</v>
      </c>
    </row>
    <row r="234" spans="1:5">
      <c r="A234" t="s">
        <v>100</v>
      </c>
      <c r="B234" t="s">
        <v>107</v>
      </c>
      <c r="C234" t="s">
        <v>40</v>
      </c>
      <c r="D234" s="123">
        <v>2.8455284552845526</v>
      </c>
      <c r="E234" s="120">
        <v>9.1056910569105684E-2</v>
      </c>
    </row>
    <row r="235" spans="1:5">
      <c r="A235" t="s">
        <v>100</v>
      </c>
      <c r="B235" t="s">
        <v>107</v>
      </c>
      <c r="C235" t="s">
        <v>384</v>
      </c>
      <c r="D235" s="123">
        <v>0.71138211382113814</v>
      </c>
      <c r="E235" s="120">
        <v>2.4898373983739838E-2</v>
      </c>
    </row>
    <row r="236" spans="1:5">
      <c r="A236" t="s">
        <v>100</v>
      </c>
      <c r="B236" t="s">
        <v>107</v>
      </c>
      <c r="C236" t="s">
        <v>581</v>
      </c>
      <c r="D236" s="123">
        <v>0.14227642276422764</v>
      </c>
      <c r="E236" s="120">
        <v>0.28455284552845528</v>
      </c>
    </row>
    <row r="237" spans="1:5">
      <c r="A237" t="s">
        <v>100</v>
      </c>
      <c r="B237" t="s">
        <v>107</v>
      </c>
      <c r="C237" t="s">
        <v>355</v>
      </c>
      <c r="D237" s="123">
        <v>3.4146341463414637E-2</v>
      </c>
      <c r="E237" s="120">
        <v>5.463414634146342E-3</v>
      </c>
    </row>
    <row r="238" spans="1:5">
      <c r="A238" t="s">
        <v>100</v>
      </c>
      <c r="B238" t="s">
        <v>107</v>
      </c>
      <c r="C238" t="s">
        <v>356</v>
      </c>
      <c r="D238" s="123">
        <v>5.6910569105691053E-3</v>
      </c>
      <c r="E238" s="120">
        <v>7.3983739837398367E-4</v>
      </c>
    </row>
    <row r="239" spans="1:5">
      <c r="A239" t="s">
        <v>100</v>
      </c>
      <c r="B239" t="s">
        <v>107</v>
      </c>
      <c r="C239" t="s">
        <v>17</v>
      </c>
      <c r="D239" s="123">
        <v>5.6910569105691051</v>
      </c>
      <c r="E239" s="120">
        <v>1.5365853658536586</v>
      </c>
    </row>
    <row r="240" spans="1:5">
      <c r="A240" t="s">
        <v>100</v>
      </c>
      <c r="B240" t="s">
        <v>371</v>
      </c>
      <c r="C240" t="s">
        <v>371</v>
      </c>
      <c r="D240" s="123"/>
      <c r="E240" s="120"/>
    </row>
    <row r="241" spans="1:5">
      <c r="A241" t="s">
        <v>100</v>
      </c>
      <c r="B241" t="s">
        <v>296</v>
      </c>
      <c r="C241" t="s">
        <v>420</v>
      </c>
      <c r="D241" s="123">
        <v>1000</v>
      </c>
      <c r="E241" s="120">
        <v>66</v>
      </c>
    </row>
    <row r="242" spans="1:5">
      <c r="A242" t="s">
        <v>100</v>
      </c>
      <c r="B242" t="s">
        <v>296</v>
      </c>
      <c r="C242" t="s">
        <v>512</v>
      </c>
      <c r="D242" s="123">
        <v>40</v>
      </c>
      <c r="E242" s="120">
        <v>2</v>
      </c>
    </row>
    <row r="243" spans="1:5">
      <c r="A243" t="s">
        <v>100</v>
      </c>
      <c r="B243" t="s">
        <v>296</v>
      </c>
      <c r="C243" t="s">
        <v>653</v>
      </c>
      <c r="D243" s="123">
        <v>0.5</v>
      </c>
      <c r="E243" s="120">
        <v>0.4</v>
      </c>
    </row>
    <row r="244" spans="1:5">
      <c r="A244" t="s">
        <v>100</v>
      </c>
      <c r="B244" t="s">
        <v>371</v>
      </c>
      <c r="C244" t="s">
        <v>371</v>
      </c>
      <c r="D244" s="123"/>
      <c r="E244" s="120"/>
    </row>
    <row r="245" spans="1:5">
      <c r="A245" t="s">
        <v>100</v>
      </c>
      <c r="B245" t="s">
        <v>111</v>
      </c>
      <c r="C245" t="s">
        <v>512</v>
      </c>
      <c r="D245" s="123">
        <v>80</v>
      </c>
      <c r="E245" s="120">
        <v>4</v>
      </c>
    </row>
    <row r="246" spans="1:5">
      <c r="A246" t="s">
        <v>100</v>
      </c>
      <c r="B246" t="s">
        <v>111</v>
      </c>
      <c r="C246" t="s">
        <v>420</v>
      </c>
      <c r="D246" s="123">
        <v>420</v>
      </c>
      <c r="E246" s="120">
        <v>27.720000000000002</v>
      </c>
    </row>
    <row r="247" spans="1:5">
      <c r="A247" t="s">
        <v>100</v>
      </c>
      <c r="B247" t="s">
        <v>111</v>
      </c>
      <c r="C247" t="s">
        <v>500</v>
      </c>
      <c r="D247" s="123">
        <v>1.6666666666666667</v>
      </c>
      <c r="E247" s="120">
        <v>0.13333333333333333</v>
      </c>
    </row>
    <row r="248" spans="1:5">
      <c r="A248" t="s">
        <v>100</v>
      </c>
      <c r="B248" t="s">
        <v>111</v>
      </c>
      <c r="C248" t="s">
        <v>581</v>
      </c>
      <c r="D248" s="123">
        <v>1.6666666666666667</v>
      </c>
      <c r="E248" s="120">
        <v>3.3333333333333335</v>
      </c>
    </row>
    <row r="249" spans="1:5">
      <c r="A249" t="s">
        <v>100</v>
      </c>
      <c r="B249" t="s">
        <v>111</v>
      </c>
      <c r="C249" t="s">
        <v>411</v>
      </c>
      <c r="D249" s="123">
        <v>4.9999999999999996E-2</v>
      </c>
      <c r="E249" s="120">
        <v>5.25</v>
      </c>
    </row>
    <row r="250" spans="1:5">
      <c r="A250" t="s">
        <v>96</v>
      </c>
      <c r="B250" t="s">
        <v>607</v>
      </c>
      <c r="C250" t="s">
        <v>51</v>
      </c>
      <c r="D250" s="123">
        <v>150</v>
      </c>
      <c r="E250" s="120">
        <v>22.704255319148935</v>
      </c>
    </row>
    <row r="251" spans="1:5">
      <c r="A251" t="s">
        <v>96</v>
      </c>
      <c r="B251" t="s">
        <v>607</v>
      </c>
      <c r="C251" t="s">
        <v>52</v>
      </c>
      <c r="D251" s="123">
        <v>6</v>
      </c>
      <c r="E251" s="120">
        <v>3.9000000000000004</v>
      </c>
    </row>
    <row r="252" spans="1:5">
      <c r="A252" t="s">
        <v>96</v>
      </c>
      <c r="B252" t="s">
        <v>607</v>
      </c>
      <c r="C252" t="s">
        <v>53</v>
      </c>
      <c r="D252" s="123">
        <v>3</v>
      </c>
      <c r="E252" s="120">
        <v>1.7999999999999998</v>
      </c>
    </row>
    <row r="253" spans="1:5">
      <c r="A253" t="s">
        <v>96</v>
      </c>
      <c r="B253" t="s">
        <v>607</v>
      </c>
      <c r="C253" t="s">
        <v>114</v>
      </c>
      <c r="D253" s="123">
        <v>5</v>
      </c>
      <c r="E253" s="120">
        <v>0.14000000000000001</v>
      </c>
    </row>
    <row r="254" spans="1:5">
      <c r="A254" t="s">
        <v>96</v>
      </c>
      <c r="B254" t="s">
        <v>607</v>
      </c>
      <c r="C254" t="s">
        <v>32</v>
      </c>
      <c r="D254" s="123">
        <v>18</v>
      </c>
      <c r="E254" s="120">
        <v>0.63000000000000012</v>
      </c>
    </row>
    <row r="255" spans="1:5">
      <c r="A255" t="s">
        <v>96</v>
      </c>
      <c r="B255" t="s">
        <v>607</v>
      </c>
      <c r="C255" t="s">
        <v>54</v>
      </c>
      <c r="D255" s="123">
        <v>10</v>
      </c>
      <c r="E255" s="120">
        <v>1.4000000000000001</v>
      </c>
    </row>
    <row r="256" spans="1:5">
      <c r="A256" t="s">
        <v>96</v>
      </c>
      <c r="B256" t="s">
        <v>607</v>
      </c>
      <c r="C256" t="s">
        <v>557</v>
      </c>
      <c r="D256" s="123">
        <v>103</v>
      </c>
      <c r="E256" s="120">
        <v>11.978425682866771</v>
      </c>
    </row>
    <row r="257" spans="1:5">
      <c r="A257" t="s">
        <v>96</v>
      </c>
      <c r="B257" t="s">
        <v>607</v>
      </c>
      <c r="C257" t="s">
        <v>43</v>
      </c>
      <c r="D257" s="123">
        <v>93</v>
      </c>
      <c r="E257" s="120">
        <v>12.1079025</v>
      </c>
    </row>
    <row r="258" spans="1:5">
      <c r="A258" t="s">
        <v>96</v>
      </c>
      <c r="B258" t="s">
        <v>607</v>
      </c>
      <c r="C258" t="s">
        <v>427</v>
      </c>
      <c r="D258" s="123">
        <v>250</v>
      </c>
      <c r="E258" s="120">
        <v>12</v>
      </c>
    </row>
    <row r="259" spans="1:5">
      <c r="A259" t="s">
        <v>96</v>
      </c>
      <c r="B259" t="s">
        <v>371</v>
      </c>
      <c r="C259" t="s">
        <v>371</v>
      </c>
      <c r="D259" s="123"/>
      <c r="E259" s="120"/>
    </row>
    <row r="260" spans="1:5">
      <c r="A260" t="s">
        <v>96</v>
      </c>
      <c r="B260" t="s">
        <v>608</v>
      </c>
      <c r="C260" t="s">
        <v>51</v>
      </c>
      <c r="D260" s="123">
        <v>90</v>
      </c>
      <c r="E260" s="120">
        <v>13.622553191489361</v>
      </c>
    </row>
    <row r="261" spans="1:5">
      <c r="A261" t="s">
        <v>96</v>
      </c>
      <c r="B261" t="s">
        <v>608</v>
      </c>
      <c r="C261" t="s">
        <v>55</v>
      </c>
      <c r="D261" s="123">
        <v>45</v>
      </c>
      <c r="E261" s="120">
        <v>0.71819999999999995</v>
      </c>
    </row>
    <row r="262" spans="1:5">
      <c r="A262" t="s">
        <v>96</v>
      </c>
      <c r="B262" t="s">
        <v>608</v>
      </c>
      <c r="C262" t="s">
        <v>295</v>
      </c>
      <c r="D262" s="123">
        <v>78</v>
      </c>
      <c r="E262" s="120">
        <v>9.6164889599999999</v>
      </c>
    </row>
    <row r="263" spans="1:5">
      <c r="A263" t="s">
        <v>96</v>
      </c>
      <c r="B263" t="s">
        <v>608</v>
      </c>
      <c r="C263" t="s">
        <v>660</v>
      </c>
      <c r="D263" s="123">
        <v>30</v>
      </c>
      <c r="E263" s="120">
        <v>2.6009999999999995</v>
      </c>
    </row>
    <row r="264" spans="1:5">
      <c r="A264" t="s">
        <v>96</v>
      </c>
      <c r="B264" t="s">
        <v>608</v>
      </c>
      <c r="C264" t="s">
        <v>52</v>
      </c>
      <c r="D264" s="123">
        <v>6</v>
      </c>
      <c r="E264" s="120">
        <v>3.9000000000000004</v>
      </c>
    </row>
    <row r="265" spans="1:5">
      <c r="A265" t="s">
        <v>96</v>
      </c>
      <c r="B265" t="s">
        <v>608</v>
      </c>
      <c r="C265" t="s">
        <v>53</v>
      </c>
      <c r="D265" s="123">
        <v>3</v>
      </c>
      <c r="E265" s="120">
        <v>1.7999999999999998</v>
      </c>
    </row>
    <row r="266" spans="1:5">
      <c r="A266" t="s">
        <v>96</v>
      </c>
      <c r="B266" t="s">
        <v>608</v>
      </c>
      <c r="C266" t="s">
        <v>114</v>
      </c>
      <c r="D266" s="123">
        <v>5</v>
      </c>
      <c r="E266" s="120">
        <v>0.14000000000000001</v>
      </c>
    </row>
    <row r="267" spans="1:5">
      <c r="A267" t="s">
        <v>96</v>
      </c>
      <c r="B267" t="s">
        <v>608</v>
      </c>
      <c r="C267" t="s">
        <v>32</v>
      </c>
      <c r="D267" s="123">
        <v>18</v>
      </c>
      <c r="E267" s="120">
        <v>0.63000000000000012</v>
      </c>
    </row>
    <row r="268" spans="1:5">
      <c r="A268" t="s">
        <v>96</v>
      </c>
      <c r="B268" t="s">
        <v>608</v>
      </c>
      <c r="C268" t="s">
        <v>54</v>
      </c>
      <c r="D268" s="123">
        <v>10</v>
      </c>
      <c r="E268" s="120">
        <v>1.4000000000000001</v>
      </c>
    </row>
    <row r="269" spans="1:5">
      <c r="A269" t="s">
        <v>96</v>
      </c>
      <c r="B269" t="s">
        <v>608</v>
      </c>
      <c r="C269" t="s">
        <v>557</v>
      </c>
      <c r="D269" s="123">
        <v>103</v>
      </c>
      <c r="E269" s="120">
        <v>11.978425682866771</v>
      </c>
    </row>
    <row r="270" spans="1:5">
      <c r="A270" t="s">
        <v>96</v>
      </c>
      <c r="B270" t="s">
        <v>608</v>
      </c>
      <c r="C270" t="s">
        <v>43</v>
      </c>
      <c r="D270" s="123">
        <v>93</v>
      </c>
      <c r="E270" s="120">
        <v>12.1079025</v>
      </c>
    </row>
    <row r="271" spans="1:5">
      <c r="A271" t="s">
        <v>96</v>
      </c>
      <c r="B271" t="s">
        <v>608</v>
      </c>
      <c r="C271" t="s">
        <v>427</v>
      </c>
      <c r="D271" s="123">
        <v>250</v>
      </c>
      <c r="E271" s="120">
        <v>12</v>
      </c>
    </row>
    <row r="272" spans="1:5">
      <c r="A272" t="s">
        <v>96</v>
      </c>
      <c r="B272" t="s">
        <v>371</v>
      </c>
      <c r="C272" t="s">
        <v>371</v>
      </c>
      <c r="D272" s="123"/>
      <c r="E272" s="120"/>
    </row>
    <row r="273" spans="1:5">
      <c r="A273" t="s">
        <v>96</v>
      </c>
      <c r="B273" t="s">
        <v>609</v>
      </c>
      <c r="C273" t="s">
        <v>55</v>
      </c>
      <c r="D273" s="123">
        <v>91</v>
      </c>
      <c r="E273" s="120">
        <v>1.4523599999999999</v>
      </c>
    </row>
    <row r="274" spans="1:5">
      <c r="A274" t="s">
        <v>96</v>
      </c>
      <c r="B274" t="s">
        <v>609</v>
      </c>
      <c r="C274" t="s">
        <v>295</v>
      </c>
      <c r="D274" s="123">
        <v>78</v>
      </c>
      <c r="E274" s="120">
        <v>9.6164889599999999</v>
      </c>
    </row>
    <row r="275" spans="1:5">
      <c r="A275" t="s">
        <v>96</v>
      </c>
      <c r="B275" t="s">
        <v>609</v>
      </c>
      <c r="C275" t="s">
        <v>660</v>
      </c>
      <c r="D275" s="123">
        <v>30</v>
      </c>
      <c r="E275" s="120">
        <v>2.6009999999999995</v>
      </c>
    </row>
    <row r="276" spans="1:5">
      <c r="A276" t="s">
        <v>96</v>
      </c>
      <c r="B276" t="s">
        <v>609</v>
      </c>
      <c r="C276" t="s">
        <v>52</v>
      </c>
      <c r="D276" s="123">
        <v>6</v>
      </c>
      <c r="E276" s="120">
        <v>3.9000000000000004</v>
      </c>
    </row>
    <row r="277" spans="1:5">
      <c r="A277" t="s">
        <v>96</v>
      </c>
      <c r="B277" t="s">
        <v>609</v>
      </c>
      <c r="C277" t="s">
        <v>53</v>
      </c>
      <c r="D277" s="123">
        <v>3</v>
      </c>
      <c r="E277" s="120">
        <v>1.7999999999999998</v>
      </c>
    </row>
    <row r="278" spans="1:5">
      <c r="A278" t="s">
        <v>96</v>
      </c>
      <c r="B278" t="s">
        <v>609</v>
      </c>
      <c r="C278" t="s">
        <v>114</v>
      </c>
      <c r="D278" s="123">
        <v>5</v>
      </c>
      <c r="E278" s="120">
        <v>0.14000000000000001</v>
      </c>
    </row>
    <row r="279" spans="1:5">
      <c r="A279" t="s">
        <v>96</v>
      </c>
      <c r="B279" t="s">
        <v>609</v>
      </c>
      <c r="C279" t="s">
        <v>32</v>
      </c>
      <c r="D279" s="123">
        <v>18</v>
      </c>
      <c r="E279" s="120">
        <v>0.63000000000000012</v>
      </c>
    </row>
    <row r="280" spans="1:5">
      <c r="A280" t="s">
        <v>96</v>
      </c>
      <c r="B280" t="s">
        <v>609</v>
      </c>
      <c r="C280" t="s">
        <v>54</v>
      </c>
      <c r="D280" s="123">
        <v>10</v>
      </c>
      <c r="E280" s="120">
        <v>1.4000000000000001</v>
      </c>
    </row>
    <row r="281" spans="1:5">
      <c r="A281" t="s">
        <v>96</v>
      </c>
      <c r="B281" t="s">
        <v>609</v>
      </c>
      <c r="C281" t="s">
        <v>427</v>
      </c>
      <c r="D281" s="123">
        <v>250</v>
      </c>
      <c r="E281" s="120">
        <v>12</v>
      </c>
    </row>
    <row r="282" spans="1:5">
      <c r="A282" t="s">
        <v>96</v>
      </c>
      <c r="B282" t="s">
        <v>609</v>
      </c>
      <c r="C282" t="s">
        <v>557</v>
      </c>
      <c r="D282" s="123">
        <v>118</v>
      </c>
      <c r="E282" s="120">
        <v>13.722856607556107</v>
      </c>
    </row>
    <row r="283" spans="1:5">
      <c r="A283" t="s">
        <v>96</v>
      </c>
      <c r="B283" t="s">
        <v>609</v>
      </c>
      <c r="C283" t="s">
        <v>43</v>
      </c>
      <c r="D283" s="123">
        <v>30</v>
      </c>
      <c r="E283" s="120">
        <v>3.9057749999999998</v>
      </c>
    </row>
    <row r="284" spans="1:5">
      <c r="A284" t="s">
        <v>96</v>
      </c>
      <c r="B284" t="s">
        <v>371</v>
      </c>
      <c r="C284" t="s">
        <v>371</v>
      </c>
      <c r="D284" s="123"/>
      <c r="E284" s="120"/>
    </row>
    <row r="285" spans="1:5">
      <c r="A285" t="s">
        <v>96</v>
      </c>
      <c r="B285" t="s">
        <v>97</v>
      </c>
      <c r="C285" t="s">
        <v>668</v>
      </c>
      <c r="D285" s="123">
        <v>2</v>
      </c>
      <c r="E285" s="120">
        <v>27.553000000000001</v>
      </c>
    </row>
    <row r="286" spans="1:5">
      <c r="A286" t="s">
        <v>96</v>
      </c>
      <c r="B286" t="s">
        <v>97</v>
      </c>
      <c r="C286" t="s">
        <v>557</v>
      </c>
      <c r="D286" s="123">
        <v>103</v>
      </c>
      <c r="E286" s="120">
        <v>11.978425682866771</v>
      </c>
    </row>
    <row r="287" spans="1:5">
      <c r="A287" t="s">
        <v>96</v>
      </c>
      <c r="B287" t="s">
        <v>97</v>
      </c>
      <c r="C287" t="s">
        <v>43</v>
      </c>
      <c r="D287" s="123">
        <v>93</v>
      </c>
      <c r="E287" s="120">
        <v>12.1079025</v>
      </c>
    </row>
    <row r="288" spans="1:5">
      <c r="A288" t="s">
        <v>96</v>
      </c>
      <c r="B288" t="s">
        <v>97</v>
      </c>
      <c r="C288" t="s">
        <v>44</v>
      </c>
      <c r="D288" s="123">
        <v>25</v>
      </c>
      <c r="E288" s="120">
        <v>0.625</v>
      </c>
    </row>
    <row r="289" spans="1:5">
      <c r="A289" t="s">
        <v>96</v>
      </c>
      <c r="B289" t="s">
        <v>97</v>
      </c>
      <c r="C289" t="s">
        <v>52</v>
      </c>
      <c r="D289" s="123">
        <v>6</v>
      </c>
      <c r="E289" s="120">
        <v>3.9000000000000004</v>
      </c>
    </row>
    <row r="290" spans="1:5">
      <c r="A290" t="s">
        <v>96</v>
      </c>
      <c r="B290" t="s">
        <v>97</v>
      </c>
      <c r="C290" t="s">
        <v>114</v>
      </c>
      <c r="D290" s="123">
        <v>5</v>
      </c>
      <c r="E290" s="120">
        <v>0.14000000000000001</v>
      </c>
    </row>
    <row r="291" spans="1:5">
      <c r="A291" t="s">
        <v>96</v>
      </c>
      <c r="B291" t="s">
        <v>371</v>
      </c>
      <c r="C291" t="s">
        <v>371</v>
      </c>
      <c r="D291" s="123"/>
      <c r="E291" s="120"/>
    </row>
    <row r="292" spans="1:5">
      <c r="A292" t="s">
        <v>96</v>
      </c>
      <c r="B292" t="s">
        <v>610</v>
      </c>
      <c r="C292" t="s">
        <v>668</v>
      </c>
      <c r="D292" s="123">
        <v>2</v>
      </c>
      <c r="E292" s="120">
        <v>27.553000000000001</v>
      </c>
    </row>
    <row r="293" spans="1:5">
      <c r="A293" t="s">
        <v>96</v>
      </c>
      <c r="B293" t="s">
        <v>610</v>
      </c>
      <c r="C293" t="s">
        <v>557</v>
      </c>
      <c r="D293" s="123">
        <v>103</v>
      </c>
      <c r="E293" s="120">
        <v>11.978425682866771</v>
      </c>
    </row>
    <row r="294" spans="1:5">
      <c r="A294" t="s">
        <v>96</v>
      </c>
      <c r="B294" t="s">
        <v>610</v>
      </c>
      <c r="C294" t="s">
        <v>43</v>
      </c>
      <c r="D294" s="123">
        <v>93</v>
      </c>
      <c r="E294" s="120">
        <v>12.1079025</v>
      </c>
    </row>
    <row r="295" spans="1:5">
      <c r="A295" t="s">
        <v>96</v>
      </c>
      <c r="B295" t="s">
        <v>610</v>
      </c>
      <c r="C295" t="s">
        <v>44</v>
      </c>
      <c r="D295" s="123">
        <v>25</v>
      </c>
      <c r="E295" s="120">
        <v>0.625</v>
      </c>
    </row>
    <row r="296" spans="1:5">
      <c r="A296" t="s">
        <v>96</v>
      </c>
      <c r="B296" t="s">
        <v>610</v>
      </c>
      <c r="C296" t="s">
        <v>52</v>
      </c>
      <c r="D296" s="123">
        <v>6</v>
      </c>
      <c r="E296" s="120">
        <v>3.9000000000000004</v>
      </c>
    </row>
    <row r="297" spans="1:5">
      <c r="A297" t="s">
        <v>96</v>
      </c>
      <c r="B297" t="s">
        <v>610</v>
      </c>
      <c r="C297" t="s">
        <v>114</v>
      </c>
      <c r="D297" s="123">
        <v>5</v>
      </c>
      <c r="E297" s="120">
        <v>0.14000000000000001</v>
      </c>
    </row>
    <row r="298" spans="1:5">
      <c r="A298" t="s">
        <v>96</v>
      </c>
      <c r="B298" t="s">
        <v>610</v>
      </c>
      <c r="C298" t="s">
        <v>427</v>
      </c>
      <c r="D298" s="123">
        <v>109</v>
      </c>
      <c r="E298" s="120">
        <v>5.2320000000000002</v>
      </c>
    </row>
    <row r="299" spans="1:5">
      <c r="A299" t="s">
        <v>96</v>
      </c>
      <c r="B299" t="s">
        <v>371</v>
      </c>
      <c r="C299" t="s">
        <v>371</v>
      </c>
      <c r="D299" s="123"/>
      <c r="E299" s="120"/>
    </row>
    <row r="300" spans="1:5">
      <c r="A300" t="s">
        <v>96</v>
      </c>
      <c r="B300" t="s">
        <v>611</v>
      </c>
      <c r="C300" t="s">
        <v>668</v>
      </c>
      <c r="D300" s="123">
        <v>2</v>
      </c>
      <c r="E300" s="120">
        <v>27.553000000000001</v>
      </c>
    </row>
    <row r="301" spans="1:5">
      <c r="A301" t="s">
        <v>96</v>
      </c>
      <c r="B301" t="s">
        <v>611</v>
      </c>
      <c r="C301" t="s">
        <v>557</v>
      </c>
      <c r="D301" s="123">
        <v>103</v>
      </c>
      <c r="E301" s="120">
        <v>11.978425682866771</v>
      </c>
    </row>
    <row r="302" spans="1:5">
      <c r="A302" t="s">
        <v>96</v>
      </c>
      <c r="B302" t="s">
        <v>611</v>
      </c>
      <c r="C302" t="s">
        <v>43</v>
      </c>
      <c r="D302" s="123">
        <v>93</v>
      </c>
      <c r="E302" s="120">
        <v>12.1079025</v>
      </c>
    </row>
    <row r="303" spans="1:5">
      <c r="A303" t="s">
        <v>96</v>
      </c>
      <c r="B303" t="s">
        <v>611</v>
      </c>
      <c r="C303" t="s">
        <v>44</v>
      </c>
      <c r="D303" s="123">
        <v>25</v>
      </c>
      <c r="E303" s="120">
        <v>0.625</v>
      </c>
    </row>
    <row r="304" spans="1:5">
      <c r="A304" t="s">
        <v>96</v>
      </c>
      <c r="B304" t="s">
        <v>611</v>
      </c>
      <c r="C304" t="s">
        <v>52</v>
      </c>
      <c r="D304" s="123">
        <v>6</v>
      </c>
      <c r="E304" s="120">
        <v>3.9000000000000004</v>
      </c>
    </row>
    <row r="305" spans="1:5">
      <c r="A305" t="s">
        <v>96</v>
      </c>
      <c r="B305" t="s">
        <v>611</v>
      </c>
      <c r="C305" t="s">
        <v>114</v>
      </c>
      <c r="D305" s="123">
        <v>5</v>
      </c>
      <c r="E305" s="120">
        <v>0.14000000000000001</v>
      </c>
    </row>
    <row r="306" spans="1:5">
      <c r="A306" t="s">
        <v>96</v>
      </c>
      <c r="B306" t="s">
        <v>611</v>
      </c>
      <c r="C306" t="s">
        <v>295</v>
      </c>
      <c r="D306" s="123">
        <v>115</v>
      </c>
      <c r="E306" s="120">
        <v>14.1781568</v>
      </c>
    </row>
    <row r="307" spans="1:5">
      <c r="A307" t="s">
        <v>96</v>
      </c>
      <c r="B307" t="s">
        <v>371</v>
      </c>
      <c r="C307" t="s">
        <v>371</v>
      </c>
      <c r="D307" s="123"/>
      <c r="E307" s="120"/>
    </row>
    <row r="308" spans="1:5">
      <c r="A308" t="s">
        <v>96</v>
      </c>
      <c r="B308" t="s">
        <v>612</v>
      </c>
      <c r="C308" t="s">
        <v>57</v>
      </c>
      <c r="D308" s="123">
        <v>6</v>
      </c>
      <c r="E308" s="120">
        <v>1.6800000000000002</v>
      </c>
    </row>
    <row r="309" spans="1:5">
      <c r="A309" t="s">
        <v>96</v>
      </c>
      <c r="B309" t="s">
        <v>612</v>
      </c>
      <c r="C309" t="s">
        <v>10</v>
      </c>
      <c r="D309" s="123">
        <v>8</v>
      </c>
      <c r="E309" s="120">
        <v>0.14399999999999999</v>
      </c>
    </row>
    <row r="310" spans="1:5">
      <c r="A310" t="s">
        <v>96</v>
      </c>
      <c r="B310" t="s">
        <v>612</v>
      </c>
      <c r="C310" t="s">
        <v>558</v>
      </c>
      <c r="D310" s="123">
        <v>20</v>
      </c>
      <c r="E310" s="120">
        <v>0</v>
      </c>
    </row>
    <row r="311" spans="1:5">
      <c r="A311" t="s">
        <v>96</v>
      </c>
      <c r="B311" t="s">
        <v>371</v>
      </c>
      <c r="C311" t="s">
        <v>371</v>
      </c>
      <c r="D311" s="123"/>
      <c r="E311" s="120"/>
    </row>
    <row r="312" spans="1:5">
      <c r="A312" t="s">
        <v>96</v>
      </c>
      <c r="B312" t="s">
        <v>98</v>
      </c>
      <c r="C312" t="s">
        <v>57</v>
      </c>
      <c r="D312" s="123">
        <v>6</v>
      </c>
      <c r="E312" s="120">
        <v>1.6800000000000002</v>
      </c>
    </row>
    <row r="313" spans="1:5">
      <c r="A313" t="s">
        <v>96</v>
      </c>
      <c r="B313" t="s">
        <v>98</v>
      </c>
      <c r="C313" t="s">
        <v>58</v>
      </c>
      <c r="D313" s="123">
        <v>31</v>
      </c>
      <c r="E313" s="120">
        <v>0</v>
      </c>
    </row>
    <row r="314" spans="1:5">
      <c r="A314" t="s">
        <v>96</v>
      </c>
      <c r="B314" t="s">
        <v>98</v>
      </c>
      <c r="C314" t="s">
        <v>427</v>
      </c>
      <c r="D314" s="123">
        <v>350</v>
      </c>
      <c r="E314" s="120">
        <v>16.8</v>
      </c>
    </row>
    <row r="315" spans="1:5">
      <c r="A315" t="s">
        <v>96</v>
      </c>
      <c r="B315" t="s">
        <v>98</v>
      </c>
      <c r="C315" t="s">
        <v>52</v>
      </c>
      <c r="D315" s="123">
        <v>6</v>
      </c>
      <c r="E315" s="120">
        <v>3.9000000000000004</v>
      </c>
    </row>
    <row r="316" spans="1:5">
      <c r="A316" t="s">
        <v>96</v>
      </c>
      <c r="B316" t="s">
        <v>98</v>
      </c>
      <c r="C316" t="s">
        <v>53</v>
      </c>
      <c r="D316" s="123">
        <v>3</v>
      </c>
      <c r="E316" s="120">
        <v>1.7999999999999998</v>
      </c>
    </row>
    <row r="317" spans="1:5">
      <c r="A317" t="s">
        <v>96</v>
      </c>
      <c r="B317" t="s">
        <v>98</v>
      </c>
      <c r="C317" t="s">
        <v>114</v>
      </c>
      <c r="D317" s="123">
        <v>5</v>
      </c>
      <c r="E317" s="120">
        <v>0.14000000000000001</v>
      </c>
    </row>
    <row r="318" spans="1:5">
      <c r="A318" t="s">
        <v>96</v>
      </c>
      <c r="B318" t="s">
        <v>98</v>
      </c>
      <c r="C318" t="s">
        <v>32</v>
      </c>
      <c r="D318" s="123">
        <v>18</v>
      </c>
      <c r="E318" s="120">
        <v>0.63000000000000012</v>
      </c>
    </row>
    <row r="319" spans="1:5">
      <c r="A319" t="s">
        <v>96</v>
      </c>
      <c r="B319" t="s">
        <v>98</v>
      </c>
      <c r="C319" t="s">
        <v>54</v>
      </c>
      <c r="D319" s="123">
        <v>10</v>
      </c>
      <c r="E319" s="120">
        <v>1.4000000000000001</v>
      </c>
    </row>
    <row r="320" spans="1:5">
      <c r="A320" t="s">
        <v>96</v>
      </c>
      <c r="B320" t="s">
        <v>98</v>
      </c>
      <c r="C320" t="s">
        <v>557</v>
      </c>
      <c r="D320" s="123">
        <v>118</v>
      </c>
      <c r="E320" s="120">
        <v>13.722856607556107</v>
      </c>
    </row>
    <row r="321" spans="1:5">
      <c r="A321" t="s">
        <v>96</v>
      </c>
      <c r="B321" t="s">
        <v>98</v>
      </c>
      <c r="C321" t="s">
        <v>43</v>
      </c>
      <c r="D321" s="123">
        <v>30</v>
      </c>
      <c r="E321" s="120">
        <v>3.9057749999999998</v>
      </c>
    </row>
    <row r="322" spans="1:5">
      <c r="A322" t="s">
        <v>96</v>
      </c>
      <c r="B322" t="s">
        <v>371</v>
      </c>
      <c r="C322" t="s">
        <v>371</v>
      </c>
      <c r="D322" s="123"/>
      <c r="E322" s="120"/>
    </row>
    <row r="323" spans="1:5">
      <c r="A323" t="s">
        <v>96</v>
      </c>
      <c r="B323" t="s">
        <v>99</v>
      </c>
      <c r="C323" t="s">
        <v>676</v>
      </c>
      <c r="D323" s="123">
        <v>1</v>
      </c>
      <c r="E323" s="120">
        <v>0.76</v>
      </c>
    </row>
    <row r="324" spans="1:5">
      <c r="A324" t="s">
        <v>96</v>
      </c>
      <c r="B324" t="s">
        <v>99</v>
      </c>
      <c r="C324" t="s">
        <v>55</v>
      </c>
      <c r="D324" s="123">
        <v>10</v>
      </c>
      <c r="E324" s="120">
        <v>0.15959999999999999</v>
      </c>
    </row>
    <row r="325" spans="1:5">
      <c r="A325" t="s">
        <v>96</v>
      </c>
      <c r="B325" t="s">
        <v>99</v>
      </c>
      <c r="C325" t="s">
        <v>52</v>
      </c>
      <c r="D325" s="123">
        <v>6</v>
      </c>
      <c r="E325" s="120">
        <v>3.9000000000000004</v>
      </c>
    </row>
    <row r="326" spans="1:5">
      <c r="A326" t="s">
        <v>96</v>
      </c>
      <c r="B326" t="s">
        <v>99</v>
      </c>
      <c r="C326" t="s">
        <v>53</v>
      </c>
      <c r="D326" s="123">
        <v>3</v>
      </c>
      <c r="E326" s="120">
        <v>1.7999999999999998</v>
      </c>
    </row>
    <row r="327" spans="1:5">
      <c r="A327" t="s">
        <v>96</v>
      </c>
      <c r="B327" t="s">
        <v>99</v>
      </c>
      <c r="C327" t="s">
        <v>114</v>
      </c>
      <c r="D327" s="123">
        <v>5</v>
      </c>
      <c r="E327" s="120">
        <v>0.14000000000000001</v>
      </c>
    </row>
    <row r="328" spans="1:5">
      <c r="A328" t="s">
        <v>96</v>
      </c>
      <c r="B328" t="s">
        <v>99</v>
      </c>
      <c r="C328" t="s">
        <v>32</v>
      </c>
      <c r="D328" s="123">
        <v>18</v>
      </c>
      <c r="E328" s="120">
        <v>0.63000000000000012</v>
      </c>
    </row>
    <row r="329" spans="1:5">
      <c r="A329" t="s">
        <v>96</v>
      </c>
      <c r="B329" t="s">
        <v>99</v>
      </c>
      <c r="C329" t="s">
        <v>54</v>
      </c>
      <c r="D329" s="123">
        <v>16</v>
      </c>
      <c r="E329" s="120">
        <v>2.2400000000000002</v>
      </c>
    </row>
    <row r="330" spans="1:5">
      <c r="A330" t="s">
        <v>96</v>
      </c>
      <c r="B330" t="s">
        <v>99</v>
      </c>
      <c r="C330" t="s">
        <v>427</v>
      </c>
      <c r="D330" s="123">
        <v>350</v>
      </c>
      <c r="E330" s="120">
        <v>16.8</v>
      </c>
    </row>
    <row r="331" spans="1:5">
      <c r="A331" t="s">
        <v>96</v>
      </c>
      <c r="B331" t="s">
        <v>99</v>
      </c>
      <c r="C331" t="s">
        <v>58</v>
      </c>
      <c r="D331" s="123">
        <v>68</v>
      </c>
      <c r="E331" s="120">
        <v>0</v>
      </c>
    </row>
    <row r="332" spans="1:5">
      <c r="A332" t="s">
        <v>96</v>
      </c>
      <c r="B332" t="s">
        <v>99</v>
      </c>
      <c r="C332" t="s">
        <v>557</v>
      </c>
      <c r="D332" s="123">
        <v>118</v>
      </c>
      <c r="E332" s="120">
        <v>13.722856607556107</v>
      </c>
    </row>
    <row r="333" spans="1:5">
      <c r="A333" t="s">
        <v>96</v>
      </c>
      <c r="B333" t="s">
        <v>99</v>
      </c>
      <c r="C333" t="s">
        <v>43</v>
      </c>
      <c r="D333" s="123">
        <v>30</v>
      </c>
      <c r="E333" s="120">
        <v>3.9057749999999998</v>
      </c>
    </row>
    <row r="334" spans="1:5">
      <c r="A334" t="s">
        <v>96</v>
      </c>
      <c r="B334" t="s">
        <v>99</v>
      </c>
      <c r="C334" t="s">
        <v>288</v>
      </c>
      <c r="D334" s="123">
        <v>1</v>
      </c>
      <c r="E334" s="120">
        <v>0.1399</v>
      </c>
    </row>
    <row r="335" spans="1:5">
      <c r="A335" t="s">
        <v>96</v>
      </c>
      <c r="D335" s="123"/>
      <c r="E335" s="120"/>
    </row>
    <row r="336" spans="1:5">
      <c r="A336" t="s">
        <v>96</v>
      </c>
      <c r="D336" s="123"/>
      <c r="E336" s="120"/>
    </row>
    <row r="337" spans="1:5">
      <c r="A337" t="s">
        <v>96</v>
      </c>
      <c r="D337" s="123"/>
      <c r="E337" s="120"/>
    </row>
    <row r="338" spans="1:5">
      <c r="A338" t="s">
        <v>96</v>
      </c>
      <c r="B338" t="s">
        <v>613</v>
      </c>
      <c r="C338" t="s">
        <v>557</v>
      </c>
      <c r="D338" s="123">
        <v>118</v>
      </c>
      <c r="E338" s="120">
        <v>13.722856607556107</v>
      </c>
    </row>
    <row r="339" spans="1:5">
      <c r="A339" t="s">
        <v>96</v>
      </c>
      <c r="B339" t="s">
        <v>613</v>
      </c>
      <c r="C339" t="s">
        <v>43</v>
      </c>
      <c r="D339" s="123">
        <v>30</v>
      </c>
      <c r="E339" s="120">
        <v>3.9057749999999998</v>
      </c>
    </row>
    <row r="340" spans="1:5">
      <c r="A340" t="s">
        <v>96</v>
      </c>
      <c r="B340" t="s">
        <v>613</v>
      </c>
      <c r="C340" t="s">
        <v>561</v>
      </c>
      <c r="D340" s="123">
        <v>190</v>
      </c>
      <c r="E340" s="120">
        <v>12.315368700000004</v>
      </c>
    </row>
    <row r="341" spans="1:5">
      <c r="A341" t="s">
        <v>96</v>
      </c>
      <c r="B341" t="s">
        <v>613</v>
      </c>
      <c r="C341" t="s">
        <v>52</v>
      </c>
      <c r="D341" s="123">
        <v>6</v>
      </c>
      <c r="E341" s="120">
        <v>3.9000000000000004</v>
      </c>
    </row>
    <row r="342" spans="1:5">
      <c r="A342" t="s">
        <v>96</v>
      </c>
      <c r="B342" t="s">
        <v>613</v>
      </c>
      <c r="C342" t="s">
        <v>53</v>
      </c>
      <c r="D342" s="123">
        <v>3</v>
      </c>
      <c r="E342" s="120">
        <v>1.7999999999999998</v>
      </c>
    </row>
    <row r="343" spans="1:5">
      <c r="A343" t="s">
        <v>96</v>
      </c>
      <c r="B343" t="s">
        <v>613</v>
      </c>
      <c r="C343" t="s">
        <v>114</v>
      </c>
      <c r="D343" s="123">
        <v>5</v>
      </c>
      <c r="E343" s="120">
        <v>0.14000000000000001</v>
      </c>
    </row>
    <row r="344" spans="1:5">
      <c r="A344" t="s">
        <v>96</v>
      </c>
      <c r="B344" t="s">
        <v>613</v>
      </c>
      <c r="C344" t="s">
        <v>32</v>
      </c>
      <c r="D344" s="123">
        <v>18</v>
      </c>
      <c r="E344" s="120">
        <v>0.63000000000000012</v>
      </c>
    </row>
    <row r="345" spans="1:5">
      <c r="A345" t="s">
        <v>96</v>
      </c>
      <c r="B345" t="s">
        <v>613</v>
      </c>
      <c r="C345" t="s">
        <v>54</v>
      </c>
      <c r="D345" s="123">
        <v>10</v>
      </c>
      <c r="E345" s="120">
        <v>1.4000000000000001</v>
      </c>
    </row>
    <row r="346" spans="1:5">
      <c r="A346" t="s">
        <v>96</v>
      </c>
      <c r="B346" t="s">
        <v>613</v>
      </c>
      <c r="C346" t="s">
        <v>427</v>
      </c>
      <c r="D346" s="123">
        <v>250</v>
      </c>
      <c r="E346" s="120">
        <v>12</v>
      </c>
    </row>
    <row r="347" spans="1:5">
      <c r="A347" t="s">
        <v>93</v>
      </c>
      <c r="B347" t="s">
        <v>614</v>
      </c>
      <c r="C347" t="s">
        <v>56</v>
      </c>
      <c r="D347" s="123">
        <v>230</v>
      </c>
      <c r="E347" s="120">
        <v>8.3827180000000006</v>
      </c>
    </row>
    <row r="348" spans="1:5">
      <c r="A348" t="s">
        <v>93</v>
      </c>
      <c r="B348" t="s">
        <v>614</v>
      </c>
      <c r="C348" t="s">
        <v>10</v>
      </c>
      <c r="D348" s="123">
        <v>18</v>
      </c>
      <c r="E348" s="120">
        <v>0.32399999999999995</v>
      </c>
    </row>
    <row r="349" spans="1:5">
      <c r="A349" t="s">
        <v>93</v>
      </c>
      <c r="B349" t="s">
        <v>614</v>
      </c>
      <c r="C349" t="s">
        <v>20</v>
      </c>
      <c r="D349" s="123">
        <v>30</v>
      </c>
      <c r="E349" s="120">
        <v>0.56999999999999995</v>
      </c>
    </row>
    <row r="350" spans="1:5">
      <c r="A350" t="s">
        <v>93</v>
      </c>
      <c r="B350" t="s">
        <v>614</v>
      </c>
      <c r="C350" t="s">
        <v>6</v>
      </c>
      <c r="D350" s="123">
        <v>20</v>
      </c>
      <c r="E350" s="120">
        <v>0</v>
      </c>
    </row>
    <row r="351" spans="1:5">
      <c r="A351" t="s">
        <v>93</v>
      </c>
      <c r="B351" t="s">
        <v>614</v>
      </c>
      <c r="C351" t="s">
        <v>41</v>
      </c>
      <c r="D351" s="123">
        <v>2</v>
      </c>
      <c r="E351" s="120">
        <v>20.669415000000001</v>
      </c>
    </row>
    <row r="352" spans="1:5">
      <c r="A352" t="s">
        <v>93</v>
      </c>
      <c r="B352" t="s">
        <v>371</v>
      </c>
      <c r="C352" t="s">
        <v>371</v>
      </c>
      <c r="D352" s="123"/>
      <c r="E352" s="120"/>
    </row>
    <row r="353" spans="1:5">
      <c r="A353" t="s">
        <v>93</v>
      </c>
      <c r="B353" t="s">
        <v>615</v>
      </c>
      <c r="C353" t="s">
        <v>56</v>
      </c>
      <c r="D353" s="123">
        <v>230</v>
      </c>
      <c r="E353" s="120">
        <v>8.3827180000000006</v>
      </c>
    </row>
    <row r="354" spans="1:5">
      <c r="A354" t="s">
        <v>93</v>
      </c>
      <c r="B354" t="s">
        <v>615</v>
      </c>
      <c r="C354" t="s">
        <v>10</v>
      </c>
      <c r="D354" s="123">
        <v>18</v>
      </c>
      <c r="E354" s="120">
        <v>0.32399999999999995</v>
      </c>
    </row>
    <row r="355" spans="1:5">
      <c r="A355" t="s">
        <v>93</v>
      </c>
      <c r="B355" t="s">
        <v>615</v>
      </c>
      <c r="C355" t="s">
        <v>20</v>
      </c>
      <c r="D355" s="123">
        <v>30</v>
      </c>
      <c r="E355" s="120">
        <v>0.56999999999999995</v>
      </c>
    </row>
    <row r="356" spans="1:5">
      <c r="A356" t="s">
        <v>93</v>
      </c>
      <c r="B356" t="s">
        <v>615</v>
      </c>
      <c r="C356" t="s">
        <v>6</v>
      </c>
      <c r="D356" s="123">
        <v>20</v>
      </c>
      <c r="E356" s="120">
        <v>0</v>
      </c>
    </row>
    <row r="357" spans="1:5">
      <c r="A357" t="s">
        <v>93</v>
      </c>
      <c r="B357" t="s">
        <v>615</v>
      </c>
      <c r="C357" t="s">
        <v>5</v>
      </c>
      <c r="D357" s="123">
        <v>2</v>
      </c>
      <c r="E357" s="120">
        <v>70</v>
      </c>
    </row>
    <row r="358" spans="1:5">
      <c r="A358" t="s">
        <v>93</v>
      </c>
      <c r="B358" t="s">
        <v>371</v>
      </c>
      <c r="C358" t="s">
        <v>371</v>
      </c>
      <c r="D358" s="123"/>
      <c r="E358" s="120"/>
    </row>
    <row r="359" spans="1:5">
      <c r="A359" t="s">
        <v>93</v>
      </c>
      <c r="B359" t="s">
        <v>42</v>
      </c>
      <c r="C359" t="s">
        <v>42</v>
      </c>
      <c r="D359" s="123">
        <v>2</v>
      </c>
      <c r="E359" s="120">
        <v>22.643041000000004</v>
      </c>
    </row>
    <row r="360" spans="1:5">
      <c r="A360" t="s">
        <v>93</v>
      </c>
      <c r="B360" t="s">
        <v>42</v>
      </c>
      <c r="C360" t="s">
        <v>120</v>
      </c>
      <c r="D360" s="123">
        <v>86</v>
      </c>
      <c r="E360" s="120">
        <v>2.2914331780723756</v>
      </c>
    </row>
    <row r="361" spans="1:5">
      <c r="A361" t="s">
        <v>93</v>
      </c>
      <c r="B361" t="s">
        <v>42</v>
      </c>
      <c r="C361" t="s">
        <v>43</v>
      </c>
      <c r="D361" s="123">
        <v>30</v>
      </c>
      <c r="E361" s="120">
        <v>3.9057749999999998</v>
      </c>
    </row>
    <row r="362" spans="1:5">
      <c r="A362" t="s">
        <v>93</v>
      </c>
      <c r="B362" t="s">
        <v>42</v>
      </c>
      <c r="C362" t="s">
        <v>44</v>
      </c>
      <c r="D362" s="123">
        <v>30</v>
      </c>
      <c r="E362" s="120">
        <v>0.75</v>
      </c>
    </row>
    <row r="363" spans="1:5">
      <c r="A363" t="s">
        <v>93</v>
      </c>
      <c r="B363" t="s">
        <v>371</v>
      </c>
      <c r="C363" t="s">
        <v>371</v>
      </c>
      <c r="D363" s="123"/>
      <c r="E363" s="120"/>
    </row>
    <row r="364" spans="1:5">
      <c r="A364" t="s">
        <v>93</v>
      </c>
      <c r="B364" t="s">
        <v>94</v>
      </c>
      <c r="C364" t="s">
        <v>45</v>
      </c>
      <c r="D364" s="123">
        <v>2</v>
      </c>
      <c r="E364" s="120">
        <v>35.200000000000003</v>
      </c>
    </row>
    <row r="365" spans="1:5">
      <c r="A365" t="s">
        <v>93</v>
      </c>
      <c r="B365" t="s">
        <v>94</v>
      </c>
      <c r="C365" t="s">
        <v>120</v>
      </c>
      <c r="D365" s="123">
        <v>86</v>
      </c>
      <c r="E365" s="120">
        <v>2.2914331780723756</v>
      </c>
    </row>
    <row r="366" spans="1:5">
      <c r="A366" t="s">
        <v>93</v>
      </c>
      <c r="B366" t="s">
        <v>94</v>
      </c>
      <c r="C366" t="s">
        <v>43</v>
      </c>
      <c r="D366" s="123">
        <v>30</v>
      </c>
      <c r="E366" s="120">
        <v>3.9057749999999998</v>
      </c>
    </row>
    <row r="367" spans="1:5">
      <c r="A367" t="s">
        <v>93</v>
      </c>
      <c r="B367" t="s">
        <v>94</v>
      </c>
      <c r="C367" t="s">
        <v>44</v>
      </c>
      <c r="D367" s="123">
        <v>30</v>
      </c>
      <c r="E367" s="120">
        <v>0.75</v>
      </c>
    </row>
    <row r="368" spans="1:5">
      <c r="A368" t="s">
        <v>93</v>
      </c>
      <c r="B368" t="s">
        <v>371</v>
      </c>
      <c r="C368" t="s">
        <v>371</v>
      </c>
      <c r="D368" s="123"/>
      <c r="E368" s="120"/>
    </row>
    <row r="369" spans="1:5">
      <c r="A369" t="s">
        <v>93</v>
      </c>
      <c r="B369" t="s">
        <v>616</v>
      </c>
      <c r="C369" t="s">
        <v>10</v>
      </c>
      <c r="D369" s="123">
        <v>18</v>
      </c>
      <c r="E369" s="120">
        <v>0.32399999999999995</v>
      </c>
    </row>
    <row r="370" spans="1:5">
      <c r="A370" t="s">
        <v>93</v>
      </c>
      <c r="B370" t="s">
        <v>616</v>
      </c>
      <c r="C370" t="s">
        <v>6</v>
      </c>
      <c r="D370" s="123">
        <v>20</v>
      </c>
      <c r="E370" s="120">
        <v>0</v>
      </c>
    </row>
    <row r="371" spans="1:5">
      <c r="A371" t="s">
        <v>93</v>
      </c>
      <c r="B371" t="s">
        <v>616</v>
      </c>
      <c r="C371" t="s">
        <v>56</v>
      </c>
      <c r="D371" s="123">
        <v>230</v>
      </c>
      <c r="E371" s="120">
        <v>8.3827180000000006</v>
      </c>
    </row>
    <row r="372" spans="1:5">
      <c r="A372" t="s">
        <v>93</v>
      </c>
      <c r="B372" t="s">
        <v>371</v>
      </c>
      <c r="C372" t="s">
        <v>371</v>
      </c>
      <c r="D372" s="123"/>
      <c r="E372" s="120"/>
    </row>
    <row r="373" spans="1:5">
      <c r="A373" t="s">
        <v>93</v>
      </c>
      <c r="B373" t="s">
        <v>123</v>
      </c>
      <c r="C373" t="s">
        <v>46</v>
      </c>
      <c r="D373" s="123">
        <v>2</v>
      </c>
      <c r="E373" s="120">
        <v>36.010331034482761</v>
      </c>
    </row>
    <row r="374" spans="1:5">
      <c r="A374" t="s">
        <v>93</v>
      </c>
      <c r="B374" t="s">
        <v>123</v>
      </c>
      <c r="C374" t="s">
        <v>47</v>
      </c>
      <c r="D374" s="123">
        <v>190</v>
      </c>
      <c r="E374" s="120">
        <v>11.923505882352941</v>
      </c>
    </row>
    <row r="375" spans="1:5">
      <c r="A375" t="s">
        <v>93</v>
      </c>
      <c r="B375" t="s">
        <v>371</v>
      </c>
      <c r="C375" t="s">
        <v>371</v>
      </c>
      <c r="D375" s="123"/>
      <c r="E375" s="120"/>
    </row>
    <row r="376" spans="1:5">
      <c r="A376" t="s">
        <v>93</v>
      </c>
      <c r="B376" t="s">
        <v>95</v>
      </c>
      <c r="C376" t="s">
        <v>295</v>
      </c>
      <c r="D376" s="123">
        <v>230</v>
      </c>
      <c r="E376" s="120">
        <v>28.3563136</v>
      </c>
    </row>
    <row r="377" spans="1:5">
      <c r="A377" t="s">
        <v>93</v>
      </c>
      <c r="B377" t="s">
        <v>95</v>
      </c>
      <c r="C377" t="s">
        <v>20</v>
      </c>
      <c r="D377" s="123">
        <v>30</v>
      </c>
      <c r="E377" s="120">
        <v>0.56999999999999995</v>
      </c>
    </row>
    <row r="378" spans="1:5">
      <c r="A378" t="s">
        <v>93</v>
      </c>
      <c r="B378" t="s">
        <v>95</v>
      </c>
      <c r="C378" t="s">
        <v>6</v>
      </c>
      <c r="D378" s="123">
        <v>20</v>
      </c>
      <c r="E378" s="120">
        <v>0</v>
      </c>
    </row>
    <row r="379" spans="1:5">
      <c r="A379" t="s">
        <v>93</v>
      </c>
      <c r="B379" t="s">
        <v>95</v>
      </c>
      <c r="C379" t="s">
        <v>48</v>
      </c>
      <c r="D379" s="123">
        <v>2</v>
      </c>
      <c r="E379" s="120">
        <v>4.5743076923076931</v>
      </c>
    </row>
    <row r="380" spans="1:5">
      <c r="A380" t="s">
        <v>93</v>
      </c>
      <c r="B380" t="s">
        <v>371</v>
      </c>
      <c r="C380" t="s">
        <v>371</v>
      </c>
      <c r="D380" s="123"/>
      <c r="E380" s="120"/>
    </row>
    <row r="381" spans="1:5">
      <c r="A381" t="s">
        <v>93</v>
      </c>
      <c r="B381" t="s">
        <v>617</v>
      </c>
      <c r="C381" t="s">
        <v>10</v>
      </c>
      <c r="D381" s="123">
        <v>40</v>
      </c>
      <c r="E381" s="120">
        <v>0.72</v>
      </c>
    </row>
    <row r="382" spans="1:5">
      <c r="A382" t="s">
        <v>93</v>
      </c>
      <c r="B382" t="s">
        <v>617</v>
      </c>
      <c r="C382" t="s">
        <v>391</v>
      </c>
      <c r="D382" s="123">
        <v>400</v>
      </c>
      <c r="E382" s="120">
        <v>40</v>
      </c>
    </row>
    <row r="383" spans="1:5">
      <c r="A383" t="s">
        <v>93</v>
      </c>
      <c r="B383" t="s">
        <v>617</v>
      </c>
      <c r="C383" t="s">
        <v>548</v>
      </c>
      <c r="D383" s="123">
        <v>400</v>
      </c>
      <c r="E383" s="120">
        <v>12.766695407407411</v>
      </c>
    </row>
    <row r="384" spans="1:5">
      <c r="A384" t="s">
        <v>93</v>
      </c>
      <c r="B384" t="s">
        <v>617</v>
      </c>
      <c r="C384" t="s">
        <v>114</v>
      </c>
      <c r="D384" s="123">
        <v>6</v>
      </c>
      <c r="E384" s="120">
        <v>0.16800000000000001</v>
      </c>
    </row>
    <row r="385" spans="1:5">
      <c r="A385" t="s">
        <v>93</v>
      </c>
      <c r="B385" t="s">
        <v>617</v>
      </c>
      <c r="C385" t="s">
        <v>49</v>
      </c>
      <c r="D385" s="123">
        <v>1</v>
      </c>
      <c r="E385" s="120">
        <v>0.89999999999999991</v>
      </c>
    </row>
    <row r="386" spans="1:5">
      <c r="A386" t="s">
        <v>93</v>
      </c>
      <c r="B386" t="s">
        <v>617</v>
      </c>
      <c r="C386" t="s">
        <v>336</v>
      </c>
      <c r="D386" s="123">
        <v>2</v>
      </c>
      <c r="E386" s="120">
        <v>0.47880000000000006</v>
      </c>
    </row>
    <row r="387" spans="1:5">
      <c r="A387" t="s">
        <v>93</v>
      </c>
      <c r="B387" t="s">
        <v>617</v>
      </c>
      <c r="C387" t="s">
        <v>544</v>
      </c>
      <c r="D387" s="123">
        <v>30</v>
      </c>
      <c r="E387" s="120">
        <v>0</v>
      </c>
    </row>
    <row r="388" spans="1:5">
      <c r="A388" t="s">
        <v>93</v>
      </c>
      <c r="B388" t="s">
        <v>617</v>
      </c>
      <c r="C388" t="s">
        <v>50</v>
      </c>
      <c r="D388" s="123">
        <v>4</v>
      </c>
      <c r="E388" s="120">
        <v>0.432</v>
      </c>
    </row>
    <row r="389" spans="1:5">
      <c r="A389" t="s">
        <v>93</v>
      </c>
      <c r="B389" t="s">
        <v>617</v>
      </c>
      <c r="C389" t="s">
        <v>347</v>
      </c>
      <c r="D389" s="123">
        <v>10</v>
      </c>
      <c r="E389" s="120">
        <v>6.8000000000000007</v>
      </c>
    </row>
    <row r="390" spans="1:5">
      <c r="A390" t="s">
        <v>93</v>
      </c>
      <c r="B390" t="s">
        <v>617</v>
      </c>
      <c r="C390" t="s">
        <v>340</v>
      </c>
      <c r="D390" s="123">
        <v>2</v>
      </c>
      <c r="E390" s="120">
        <v>12</v>
      </c>
    </row>
    <row r="391" spans="1:5">
      <c r="A391" t="s">
        <v>93</v>
      </c>
      <c r="B391" t="s">
        <v>617</v>
      </c>
      <c r="C391" t="s">
        <v>380</v>
      </c>
      <c r="D391" s="123">
        <v>1</v>
      </c>
      <c r="E391" s="120">
        <v>0.63999600000000012</v>
      </c>
    </row>
    <row r="392" spans="1:5">
      <c r="A392" t="s">
        <v>93</v>
      </c>
      <c r="B392" t="s">
        <v>617</v>
      </c>
      <c r="C392" t="s">
        <v>380</v>
      </c>
      <c r="D392" s="123">
        <v>104</v>
      </c>
      <c r="E392" s="120">
        <v>55.46632000000001</v>
      </c>
    </row>
    <row r="393" spans="1:5">
      <c r="A393" t="s">
        <v>310</v>
      </c>
      <c r="B393" t="s">
        <v>82</v>
      </c>
      <c r="C393" t="s">
        <v>426</v>
      </c>
      <c r="D393" s="123">
        <v>300</v>
      </c>
      <c r="E393" s="120">
        <v>12</v>
      </c>
    </row>
    <row r="394" spans="1:5">
      <c r="A394" t="s">
        <v>310</v>
      </c>
      <c r="B394" t="s">
        <v>82</v>
      </c>
      <c r="C394" t="s">
        <v>670</v>
      </c>
      <c r="D394" s="123">
        <v>10</v>
      </c>
      <c r="E394" s="120">
        <v>0</v>
      </c>
    </row>
    <row r="395" spans="1:5">
      <c r="A395" t="s">
        <v>310</v>
      </c>
      <c r="B395" t="s">
        <v>82</v>
      </c>
      <c r="C395" t="s">
        <v>20</v>
      </c>
      <c r="D395" s="123">
        <v>30</v>
      </c>
      <c r="E395" s="120">
        <v>0.56999999999999995</v>
      </c>
    </row>
    <row r="396" spans="1:5">
      <c r="A396" t="s">
        <v>310</v>
      </c>
      <c r="B396" t="s">
        <v>82</v>
      </c>
      <c r="C396" t="s">
        <v>25</v>
      </c>
      <c r="D396" s="123">
        <v>30</v>
      </c>
      <c r="E396" s="120">
        <v>0.84</v>
      </c>
    </row>
    <row r="397" spans="1:5">
      <c r="A397" t="s">
        <v>310</v>
      </c>
      <c r="B397" t="s">
        <v>82</v>
      </c>
      <c r="C397" t="s">
        <v>31</v>
      </c>
      <c r="D397" s="123">
        <v>30</v>
      </c>
      <c r="E397" s="120">
        <v>0.48</v>
      </c>
    </row>
    <row r="398" spans="1:5">
      <c r="A398" t="s">
        <v>310</v>
      </c>
      <c r="B398" t="s">
        <v>82</v>
      </c>
      <c r="C398" t="s">
        <v>32</v>
      </c>
      <c r="D398" s="123">
        <v>15</v>
      </c>
      <c r="E398" s="120">
        <v>0.52500000000000002</v>
      </c>
    </row>
    <row r="399" spans="1:5">
      <c r="A399" t="s">
        <v>310</v>
      </c>
      <c r="B399" t="s">
        <v>82</v>
      </c>
      <c r="C399" t="s">
        <v>324</v>
      </c>
      <c r="D399" s="123">
        <v>10</v>
      </c>
      <c r="E399" s="120">
        <v>0.6</v>
      </c>
    </row>
    <row r="400" spans="1:5">
      <c r="A400" t="s">
        <v>310</v>
      </c>
      <c r="B400" t="s">
        <v>82</v>
      </c>
      <c r="C400" t="s">
        <v>114</v>
      </c>
      <c r="D400" s="123">
        <v>10</v>
      </c>
      <c r="E400" s="120">
        <v>0.28000000000000003</v>
      </c>
    </row>
    <row r="401" spans="1:5">
      <c r="A401" t="s">
        <v>310</v>
      </c>
      <c r="B401" t="s">
        <v>82</v>
      </c>
      <c r="C401" t="s">
        <v>33</v>
      </c>
      <c r="D401" s="123">
        <v>7</v>
      </c>
      <c r="E401" s="120">
        <v>1.68</v>
      </c>
    </row>
    <row r="402" spans="1:5">
      <c r="A402" t="s">
        <v>310</v>
      </c>
      <c r="B402" t="s">
        <v>82</v>
      </c>
      <c r="C402" t="s">
        <v>360</v>
      </c>
      <c r="D402" s="123">
        <v>17</v>
      </c>
      <c r="E402" s="120">
        <v>1.224</v>
      </c>
    </row>
    <row r="403" spans="1:5">
      <c r="A403" t="s">
        <v>310</v>
      </c>
      <c r="B403" t="s">
        <v>82</v>
      </c>
      <c r="C403" t="s">
        <v>552</v>
      </c>
      <c r="D403" s="123">
        <v>8</v>
      </c>
      <c r="E403" s="120">
        <v>0</v>
      </c>
    </row>
    <row r="404" spans="1:5">
      <c r="A404" t="s">
        <v>310</v>
      </c>
      <c r="B404" t="s">
        <v>82</v>
      </c>
      <c r="C404" t="s">
        <v>532</v>
      </c>
      <c r="D404" s="123">
        <v>7</v>
      </c>
      <c r="E404" s="120">
        <v>0.91</v>
      </c>
    </row>
    <row r="405" spans="1:5">
      <c r="A405" t="s">
        <v>310</v>
      </c>
      <c r="B405" t="s">
        <v>82</v>
      </c>
      <c r="C405" t="s">
        <v>362</v>
      </c>
      <c r="D405" s="123">
        <v>5</v>
      </c>
      <c r="E405" s="120">
        <v>0.22999999999999998</v>
      </c>
    </row>
    <row r="406" spans="1:5">
      <c r="B406" t="s">
        <v>371</v>
      </c>
      <c r="C406" t="s">
        <v>371</v>
      </c>
      <c r="D406" s="123"/>
      <c r="E406" s="120"/>
    </row>
    <row r="407" spans="1:5">
      <c r="A407" t="s">
        <v>310</v>
      </c>
      <c r="B407" t="s">
        <v>83</v>
      </c>
      <c r="C407" t="s">
        <v>532</v>
      </c>
      <c r="D407" s="123">
        <v>7</v>
      </c>
      <c r="E407" s="120">
        <v>0.91</v>
      </c>
    </row>
    <row r="408" spans="1:5">
      <c r="A408" t="s">
        <v>310</v>
      </c>
      <c r="B408" t="s">
        <v>83</v>
      </c>
      <c r="C408" t="s">
        <v>552</v>
      </c>
      <c r="D408" s="123">
        <v>10</v>
      </c>
      <c r="E408" s="120">
        <v>0</v>
      </c>
    </row>
    <row r="409" spans="1:5">
      <c r="A409" t="s">
        <v>310</v>
      </c>
      <c r="B409" t="s">
        <v>83</v>
      </c>
      <c r="C409" t="s">
        <v>360</v>
      </c>
      <c r="D409" s="123">
        <v>17</v>
      </c>
      <c r="E409" s="120">
        <v>1.224</v>
      </c>
    </row>
    <row r="410" spans="1:5">
      <c r="A410" t="s">
        <v>310</v>
      </c>
      <c r="B410" t="s">
        <v>83</v>
      </c>
      <c r="C410" t="s">
        <v>114</v>
      </c>
      <c r="D410" s="123">
        <v>6</v>
      </c>
      <c r="E410" s="120">
        <v>0.16800000000000001</v>
      </c>
    </row>
    <row r="411" spans="1:5">
      <c r="A411" t="s">
        <v>310</v>
      </c>
      <c r="B411" t="s">
        <v>83</v>
      </c>
      <c r="C411" t="s">
        <v>33</v>
      </c>
      <c r="D411" s="123">
        <v>6</v>
      </c>
      <c r="E411" s="120">
        <v>1.44</v>
      </c>
    </row>
    <row r="412" spans="1:5">
      <c r="A412" t="s">
        <v>310</v>
      </c>
      <c r="B412" t="s">
        <v>83</v>
      </c>
      <c r="C412" t="s">
        <v>670</v>
      </c>
      <c r="D412" s="123">
        <v>10</v>
      </c>
      <c r="E412" s="120">
        <v>0</v>
      </c>
    </row>
    <row r="413" spans="1:5">
      <c r="A413" t="s">
        <v>310</v>
      </c>
      <c r="B413" t="s">
        <v>83</v>
      </c>
      <c r="C413" t="s">
        <v>362</v>
      </c>
      <c r="D413" s="123">
        <v>4</v>
      </c>
      <c r="E413" s="120">
        <v>0.184</v>
      </c>
    </row>
    <row r="414" spans="1:5">
      <c r="A414" t="s">
        <v>310</v>
      </c>
      <c r="B414" t="s">
        <v>83</v>
      </c>
      <c r="C414" t="s">
        <v>32</v>
      </c>
      <c r="D414" s="123">
        <v>18</v>
      </c>
      <c r="E414" s="120">
        <v>0.63000000000000012</v>
      </c>
    </row>
    <row r="415" spans="1:5">
      <c r="A415" t="s">
        <v>310</v>
      </c>
      <c r="B415" t="s">
        <v>83</v>
      </c>
      <c r="C415" t="s">
        <v>34</v>
      </c>
      <c r="D415" s="123">
        <v>18</v>
      </c>
      <c r="E415" s="120">
        <v>1.6199999999999999</v>
      </c>
    </row>
    <row r="416" spans="1:5">
      <c r="A416" t="s">
        <v>310</v>
      </c>
      <c r="B416" t="s">
        <v>83</v>
      </c>
      <c r="C416" t="s">
        <v>35</v>
      </c>
      <c r="D416" s="123">
        <v>18</v>
      </c>
      <c r="E416" s="120">
        <v>0.57600000000000007</v>
      </c>
    </row>
    <row r="417" spans="1:5">
      <c r="A417" t="s">
        <v>310</v>
      </c>
      <c r="B417" t="s">
        <v>83</v>
      </c>
      <c r="C417" t="s">
        <v>324</v>
      </c>
      <c r="D417" s="123">
        <v>10</v>
      </c>
      <c r="E417" s="120">
        <v>0.6</v>
      </c>
    </row>
    <row r="418" spans="1:5">
      <c r="A418" t="s">
        <v>310</v>
      </c>
      <c r="B418" t="s">
        <v>83</v>
      </c>
      <c r="C418" t="s">
        <v>389</v>
      </c>
      <c r="D418" s="123">
        <v>140</v>
      </c>
      <c r="E418" s="120">
        <v>5.6000000000000005</v>
      </c>
    </row>
    <row r="419" spans="1:5">
      <c r="A419" t="s">
        <v>310</v>
      </c>
      <c r="B419" t="s">
        <v>83</v>
      </c>
      <c r="C419" t="s">
        <v>27</v>
      </c>
      <c r="D419" s="123">
        <v>10</v>
      </c>
      <c r="E419" s="120">
        <v>0.8</v>
      </c>
    </row>
    <row r="420" spans="1:5">
      <c r="B420" t="s">
        <v>371</v>
      </c>
      <c r="C420" t="s">
        <v>371</v>
      </c>
      <c r="D420" s="123"/>
      <c r="E420" s="120"/>
    </row>
    <row r="421" spans="1:5">
      <c r="A421" t="s">
        <v>310</v>
      </c>
      <c r="B421" t="s">
        <v>84</v>
      </c>
      <c r="C421" t="s">
        <v>330</v>
      </c>
      <c r="D421" s="123">
        <v>5</v>
      </c>
      <c r="E421" s="120">
        <v>0.89999999999999991</v>
      </c>
    </row>
    <row r="422" spans="1:5">
      <c r="A422" t="s">
        <v>310</v>
      </c>
      <c r="B422" t="s">
        <v>84</v>
      </c>
      <c r="C422" t="s">
        <v>36</v>
      </c>
      <c r="D422" s="123">
        <v>5</v>
      </c>
      <c r="E422" s="120">
        <v>0.89999999999999991</v>
      </c>
    </row>
    <row r="423" spans="1:5">
      <c r="A423" t="s">
        <v>310</v>
      </c>
      <c r="B423" t="s">
        <v>84</v>
      </c>
      <c r="C423" t="s">
        <v>17</v>
      </c>
      <c r="D423" s="123">
        <v>20</v>
      </c>
      <c r="E423" s="120">
        <v>5.4</v>
      </c>
    </row>
    <row r="424" spans="1:5">
      <c r="A424" t="s">
        <v>310</v>
      </c>
      <c r="B424" t="s">
        <v>84</v>
      </c>
      <c r="C424" t="s">
        <v>114</v>
      </c>
      <c r="D424" s="123">
        <v>5</v>
      </c>
      <c r="E424" s="120">
        <v>0.14000000000000001</v>
      </c>
    </row>
    <row r="425" spans="1:5">
      <c r="A425" t="s">
        <v>310</v>
      </c>
      <c r="B425" t="s">
        <v>84</v>
      </c>
      <c r="C425" t="s">
        <v>362</v>
      </c>
      <c r="D425" s="123">
        <v>6</v>
      </c>
      <c r="E425" s="120">
        <v>0.27600000000000002</v>
      </c>
    </row>
    <row r="426" spans="1:5">
      <c r="A426" t="s">
        <v>310</v>
      </c>
      <c r="B426" t="s">
        <v>84</v>
      </c>
      <c r="C426" t="s">
        <v>20</v>
      </c>
      <c r="D426" s="123">
        <v>30</v>
      </c>
      <c r="E426" s="120">
        <v>0.56999999999999995</v>
      </c>
    </row>
    <row r="427" spans="1:5">
      <c r="A427" t="s">
        <v>310</v>
      </c>
      <c r="B427" t="s">
        <v>84</v>
      </c>
      <c r="C427" t="s">
        <v>25</v>
      </c>
      <c r="D427" s="123">
        <v>30</v>
      </c>
      <c r="E427" s="120">
        <v>0.84</v>
      </c>
    </row>
    <row r="428" spans="1:5">
      <c r="A428" t="s">
        <v>310</v>
      </c>
      <c r="B428" t="s">
        <v>84</v>
      </c>
      <c r="C428" t="s">
        <v>31</v>
      </c>
      <c r="D428" s="123">
        <v>30</v>
      </c>
      <c r="E428" s="120">
        <v>0.48</v>
      </c>
    </row>
    <row r="429" spans="1:5">
      <c r="A429" t="s">
        <v>310</v>
      </c>
      <c r="B429" t="s">
        <v>84</v>
      </c>
      <c r="C429" t="s">
        <v>32</v>
      </c>
      <c r="D429" s="123">
        <v>15</v>
      </c>
      <c r="E429" s="120">
        <v>0.52500000000000002</v>
      </c>
    </row>
    <row r="430" spans="1:5">
      <c r="A430" t="s">
        <v>310</v>
      </c>
      <c r="B430" t="s">
        <v>84</v>
      </c>
      <c r="C430" t="s">
        <v>324</v>
      </c>
      <c r="D430" s="123">
        <v>10</v>
      </c>
      <c r="E430" s="120">
        <v>0.6</v>
      </c>
    </row>
    <row r="431" spans="1:5">
      <c r="A431" t="s">
        <v>310</v>
      </c>
      <c r="B431" t="s">
        <v>84</v>
      </c>
      <c r="C431" t="s">
        <v>33</v>
      </c>
      <c r="D431" s="123">
        <v>7</v>
      </c>
      <c r="E431" s="120">
        <v>1.68</v>
      </c>
    </row>
    <row r="432" spans="1:5">
      <c r="A432" t="s">
        <v>310</v>
      </c>
      <c r="B432" t="s">
        <v>84</v>
      </c>
      <c r="C432" t="s">
        <v>670</v>
      </c>
      <c r="D432" s="123">
        <v>10</v>
      </c>
      <c r="E432" s="120">
        <v>0</v>
      </c>
    </row>
    <row r="433" spans="1:5">
      <c r="A433" t="s">
        <v>310</v>
      </c>
      <c r="B433" t="s">
        <v>84</v>
      </c>
      <c r="C433" t="s">
        <v>426</v>
      </c>
      <c r="D433" s="123">
        <v>260</v>
      </c>
      <c r="E433" s="120">
        <v>10.4</v>
      </c>
    </row>
    <row r="434" spans="1:5">
      <c r="A434" t="s">
        <v>310</v>
      </c>
      <c r="B434" t="s">
        <v>371</v>
      </c>
      <c r="C434" t="s">
        <v>371</v>
      </c>
      <c r="D434" s="123"/>
      <c r="E434" s="120"/>
    </row>
    <row r="435" spans="1:5">
      <c r="A435" t="s">
        <v>310</v>
      </c>
      <c r="B435" t="s">
        <v>85</v>
      </c>
      <c r="C435" t="s">
        <v>330</v>
      </c>
      <c r="D435" s="123">
        <v>5</v>
      </c>
      <c r="E435" s="120">
        <v>0.89999999999999991</v>
      </c>
    </row>
    <row r="436" spans="1:5">
      <c r="A436" t="s">
        <v>310</v>
      </c>
      <c r="B436" t="s">
        <v>85</v>
      </c>
      <c r="C436" t="s">
        <v>36</v>
      </c>
      <c r="D436" s="123">
        <v>5</v>
      </c>
      <c r="E436" s="120">
        <v>0.89999999999999991</v>
      </c>
    </row>
    <row r="437" spans="1:5">
      <c r="A437" t="s">
        <v>310</v>
      </c>
      <c r="B437" t="s">
        <v>85</v>
      </c>
      <c r="C437" t="s">
        <v>17</v>
      </c>
      <c r="D437" s="123">
        <v>20</v>
      </c>
      <c r="E437" s="120">
        <v>5.4</v>
      </c>
    </row>
    <row r="438" spans="1:5">
      <c r="A438" t="s">
        <v>310</v>
      </c>
      <c r="B438" t="s">
        <v>85</v>
      </c>
      <c r="C438" t="s">
        <v>114</v>
      </c>
      <c r="D438" s="123">
        <v>5</v>
      </c>
      <c r="E438" s="120">
        <v>0.14000000000000001</v>
      </c>
    </row>
    <row r="439" spans="1:5">
      <c r="A439" t="s">
        <v>310</v>
      </c>
      <c r="B439" t="s">
        <v>85</v>
      </c>
      <c r="C439" t="s">
        <v>362</v>
      </c>
      <c r="D439" s="123">
        <v>10</v>
      </c>
      <c r="E439" s="120">
        <v>0.45999999999999996</v>
      </c>
    </row>
    <row r="440" spans="1:5">
      <c r="A440" t="s">
        <v>310</v>
      </c>
      <c r="B440" t="s">
        <v>85</v>
      </c>
      <c r="C440" t="s">
        <v>20</v>
      </c>
      <c r="D440" s="123">
        <v>30</v>
      </c>
      <c r="E440" s="120">
        <v>0.56999999999999995</v>
      </c>
    </row>
    <row r="441" spans="1:5">
      <c r="A441" t="s">
        <v>310</v>
      </c>
      <c r="B441" t="s">
        <v>85</v>
      </c>
      <c r="C441" t="s">
        <v>25</v>
      </c>
      <c r="D441" s="123">
        <v>30</v>
      </c>
      <c r="E441" s="120">
        <v>0.84</v>
      </c>
    </row>
    <row r="442" spans="1:5">
      <c r="A442" t="s">
        <v>310</v>
      </c>
      <c r="B442" t="s">
        <v>85</v>
      </c>
      <c r="C442" t="s">
        <v>31</v>
      </c>
      <c r="D442" s="123">
        <v>30</v>
      </c>
      <c r="E442" s="120">
        <v>0.48</v>
      </c>
    </row>
    <row r="443" spans="1:5">
      <c r="A443" t="s">
        <v>310</v>
      </c>
      <c r="B443" t="s">
        <v>85</v>
      </c>
      <c r="C443" t="s">
        <v>32</v>
      </c>
      <c r="D443" s="123">
        <v>15</v>
      </c>
      <c r="E443" s="120">
        <v>0.52500000000000002</v>
      </c>
    </row>
    <row r="444" spans="1:5">
      <c r="A444" t="s">
        <v>310</v>
      </c>
      <c r="B444" t="s">
        <v>85</v>
      </c>
      <c r="C444" t="s">
        <v>324</v>
      </c>
      <c r="D444" s="123">
        <v>10</v>
      </c>
      <c r="E444" s="120">
        <v>0.6</v>
      </c>
    </row>
    <row r="445" spans="1:5">
      <c r="A445" t="s">
        <v>310</v>
      </c>
      <c r="B445" t="s">
        <v>85</v>
      </c>
      <c r="C445" t="s">
        <v>33</v>
      </c>
      <c r="D445" s="123">
        <v>7</v>
      </c>
      <c r="E445" s="120">
        <v>1.68</v>
      </c>
    </row>
    <row r="446" spans="1:5">
      <c r="A446" t="s">
        <v>310</v>
      </c>
      <c r="B446" t="s">
        <v>85</v>
      </c>
      <c r="C446" t="s">
        <v>532</v>
      </c>
      <c r="D446" s="123">
        <v>7</v>
      </c>
      <c r="E446" s="120">
        <v>0.91</v>
      </c>
    </row>
    <row r="447" spans="1:5">
      <c r="A447" t="s">
        <v>310</v>
      </c>
      <c r="B447" t="s">
        <v>85</v>
      </c>
      <c r="C447" t="s">
        <v>359</v>
      </c>
      <c r="D447" s="123">
        <v>22</v>
      </c>
      <c r="E447" s="120">
        <v>1.3639999999999999</v>
      </c>
    </row>
    <row r="448" spans="1:5">
      <c r="A448" t="s">
        <v>310</v>
      </c>
      <c r="B448" t="s">
        <v>85</v>
      </c>
      <c r="C448" t="s">
        <v>515</v>
      </c>
      <c r="D448" s="123">
        <v>15</v>
      </c>
      <c r="E448" s="120">
        <v>0</v>
      </c>
    </row>
    <row r="449" spans="1:5">
      <c r="A449" t="s">
        <v>310</v>
      </c>
      <c r="B449" t="s">
        <v>85</v>
      </c>
      <c r="C449" t="s">
        <v>670</v>
      </c>
      <c r="D449" s="123">
        <v>10</v>
      </c>
      <c r="E449" s="120">
        <v>0</v>
      </c>
    </row>
    <row r="450" spans="1:5">
      <c r="A450" t="s">
        <v>310</v>
      </c>
      <c r="B450" t="s">
        <v>85</v>
      </c>
      <c r="C450" t="s">
        <v>426</v>
      </c>
      <c r="D450" s="123">
        <v>260</v>
      </c>
      <c r="E450" s="120">
        <v>10.4</v>
      </c>
    </row>
    <row r="451" spans="1:5">
      <c r="A451" t="s">
        <v>310</v>
      </c>
      <c r="B451" t="s">
        <v>371</v>
      </c>
      <c r="C451" t="s">
        <v>371</v>
      </c>
      <c r="D451" s="123"/>
      <c r="E451" s="120"/>
    </row>
    <row r="452" spans="1:5">
      <c r="A452" t="s">
        <v>310</v>
      </c>
      <c r="B452" t="s">
        <v>86</v>
      </c>
      <c r="C452" t="s">
        <v>114</v>
      </c>
      <c r="D452" s="123">
        <v>5</v>
      </c>
      <c r="E452" s="120">
        <v>0.14000000000000001</v>
      </c>
    </row>
    <row r="453" spans="1:5">
      <c r="A453" t="s">
        <v>310</v>
      </c>
      <c r="B453" t="s">
        <v>86</v>
      </c>
      <c r="C453" t="s">
        <v>362</v>
      </c>
      <c r="D453" s="123">
        <v>10</v>
      </c>
      <c r="E453" s="120">
        <v>0.45999999999999996</v>
      </c>
    </row>
    <row r="454" spans="1:5">
      <c r="A454" t="s">
        <v>310</v>
      </c>
      <c r="B454" t="s">
        <v>86</v>
      </c>
      <c r="C454" t="s">
        <v>20</v>
      </c>
      <c r="D454" s="123">
        <v>30</v>
      </c>
      <c r="E454" s="120">
        <v>0.56999999999999995</v>
      </c>
    </row>
    <row r="455" spans="1:5">
      <c r="A455" t="s">
        <v>310</v>
      </c>
      <c r="B455" t="s">
        <v>86</v>
      </c>
      <c r="C455" t="s">
        <v>25</v>
      </c>
      <c r="D455" s="123">
        <v>30</v>
      </c>
      <c r="E455" s="120">
        <v>0.84</v>
      </c>
    </row>
    <row r="456" spans="1:5">
      <c r="A456" t="s">
        <v>310</v>
      </c>
      <c r="B456" t="s">
        <v>86</v>
      </c>
      <c r="C456" t="s">
        <v>31</v>
      </c>
      <c r="D456" s="123">
        <v>30</v>
      </c>
      <c r="E456" s="120">
        <v>0.48</v>
      </c>
    </row>
    <row r="457" spans="1:5">
      <c r="A457" t="s">
        <v>310</v>
      </c>
      <c r="B457" t="s">
        <v>86</v>
      </c>
      <c r="C457" t="s">
        <v>32</v>
      </c>
      <c r="D457" s="123">
        <v>15</v>
      </c>
      <c r="E457" s="120">
        <v>0.52500000000000002</v>
      </c>
    </row>
    <row r="458" spans="1:5">
      <c r="A458" t="s">
        <v>310</v>
      </c>
      <c r="B458" t="s">
        <v>86</v>
      </c>
      <c r="C458" t="s">
        <v>324</v>
      </c>
      <c r="D458" s="123">
        <v>10</v>
      </c>
      <c r="E458" s="120">
        <v>0.6</v>
      </c>
    </row>
    <row r="459" spans="1:5">
      <c r="A459" t="s">
        <v>310</v>
      </c>
      <c r="B459" t="s">
        <v>86</v>
      </c>
      <c r="C459" t="s">
        <v>33</v>
      </c>
      <c r="D459" s="123">
        <v>7</v>
      </c>
      <c r="E459" s="120">
        <v>1.68</v>
      </c>
    </row>
    <row r="460" spans="1:5">
      <c r="A460" t="s">
        <v>310</v>
      </c>
      <c r="B460" t="s">
        <v>86</v>
      </c>
      <c r="C460" t="s">
        <v>532</v>
      </c>
      <c r="D460" s="123">
        <v>4</v>
      </c>
      <c r="E460" s="120">
        <v>0.52</v>
      </c>
    </row>
    <row r="461" spans="1:5">
      <c r="A461" t="s">
        <v>310</v>
      </c>
      <c r="B461" t="s">
        <v>86</v>
      </c>
      <c r="C461" t="s">
        <v>359</v>
      </c>
      <c r="D461" s="123">
        <v>15</v>
      </c>
      <c r="E461" s="120">
        <v>0.92999999999999994</v>
      </c>
    </row>
    <row r="462" spans="1:5">
      <c r="A462" t="s">
        <v>310</v>
      </c>
      <c r="B462" t="s">
        <v>86</v>
      </c>
      <c r="C462" t="s">
        <v>515</v>
      </c>
      <c r="D462" s="123">
        <v>18</v>
      </c>
      <c r="E462" s="120">
        <v>0</v>
      </c>
    </row>
    <row r="463" spans="1:5">
      <c r="A463" t="s">
        <v>310</v>
      </c>
      <c r="B463" t="s">
        <v>86</v>
      </c>
      <c r="C463" t="s">
        <v>27</v>
      </c>
      <c r="D463" s="123">
        <v>30</v>
      </c>
      <c r="E463" s="120">
        <v>2.4</v>
      </c>
    </row>
    <row r="464" spans="1:5">
      <c r="A464" t="s">
        <v>310</v>
      </c>
      <c r="B464" t="s">
        <v>86</v>
      </c>
      <c r="C464" t="s">
        <v>360</v>
      </c>
      <c r="D464" s="123">
        <v>10</v>
      </c>
      <c r="E464" s="120">
        <v>0.72</v>
      </c>
    </row>
    <row r="465" spans="1:5">
      <c r="A465" t="s">
        <v>310</v>
      </c>
      <c r="B465" t="s">
        <v>86</v>
      </c>
      <c r="C465" t="s">
        <v>670</v>
      </c>
      <c r="D465" s="123">
        <v>10</v>
      </c>
      <c r="E465" s="120">
        <v>0</v>
      </c>
    </row>
    <row r="466" spans="1:5">
      <c r="A466" t="s">
        <v>310</v>
      </c>
      <c r="B466" t="s">
        <v>86</v>
      </c>
      <c r="C466" t="s">
        <v>426</v>
      </c>
      <c r="D466" s="123">
        <v>260</v>
      </c>
      <c r="E466" s="120">
        <v>10.4</v>
      </c>
    </row>
    <row r="467" spans="1:5">
      <c r="A467" t="s">
        <v>310</v>
      </c>
      <c r="B467" t="s">
        <v>371</v>
      </c>
      <c r="C467" t="s">
        <v>371</v>
      </c>
      <c r="D467" s="123"/>
      <c r="E467" s="120"/>
    </row>
    <row r="468" spans="1:5">
      <c r="A468" t="s">
        <v>310</v>
      </c>
      <c r="B468" t="s">
        <v>618</v>
      </c>
      <c r="C468" t="s">
        <v>518</v>
      </c>
      <c r="D468" s="123">
        <v>80</v>
      </c>
      <c r="E468" s="120">
        <v>0</v>
      </c>
    </row>
    <row r="469" spans="1:5">
      <c r="A469" t="s">
        <v>310</v>
      </c>
      <c r="B469" t="s">
        <v>618</v>
      </c>
      <c r="C469" t="s">
        <v>672</v>
      </c>
      <c r="D469" s="123"/>
      <c r="E469" s="120">
        <v>0</v>
      </c>
    </row>
    <row r="470" spans="1:5">
      <c r="A470" t="s">
        <v>310</v>
      </c>
      <c r="B470" t="s">
        <v>618</v>
      </c>
      <c r="C470" t="s">
        <v>10</v>
      </c>
      <c r="D470" s="123">
        <v>160</v>
      </c>
      <c r="E470" s="120">
        <v>2.88</v>
      </c>
    </row>
    <row r="471" spans="1:5">
      <c r="A471" t="s">
        <v>310</v>
      </c>
      <c r="B471" t="s">
        <v>618</v>
      </c>
      <c r="C471" t="s">
        <v>20</v>
      </c>
      <c r="D471" s="123">
        <v>15</v>
      </c>
      <c r="E471" s="120">
        <v>0.28499999999999998</v>
      </c>
    </row>
    <row r="472" spans="1:5">
      <c r="A472" t="s">
        <v>310</v>
      </c>
      <c r="B472" t="s">
        <v>618</v>
      </c>
      <c r="C472" t="s">
        <v>25</v>
      </c>
      <c r="D472" s="123">
        <v>15</v>
      </c>
      <c r="E472" s="120">
        <v>0.42</v>
      </c>
    </row>
    <row r="473" spans="1:5">
      <c r="A473" t="s">
        <v>310</v>
      </c>
      <c r="B473" t="s">
        <v>618</v>
      </c>
      <c r="C473" t="s">
        <v>324</v>
      </c>
      <c r="D473" s="123">
        <v>20</v>
      </c>
      <c r="E473" s="120">
        <v>1.2</v>
      </c>
    </row>
    <row r="474" spans="1:5">
      <c r="A474" t="s">
        <v>310</v>
      </c>
      <c r="B474" t="s">
        <v>618</v>
      </c>
      <c r="C474" t="s">
        <v>515</v>
      </c>
      <c r="D474" s="123">
        <v>15</v>
      </c>
      <c r="E474" s="120">
        <v>0</v>
      </c>
    </row>
    <row r="475" spans="1:5">
      <c r="A475" t="s">
        <v>310</v>
      </c>
      <c r="B475" t="s">
        <v>618</v>
      </c>
      <c r="C475" t="s">
        <v>360</v>
      </c>
      <c r="D475" s="123">
        <v>15</v>
      </c>
      <c r="E475" s="120">
        <v>1.0799999999999998</v>
      </c>
    </row>
    <row r="476" spans="1:5">
      <c r="A476" t="s">
        <v>310</v>
      </c>
      <c r="B476" t="s">
        <v>618</v>
      </c>
      <c r="C476" t="s">
        <v>359</v>
      </c>
      <c r="D476" s="123">
        <v>30</v>
      </c>
      <c r="E476" s="120">
        <v>1.8599999999999999</v>
      </c>
    </row>
    <row r="477" spans="1:5">
      <c r="A477" t="s">
        <v>310</v>
      </c>
      <c r="B477" t="s">
        <v>618</v>
      </c>
      <c r="C477" t="s">
        <v>362</v>
      </c>
      <c r="D477" s="123">
        <v>10</v>
      </c>
      <c r="E477" s="120">
        <v>0.45999999999999996</v>
      </c>
    </row>
    <row r="478" spans="1:5">
      <c r="A478" t="s">
        <v>310</v>
      </c>
      <c r="B478" t="s">
        <v>618</v>
      </c>
      <c r="C478" t="s">
        <v>33</v>
      </c>
      <c r="D478" s="123">
        <v>3</v>
      </c>
      <c r="E478" s="120">
        <v>0.72</v>
      </c>
    </row>
    <row r="479" spans="1:5">
      <c r="A479" t="s">
        <v>310</v>
      </c>
      <c r="B479" t="s">
        <v>618</v>
      </c>
      <c r="C479" t="s">
        <v>114</v>
      </c>
      <c r="D479" s="123">
        <v>3</v>
      </c>
      <c r="E479" s="120">
        <v>8.4000000000000005E-2</v>
      </c>
    </row>
    <row r="480" spans="1:5">
      <c r="A480" t="s">
        <v>310</v>
      </c>
      <c r="B480" t="s">
        <v>618</v>
      </c>
      <c r="C480" t="s">
        <v>27</v>
      </c>
      <c r="D480" s="123">
        <v>8</v>
      </c>
      <c r="E480" s="120">
        <v>0.64</v>
      </c>
    </row>
    <row r="481" spans="1:5">
      <c r="A481" t="s">
        <v>310</v>
      </c>
      <c r="B481" t="s">
        <v>618</v>
      </c>
      <c r="C481" t="s">
        <v>670</v>
      </c>
      <c r="D481" s="123">
        <v>8</v>
      </c>
      <c r="E481" s="120">
        <v>0</v>
      </c>
    </row>
    <row r="482" spans="1:5">
      <c r="B482" t="s">
        <v>371</v>
      </c>
      <c r="D482" s="123"/>
      <c r="E482" s="120"/>
    </row>
    <row r="483" spans="1:5">
      <c r="A483" t="s">
        <v>310</v>
      </c>
      <c r="B483" t="s">
        <v>87</v>
      </c>
      <c r="C483" t="s">
        <v>518</v>
      </c>
      <c r="D483" s="123">
        <v>80</v>
      </c>
      <c r="E483" s="120">
        <v>0</v>
      </c>
    </row>
    <row r="484" spans="1:5">
      <c r="A484" t="s">
        <v>310</v>
      </c>
      <c r="B484" t="s">
        <v>87</v>
      </c>
      <c r="C484" t="s">
        <v>10</v>
      </c>
      <c r="D484" s="123">
        <v>160</v>
      </c>
      <c r="E484" s="120">
        <v>2.88</v>
      </c>
    </row>
    <row r="485" spans="1:5">
      <c r="A485" t="s">
        <v>310</v>
      </c>
      <c r="B485" t="s">
        <v>87</v>
      </c>
      <c r="C485" t="s">
        <v>672</v>
      </c>
      <c r="D485" s="123"/>
      <c r="E485" s="120">
        <v>0</v>
      </c>
    </row>
    <row r="486" spans="1:5">
      <c r="A486" t="s">
        <v>310</v>
      </c>
      <c r="B486" t="s">
        <v>87</v>
      </c>
      <c r="C486" t="s">
        <v>20</v>
      </c>
      <c r="D486" s="123">
        <v>15</v>
      </c>
      <c r="E486" s="120">
        <v>0.28499999999999998</v>
      </c>
    </row>
    <row r="487" spans="1:5">
      <c r="A487" t="s">
        <v>310</v>
      </c>
      <c r="B487" t="s">
        <v>87</v>
      </c>
      <c r="C487" t="s">
        <v>25</v>
      </c>
      <c r="D487" s="123">
        <v>15</v>
      </c>
      <c r="E487" s="120">
        <v>0.42</v>
      </c>
    </row>
    <row r="488" spans="1:5">
      <c r="A488" t="s">
        <v>310</v>
      </c>
      <c r="B488" t="s">
        <v>87</v>
      </c>
      <c r="C488" t="s">
        <v>324</v>
      </c>
      <c r="D488" s="123">
        <v>20</v>
      </c>
      <c r="E488" s="120">
        <v>1.2</v>
      </c>
    </row>
    <row r="489" spans="1:5">
      <c r="A489" t="s">
        <v>310</v>
      </c>
      <c r="B489" t="s">
        <v>87</v>
      </c>
      <c r="C489" t="s">
        <v>515</v>
      </c>
      <c r="D489" s="123">
        <v>10</v>
      </c>
      <c r="E489" s="120">
        <v>0</v>
      </c>
    </row>
    <row r="490" spans="1:5">
      <c r="A490" t="s">
        <v>310</v>
      </c>
      <c r="B490" t="s">
        <v>87</v>
      </c>
      <c r="C490" t="s">
        <v>360</v>
      </c>
      <c r="D490" s="123">
        <v>15</v>
      </c>
      <c r="E490" s="120">
        <v>1.0799999999999998</v>
      </c>
    </row>
    <row r="491" spans="1:5">
      <c r="A491" t="s">
        <v>310</v>
      </c>
      <c r="B491" t="s">
        <v>87</v>
      </c>
      <c r="C491" t="s">
        <v>359</v>
      </c>
      <c r="D491" s="123">
        <v>60</v>
      </c>
      <c r="E491" s="120">
        <v>3.7199999999999998</v>
      </c>
    </row>
    <row r="492" spans="1:5">
      <c r="A492" t="s">
        <v>310</v>
      </c>
      <c r="B492" t="s">
        <v>87</v>
      </c>
      <c r="C492" t="s">
        <v>362</v>
      </c>
      <c r="D492" s="123">
        <v>5</v>
      </c>
      <c r="E492" s="120">
        <v>0.22999999999999998</v>
      </c>
    </row>
    <row r="493" spans="1:5">
      <c r="A493" t="s">
        <v>310</v>
      </c>
      <c r="B493" t="s">
        <v>87</v>
      </c>
      <c r="C493" t="s">
        <v>33</v>
      </c>
      <c r="D493" s="123">
        <v>3</v>
      </c>
      <c r="E493" s="120">
        <v>0.72</v>
      </c>
    </row>
    <row r="494" spans="1:5">
      <c r="A494" t="s">
        <v>310</v>
      </c>
      <c r="B494" t="s">
        <v>87</v>
      </c>
      <c r="C494" t="s">
        <v>114</v>
      </c>
      <c r="D494" s="123">
        <v>3</v>
      </c>
      <c r="E494" s="120">
        <v>8.4000000000000005E-2</v>
      </c>
    </row>
    <row r="495" spans="1:5">
      <c r="A495" t="s">
        <v>310</v>
      </c>
      <c r="B495" t="s">
        <v>87</v>
      </c>
      <c r="C495" t="s">
        <v>27</v>
      </c>
      <c r="D495" s="123">
        <v>8</v>
      </c>
      <c r="E495" s="120">
        <v>0.64</v>
      </c>
    </row>
    <row r="496" spans="1:5">
      <c r="A496" t="s">
        <v>310</v>
      </c>
      <c r="B496" t="s">
        <v>87</v>
      </c>
      <c r="C496" t="s">
        <v>670</v>
      </c>
      <c r="D496" s="123">
        <v>8</v>
      </c>
      <c r="E496" s="120">
        <v>0</v>
      </c>
    </row>
    <row r="497" spans="1:5">
      <c r="A497" t="s">
        <v>310</v>
      </c>
      <c r="B497" t="s">
        <v>87</v>
      </c>
      <c r="C497" t="s">
        <v>498</v>
      </c>
      <c r="D497" s="123">
        <v>15</v>
      </c>
      <c r="E497" s="120">
        <v>3.75</v>
      </c>
    </row>
    <row r="498" spans="1:5">
      <c r="A498" t="s">
        <v>310</v>
      </c>
      <c r="B498" t="s">
        <v>87</v>
      </c>
      <c r="C498" t="s">
        <v>386</v>
      </c>
      <c r="D498" s="123">
        <v>3</v>
      </c>
      <c r="E498" s="120">
        <v>0.84000000000000008</v>
      </c>
    </row>
    <row r="499" spans="1:5">
      <c r="B499" t="s">
        <v>371</v>
      </c>
      <c r="C499" t="s">
        <v>371</v>
      </c>
      <c r="D499" s="123"/>
      <c r="E499" s="120"/>
    </row>
    <row r="500" spans="1:5">
      <c r="A500" t="s">
        <v>310</v>
      </c>
      <c r="B500" t="s">
        <v>116</v>
      </c>
      <c r="C500" t="s">
        <v>528</v>
      </c>
      <c r="D500" s="123">
        <v>3</v>
      </c>
      <c r="E500" s="120">
        <v>15</v>
      </c>
    </row>
    <row r="501" spans="1:5">
      <c r="A501" t="s">
        <v>310</v>
      </c>
      <c r="B501" t="s">
        <v>116</v>
      </c>
      <c r="C501" t="s">
        <v>672</v>
      </c>
      <c r="D501" s="123"/>
      <c r="E501" s="120">
        <v>0</v>
      </c>
    </row>
    <row r="502" spans="1:5">
      <c r="A502" t="s">
        <v>310</v>
      </c>
      <c r="B502" t="s">
        <v>116</v>
      </c>
      <c r="C502" t="s">
        <v>20</v>
      </c>
      <c r="D502" s="123">
        <v>20</v>
      </c>
      <c r="E502" s="120">
        <v>0.38</v>
      </c>
    </row>
    <row r="503" spans="1:5">
      <c r="A503" t="s">
        <v>310</v>
      </c>
      <c r="B503" t="s">
        <v>116</v>
      </c>
      <c r="C503" t="s">
        <v>25</v>
      </c>
      <c r="D503" s="123">
        <v>40</v>
      </c>
      <c r="E503" s="120">
        <v>1.1200000000000001</v>
      </c>
    </row>
    <row r="504" spans="1:5">
      <c r="A504" t="s">
        <v>310</v>
      </c>
      <c r="B504" t="s">
        <v>116</v>
      </c>
      <c r="C504" t="s">
        <v>31</v>
      </c>
      <c r="D504" s="123">
        <v>30</v>
      </c>
      <c r="E504" s="120">
        <v>0.48</v>
      </c>
    </row>
    <row r="505" spans="1:5">
      <c r="A505" t="s">
        <v>310</v>
      </c>
      <c r="B505" t="s">
        <v>116</v>
      </c>
      <c r="C505" t="s">
        <v>32</v>
      </c>
      <c r="D505" s="123">
        <v>10</v>
      </c>
      <c r="E505" s="120">
        <v>0.35000000000000003</v>
      </c>
    </row>
    <row r="506" spans="1:5">
      <c r="B506" t="s">
        <v>371</v>
      </c>
      <c r="C506" t="s">
        <v>371</v>
      </c>
      <c r="D506" s="123"/>
      <c r="E506" s="120"/>
    </row>
    <row r="507" spans="1:5">
      <c r="A507" t="s">
        <v>310</v>
      </c>
      <c r="B507" t="s">
        <v>88</v>
      </c>
      <c r="C507" t="s">
        <v>672</v>
      </c>
      <c r="D507" s="123"/>
      <c r="E507" s="120">
        <v>0</v>
      </c>
    </row>
    <row r="508" spans="1:5">
      <c r="A508" t="s">
        <v>310</v>
      </c>
      <c r="B508" t="s">
        <v>88</v>
      </c>
      <c r="C508" t="s">
        <v>553</v>
      </c>
      <c r="D508" s="123">
        <v>270</v>
      </c>
      <c r="E508" s="120">
        <v>0</v>
      </c>
    </row>
    <row r="509" spans="1:5">
      <c r="A509" t="s">
        <v>310</v>
      </c>
      <c r="B509" t="s">
        <v>88</v>
      </c>
      <c r="C509" t="s">
        <v>339</v>
      </c>
      <c r="D509" s="123">
        <v>2</v>
      </c>
      <c r="E509" s="120">
        <v>1.34</v>
      </c>
    </row>
    <row r="510" spans="1:5">
      <c r="B510" t="s">
        <v>371</v>
      </c>
      <c r="C510" t="s">
        <v>371</v>
      </c>
      <c r="D510" s="123"/>
      <c r="E510" s="120"/>
    </row>
    <row r="511" spans="1:5">
      <c r="A511" t="s">
        <v>310</v>
      </c>
      <c r="B511" t="s">
        <v>619</v>
      </c>
      <c r="C511" t="s">
        <v>36</v>
      </c>
      <c r="D511" s="123">
        <v>20</v>
      </c>
      <c r="E511" s="120">
        <v>3.5999999999999996</v>
      </c>
    </row>
    <row r="512" spans="1:5">
      <c r="A512" t="s">
        <v>310</v>
      </c>
      <c r="B512" t="s">
        <v>619</v>
      </c>
      <c r="C512" t="s">
        <v>330</v>
      </c>
      <c r="D512" s="123">
        <v>20</v>
      </c>
      <c r="E512" s="120">
        <v>3.5999999999999996</v>
      </c>
    </row>
    <row r="513" spans="1:5">
      <c r="A513" t="s">
        <v>310</v>
      </c>
      <c r="B513" t="s">
        <v>619</v>
      </c>
      <c r="C513" t="s">
        <v>27</v>
      </c>
      <c r="D513" s="123">
        <v>5</v>
      </c>
      <c r="E513" s="120">
        <v>0.4</v>
      </c>
    </row>
    <row r="514" spans="1:5">
      <c r="A514" t="s">
        <v>310</v>
      </c>
      <c r="B514" t="s">
        <v>619</v>
      </c>
      <c r="C514" t="s">
        <v>25</v>
      </c>
      <c r="D514" s="123">
        <v>36</v>
      </c>
      <c r="E514" s="120">
        <v>1.008</v>
      </c>
    </row>
    <row r="515" spans="1:5">
      <c r="A515" t="s">
        <v>310</v>
      </c>
      <c r="B515" t="s">
        <v>619</v>
      </c>
      <c r="C515" t="s">
        <v>20</v>
      </c>
      <c r="D515" s="123">
        <v>35</v>
      </c>
      <c r="E515" s="120">
        <v>0.66500000000000004</v>
      </c>
    </row>
    <row r="516" spans="1:5">
      <c r="A516" t="s">
        <v>310</v>
      </c>
      <c r="B516" t="s">
        <v>619</v>
      </c>
      <c r="C516" t="s">
        <v>518</v>
      </c>
      <c r="D516" s="123">
        <v>10</v>
      </c>
      <c r="E516" s="120">
        <v>0</v>
      </c>
    </row>
    <row r="517" spans="1:5">
      <c r="A517" t="s">
        <v>310</v>
      </c>
      <c r="B517" t="s">
        <v>619</v>
      </c>
      <c r="C517" t="s">
        <v>17</v>
      </c>
      <c r="D517" s="123">
        <v>100</v>
      </c>
      <c r="E517" s="120">
        <v>27</v>
      </c>
    </row>
    <row r="518" spans="1:5">
      <c r="A518" t="s">
        <v>310</v>
      </c>
      <c r="B518" t="s">
        <v>619</v>
      </c>
      <c r="C518" t="s">
        <v>672</v>
      </c>
      <c r="D518" s="123"/>
      <c r="E518" s="120">
        <v>0</v>
      </c>
    </row>
    <row r="519" spans="1:5">
      <c r="A519" t="s">
        <v>310</v>
      </c>
      <c r="B519" t="s">
        <v>619</v>
      </c>
      <c r="C519" t="s">
        <v>37</v>
      </c>
      <c r="D519" s="123">
        <v>1.5</v>
      </c>
      <c r="E519" s="120">
        <v>0.30000000000000004</v>
      </c>
    </row>
    <row r="520" spans="1:5">
      <c r="A520" t="s">
        <v>310</v>
      </c>
      <c r="B520" t="s">
        <v>619</v>
      </c>
      <c r="C520" t="s">
        <v>114</v>
      </c>
      <c r="D520" s="123">
        <v>1.5</v>
      </c>
      <c r="E520" s="120">
        <v>4.2000000000000003E-2</v>
      </c>
    </row>
    <row r="521" spans="1:5">
      <c r="A521" t="s">
        <v>310</v>
      </c>
      <c r="B521" t="s">
        <v>619</v>
      </c>
      <c r="C521" t="s">
        <v>33</v>
      </c>
      <c r="D521" s="123">
        <v>1.5</v>
      </c>
      <c r="E521" s="120">
        <v>0.36</v>
      </c>
    </row>
    <row r="522" spans="1:5">
      <c r="A522" t="s">
        <v>310</v>
      </c>
      <c r="B522" t="s">
        <v>619</v>
      </c>
      <c r="C522" t="s">
        <v>515</v>
      </c>
      <c r="D522" s="123">
        <v>13</v>
      </c>
      <c r="E522" s="120">
        <v>0</v>
      </c>
    </row>
    <row r="523" spans="1:5">
      <c r="B523" t="s">
        <v>371</v>
      </c>
      <c r="C523" t="s">
        <v>371</v>
      </c>
      <c r="D523" s="123"/>
      <c r="E523" s="120"/>
    </row>
    <row r="524" spans="1:5">
      <c r="A524" t="s">
        <v>310</v>
      </c>
      <c r="B524" t="s">
        <v>620</v>
      </c>
      <c r="C524" t="s">
        <v>323</v>
      </c>
      <c r="D524" s="123">
        <v>15</v>
      </c>
      <c r="E524" s="120">
        <v>0.52500000000000002</v>
      </c>
    </row>
    <row r="525" spans="1:5">
      <c r="A525" t="s">
        <v>310</v>
      </c>
      <c r="B525" t="s">
        <v>620</v>
      </c>
      <c r="C525" t="s">
        <v>114</v>
      </c>
      <c r="D525" s="123">
        <v>5</v>
      </c>
      <c r="E525" s="120">
        <v>0.14000000000000001</v>
      </c>
    </row>
    <row r="526" spans="1:5">
      <c r="A526" t="s">
        <v>310</v>
      </c>
      <c r="B526" t="s">
        <v>620</v>
      </c>
      <c r="C526" t="s">
        <v>552</v>
      </c>
      <c r="D526" s="123">
        <v>15</v>
      </c>
      <c r="E526" s="120">
        <v>0</v>
      </c>
    </row>
    <row r="527" spans="1:5">
      <c r="A527" t="s">
        <v>310</v>
      </c>
      <c r="B527" t="s">
        <v>620</v>
      </c>
      <c r="C527" t="s">
        <v>33</v>
      </c>
      <c r="D527" s="123">
        <v>5</v>
      </c>
      <c r="E527" s="120">
        <v>1.2</v>
      </c>
    </row>
    <row r="528" spans="1:5">
      <c r="A528" t="s">
        <v>310</v>
      </c>
      <c r="B528" t="s">
        <v>620</v>
      </c>
      <c r="C528" t="s">
        <v>532</v>
      </c>
      <c r="D528" s="123">
        <v>22</v>
      </c>
      <c r="E528" s="120">
        <v>2.8600000000000003</v>
      </c>
    </row>
    <row r="529" spans="1:5">
      <c r="A529" t="s">
        <v>310</v>
      </c>
      <c r="B529" t="s">
        <v>620</v>
      </c>
      <c r="C529" t="s">
        <v>362</v>
      </c>
      <c r="D529" s="123">
        <v>15</v>
      </c>
      <c r="E529" s="120">
        <v>0.69</v>
      </c>
    </row>
    <row r="530" spans="1:5">
      <c r="A530" t="s">
        <v>310</v>
      </c>
      <c r="B530" t="s">
        <v>620</v>
      </c>
      <c r="C530" t="s">
        <v>324</v>
      </c>
      <c r="D530" s="123">
        <v>18</v>
      </c>
      <c r="E530" s="120">
        <v>1.08</v>
      </c>
    </row>
    <row r="531" spans="1:5">
      <c r="A531" t="s">
        <v>310</v>
      </c>
      <c r="B531" t="s">
        <v>620</v>
      </c>
      <c r="C531" t="s">
        <v>20</v>
      </c>
      <c r="D531" s="123">
        <v>38</v>
      </c>
      <c r="E531" s="120">
        <v>0.72199999999999998</v>
      </c>
    </row>
    <row r="532" spans="1:5">
      <c r="A532" t="s">
        <v>310</v>
      </c>
      <c r="B532" t="s">
        <v>620</v>
      </c>
      <c r="C532" t="s">
        <v>18</v>
      </c>
      <c r="D532" s="123">
        <v>1</v>
      </c>
      <c r="E532" s="120">
        <v>0.03</v>
      </c>
    </row>
    <row r="533" spans="1:5">
      <c r="A533" t="s">
        <v>310</v>
      </c>
      <c r="B533" t="s">
        <v>620</v>
      </c>
      <c r="C533" t="s">
        <v>27</v>
      </c>
      <c r="D533" s="123">
        <v>8</v>
      </c>
      <c r="E533" s="120">
        <v>0.64</v>
      </c>
    </row>
    <row r="534" spans="1:5">
      <c r="A534" t="s">
        <v>310</v>
      </c>
      <c r="B534" t="s">
        <v>620</v>
      </c>
      <c r="C534" t="s">
        <v>518</v>
      </c>
      <c r="D534" s="123">
        <v>20</v>
      </c>
      <c r="E534" s="120">
        <v>0</v>
      </c>
    </row>
    <row r="535" spans="1:5">
      <c r="A535" t="s">
        <v>310</v>
      </c>
      <c r="B535" t="s">
        <v>620</v>
      </c>
      <c r="C535" t="s">
        <v>37</v>
      </c>
      <c r="D535" s="123">
        <v>1</v>
      </c>
      <c r="E535" s="120">
        <v>0.2</v>
      </c>
    </row>
    <row r="536" spans="1:5">
      <c r="A536" t="s">
        <v>310</v>
      </c>
      <c r="B536" t="s">
        <v>620</v>
      </c>
      <c r="C536" t="s">
        <v>518</v>
      </c>
      <c r="D536" s="123">
        <v>10</v>
      </c>
      <c r="E536" s="120">
        <v>0</v>
      </c>
    </row>
    <row r="537" spans="1:5">
      <c r="A537" t="s">
        <v>310</v>
      </c>
      <c r="B537" t="s">
        <v>620</v>
      </c>
      <c r="C537" t="s">
        <v>672</v>
      </c>
      <c r="D537" s="123"/>
      <c r="E537" s="120">
        <v>0</v>
      </c>
    </row>
    <row r="538" spans="1:5">
      <c r="A538" t="s">
        <v>310</v>
      </c>
      <c r="B538" t="s">
        <v>620</v>
      </c>
      <c r="C538" t="s">
        <v>17</v>
      </c>
      <c r="D538" s="123">
        <v>100</v>
      </c>
      <c r="E538" s="120">
        <v>27</v>
      </c>
    </row>
    <row r="539" spans="1:5">
      <c r="A539" t="s">
        <v>310</v>
      </c>
      <c r="B539" t="s">
        <v>371</v>
      </c>
      <c r="C539" t="s">
        <v>371</v>
      </c>
      <c r="D539" s="123"/>
      <c r="E539" s="120"/>
    </row>
    <row r="540" spans="1:5">
      <c r="A540" t="s">
        <v>310</v>
      </c>
      <c r="B540" t="s">
        <v>621</v>
      </c>
      <c r="C540" t="s">
        <v>20</v>
      </c>
      <c r="D540" s="123">
        <v>100</v>
      </c>
      <c r="E540" s="120">
        <v>1.9</v>
      </c>
    </row>
    <row r="541" spans="1:5">
      <c r="A541" t="s">
        <v>310</v>
      </c>
      <c r="B541" t="s">
        <v>621</v>
      </c>
      <c r="C541" t="s">
        <v>18</v>
      </c>
      <c r="D541" s="123">
        <v>2</v>
      </c>
      <c r="E541" s="120">
        <v>0.06</v>
      </c>
    </row>
    <row r="542" spans="1:5">
      <c r="A542" t="s">
        <v>310</v>
      </c>
      <c r="B542" t="s">
        <v>621</v>
      </c>
      <c r="C542" t="s">
        <v>324</v>
      </c>
      <c r="D542" s="123">
        <v>18</v>
      </c>
      <c r="E542" s="120">
        <v>1.08</v>
      </c>
    </row>
    <row r="543" spans="1:5">
      <c r="A543" t="s">
        <v>310</v>
      </c>
      <c r="B543" t="s">
        <v>621</v>
      </c>
      <c r="C543" t="s">
        <v>114</v>
      </c>
      <c r="D543" s="123">
        <v>2</v>
      </c>
      <c r="E543" s="120">
        <v>5.6000000000000001E-2</v>
      </c>
    </row>
    <row r="544" spans="1:5">
      <c r="A544" t="s">
        <v>310</v>
      </c>
      <c r="B544" t="s">
        <v>621</v>
      </c>
      <c r="C544" t="s">
        <v>33</v>
      </c>
      <c r="D544" s="123">
        <v>2</v>
      </c>
      <c r="E544" s="120">
        <v>0.48</v>
      </c>
    </row>
    <row r="545" spans="1:5">
      <c r="A545" t="s">
        <v>310</v>
      </c>
      <c r="B545" t="s">
        <v>621</v>
      </c>
      <c r="C545" t="s">
        <v>515</v>
      </c>
      <c r="D545" s="123">
        <v>10</v>
      </c>
      <c r="E545" s="120">
        <v>0</v>
      </c>
    </row>
    <row r="546" spans="1:5">
      <c r="A546" t="s">
        <v>310</v>
      </c>
      <c r="B546" t="s">
        <v>621</v>
      </c>
      <c r="C546" t="s">
        <v>360</v>
      </c>
      <c r="D546" s="123">
        <v>15</v>
      </c>
      <c r="E546" s="120">
        <v>1.0799999999999998</v>
      </c>
    </row>
    <row r="547" spans="1:5">
      <c r="A547" t="s">
        <v>310</v>
      </c>
      <c r="B547" t="s">
        <v>621</v>
      </c>
      <c r="C547" t="s">
        <v>532</v>
      </c>
      <c r="D547" s="123">
        <v>12</v>
      </c>
      <c r="E547" s="120">
        <v>1.56</v>
      </c>
    </row>
    <row r="548" spans="1:5">
      <c r="A548" t="s">
        <v>310</v>
      </c>
      <c r="B548" t="s">
        <v>621</v>
      </c>
      <c r="C548" t="s">
        <v>362</v>
      </c>
      <c r="D548" s="123">
        <v>8</v>
      </c>
      <c r="E548" s="120">
        <v>0.36799999999999999</v>
      </c>
    </row>
    <row r="549" spans="1:5">
      <c r="A549" t="s">
        <v>310</v>
      </c>
      <c r="B549" t="s">
        <v>621</v>
      </c>
      <c r="C549" t="s">
        <v>27</v>
      </c>
      <c r="D549" s="123">
        <v>8</v>
      </c>
      <c r="E549" s="120">
        <v>0.64</v>
      </c>
    </row>
    <row r="550" spans="1:5">
      <c r="A550" t="s">
        <v>310</v>
      </c>
      <c r="B550" t="s">
        <v>621</v>
      </c>
      <c r="C550" t="s">
        <v>385</v>
      </c>
      <c r="D550" s="123">
        <v>5</v>
      </c>
      <c r="E550" s="120">
        <v>0.3</v>
      </c>
    </row>
    <row r="551" spans="1:5">
      <c r="A551" t="s">
        <v>310</v>
      </c>
      <c r="B551" t="s">
        <v>621</v>
      </c>
      <c r="C551" t="s">
        <v>670</v>
      </c>
      <c r="D551" s="123">
        <v>9</v>
      </c>
      <c r="E551" s="120">
        <v>0</v>
      </c>
    </row>
    <row r="552" spans="1:5">
      <c r="A552" t="s">
        <v>310</v>
      </c>
      <c r="B552" t="s">
        <v>621</v>
      </c>
      <c r="C552" t="s">
        <v>37</v>
      </c>
      <c r="D552" s="123">
        <v>1</v>
      </c>
      <c r="E552" s="120">
        <v>0.2</v>
      </c>
    </row>
    <row r="553" spans="1:5">
      <c r="A553" t="s">
        <v>310</v>
      </c>
      <c r="B553" t="s">
        <v>621</v>
      </c>
      <c r="C553" t="s">
        <v>672</v>
      </c>
      <c r="D553" s="123"/>
      <c r="E553" s="120">
        <v>0</v>
      </c>
    </row>
    <row r="554" spans="1:5">
      <c r="A554" t="s">
        <v>310</v>
      </c>
      <c r="B554" t="s">
        <v>621</v>
      </c>
      <c r="C554" t="s">
        <v>554</v>
      </c>
      <c r="D554" s="123">
        <v>8</v>
      </c>
      <c r="E554" s="120">
        <v>15.440000000000003</v>
      </c>
    </row>
    <row r="555" spans="1:5">
      <c r="A555" t="s">
        <v>310</v>
      </c>
      <c r="B555" t="s">
        <v>371</v>
      </c>
      <c r="C555" t="s">
        <v>371</v>
      </c>
      <c r="D555" s="123"/>
      <c r="E555" s="120"/>
    </row>
    <row r="556" spans="1:5">
      <c r="A556" t="s">
        <v>310</v>
      </c>
      <c r="B556" t="s">
        <v>622</v>
      </c>
      <c r="C556" t="s">
        <v>323</v>
      </c>
      <c r="D556" s="123">
        <v>15</v>
      </c>
      <c r="E556" s="120">
        <v>0.52500000000000002</v>
      </c>
    </row>
    <row r="557" spans="1:5">
      <c r="A557" t="s">
        <v>310</v>
      </c>
      <c r="B557" t="s">
        <v>622</v>
      </c>
      <c r="C557" t="s">
        <v>114</v>
      </c>
      <c r="D557" s="123">
        <v>5</v>
      </c>
      <c r="E557" s="120">
        <v>0.14000000000000001</v>
      </c>
    </row>
    <row r="558" spans="1:5">
      <c r="A558" t="s">
        <v>310</v>
      </c>
      <c r="B558" t="s">
        <v>622</v>
      </c>
      <c r="C558" t="s">
        <v>552</v>
      </c>
      <c r="D558" s="123">
        <v>12</v>
      </c>
      <c r="E558" s="120">
        <v>0</v>
      </c>
    </row>
    <row r="559" spans="1:5">
      <c r="A559" t="s">
        <v>310</v>
      </c>
      <c r="B559" t="s">
        <v>622</v>
      </c>
      <c r="C559" t="s">
        <v>33</v>
      </c>
      <c r="D559" s="123">
        <v>5</v>
      </c>
      <c r="E559" s="120">
        <v>1.2</v>
      </c>
    </row>
    <row r="560" spans="1:5">
      <c r="A560" t="s">
        <v>310</v>
      </c>
      <c r="B560" t="s">
        <v>622</v>
      </c>
      <c r="C560" t="s">
        <v>532</v>
      </c>
      <c r="D560" s="123">
        <v>20</v>
      </c>
      <c r="E560" s="120">
        <v>2.6</v>
      </c>
    </row>
    <row r="561" spans="1:5">
      <c r="A561" t="s">
        <v>310</v>
      </c>
      <c r="B561" t="s">
        <v>622</v>
      </c>
      <c r="C561" t="s">
        <v>362</v>
      </c>
      <c r="D561" s="123">
        <v>15</v>
      </c>
      <c r="E561" s="120">
        <v>0.69</v>
      </c>
    </row>
    <row r="562" spans="1:5">
      <c r="A562" t="s">
        <v>310</v>
      </c>
      <c r="B562" t="s">
        <v>622</v>
      </c>
      <c r="C562" t="s">
        <v>324</v>
      </c>
      <c r="D562" s="123">
        <v>18</v>
      </c>
      <c r="E562" s="120">
        <v>1.08</v>
      </c>
    </row>
    <row r="563" spans="1:5">
      <c r="A563" t="s">
        <v>310</v>
      </c>
      <c r="B563" t="s">
        <v>622</v>
      </c>
      <c r="C563" t="s">
        <v>20</v>
      </c>
      <c r="D563" s="123">
        <v>38</v>
      </c>
      <c r="E563" s="120">
        <v>0.72199999999999998</v>
      </c>
    </row>
    <row r="564" spans="1:5">
      <c r="A564" t="s">
        <v>310</v>
      </c>
      <c r="B564" t="s">
        <v>622</v>
      </c>
      <c r="C564" t="s">
        <v>18</v>
      </c>
      <c r="D564" s="123">
        <v>1</v>
      </c>
      <c r="E564" s="120">
        <v>0.03</v>
      </c>
    </row>
    <row r="565" spans="1:5">
      <c r="A565" t="s">
        <v>310</v>
      </c>
      <c r="B565" t="s">
        <v>622</v>
      </c>
      <c r="C565" t="s">
        <v>27</v>
      </c>
      <c r="D565" s="123">
        <v>8</v>
      </c>
      <c r="E565" s="120">
        <v>0.64</v>
      </c>
    </row>
    <row r="566" spans="1:5">
      <c r="A566" t="s">
        <v>310</v>
      </c>
      <c r="B566" t="s">
        <v>622</v>
      </c>
      <c r="C566" t="s">
        <v>518</v>
      </c>
      <c r="D566" s="123">
        <v>20</v>
      </c>
      <c r="E566" s="120">
        <v>0</v>
      </c>
    </row>
    <row r="567" spans="1:5">
      <c r="A567" t="s">
        <v>310</v>
      </c>
      <c r="B567" t="s">
        <v>622</v>
      </c>
      <c r="C567" t="s">
        <v>37</v>
      </c>
      <c r="D567" s="123">
        <v>1</v>
      </c>
      <c r="E567" s="120">
        <v>0.2</v>
      </c>
    </row>
    <row r="568" spans="1:5">
      <c r="A568" t="s">
        <v>310</v>
      </c>
      <c r="B568" t="s">
        <v>622</v>
      </c>
      <c r="C568" t="s">
        <v>672</v>
      </c>
      <c r="D568" s="123"/>
      <c r="E568" s="120">
        <v>0</v>
      </c>
    </row>
    <row r="569" spans="1:5">
      <c r="A569" t="s">
        <v>310</v>
      </c>
      <c r="B569" t="s">
        <v>622</v>
      </c>
      <c r="C569" t="s">
        <v>554</v>
      </c>
      <c r="D569" s="123">
        <v>8</v>
      </c>
      <c r="E569" s="120">
        <v>15.440000000000003</v>
      </c>
    </row>
    <row r="570" spans="1:5">
      <c r="A570" t="s">
        <v>310</v>
      </c>
      <c r="B570" t="s">
        <v>371</v>
      </c>
      <c r="C570" t="s">
        <v>371</v>
      </c>
      <c r="D570" s="123"/>
      <c r="E570" s="120"/>
    </row>
    <row r="571" spans="1:5">
      <c r="A571" t="s">
        <v>310</v>
      </c>
      <c r="B571" t="s">
        <v>83</v>
      </c>
      <c r="C571" t="s">
        <v>532</v>
      </c>
      <c r="D571" s="123">
        <v>7</v>
      </c>
      <c r="E571" s="120">
        <v>0.91</v>
      </c>
    </row>
    <row r="572" spans="1:5">
      <c r="A572" t="s">
        <v>310</v>
      </c>
      <c r="B572" t="s">
        <v>83</v>
      </c>
      <c r="C572" t="s">
        <v>552</v>
      </c>
      <c r="D572" s="123">
        <v>10</v>
      </c>
      <c r="E572" s="120">
        <v>0</v>
      </c>
    </row>
    <row r="573" spans="1:5">
      <c r="A573" t="s">
        <v>310</v>
      </c>
      <c r="B573" t="s">
        <v>83</v>
      </c>
      <c r="C573" t="s">
        <v>360</v>
      </c>
      <c r="D573" s="123">
        <v>17</v>
      </c>
      <c r="E573" s="120">
        <v>1.224</v>
      </c>
    </row>
    <row r="574" spans="1:5">
      <c r="A574" t="s">
        <v>310</v>
      </c>
      <c r="B574" t="s">
        <v>83</v>
      </c>
      <c r="C574" t="s">
        <v>114</v>
      </c>
      <c r="D574" s="123">
        <v>6</v>
      </c>
      <c r="E574" s="120">
        <v>0.16800000000000001</v>
      </c>
    </row>
    <row r="575" spans="1:5">
      <c r="A575" t="s">
        <v>310</v>
      </c>
      <c r="B575" t="s">
        <v>83</v>
      </c>
      <c r="C575" t="s">
        <v>33</v>
      </c>
      <c r="D575" s="123">
        <v>6</v>
      </c>
      <c r="E575" s="120">
        <v>1.44</v>
      </c>
    </row>
    <row r="576" spans="1:5">
      <c r="A576" t="s">
        <v>310</v>
      </c>
      <c r="B576" t="s">
        <v>83</v>
      </c>
      <c r="C576" t="s">
        <v>670</v>
      </c>
      <c r="D576" s="123">
        <v>10</v>
      </c>
      <c r="E576" s="120">
        <v>0</v>
      </c>
    </row>
    <row r="577" spans="1:5">
      <c r="A577" t="s">
        <v>310</v>
      </c>
      <c r="B577" t="s">
        <v>83</v>
      </c>
      <c r="C577" t="s">
        <v>362</v>
      </c>
      <c r="D577" s="123">
        <v>4</v>
      </c>
      <c r="E577" s="120">
        <v>0.184</v>
      </c>
    </row>
    <row r="578" spans="1:5">
      <c r="A578" t="s">
        <v>310</v>
      </c>
      <c r="B578" t="s">
        <v>83</v>
      </c>
      <c r="C578" t="s">
        <v>32</v>
      </c>
      <c r="D578" s="123">
        <v>18</v>
      </c>
      <c r="E578" s="120">
        <v>0.63000000000000012</v>
      </c>
    </row>
    <row r="579" spans="1:5">
      <c r="A579" t="s">
        <v>310</v>
      </c>
      <c r="B579" t="s">
        <v>83</v>
      </c>
      <c r="C579" t="s">
        <v>34</v>
      </c>
      <c r="D579" s="123">
        <v>18</v>
      </c>
      <c r="E579" s="120">
        <v>1.6199999999999999</v>
      </c>
    </row>
    <row r="580" spans="1:5">
      <c r="A580" t="s">
        <v>310</v>
      </c>
      <c r="B580" t="s">
        <v>83</v>
      </c>
      <c r="C580" t="s">
        <v>35</v>
      </c>
      <c r="D580" s="123">
        <v>18</v>
      </c>
      <c r="E580" s="120">
        <v>0.57600000000000007</v>
      </c>
    </row>
    <row r="581" spans="1:5">
      <c r="A581" t="s">
        <v>310</v>
      </c>
      <c r="B581" t="s">
        <v>83</v>
      </c>
      <c r="C581" t="s">
        <v>324</v>
      </c>
      <c r="D581" s="123">
        <v>10</v>
      </c>
      <c r="E581" s="120">
        <v>0.6</v>
      </c>
    </row>
    <row r="582" spans="1:5">
      <c r="A582" t="s">
        <v>310</v>
      </c>
      <c r="B582" t="s">
        <v>83</v>
      </c>
      <c r="C582" t="s">
        <v>389</v>
      </c>
      <c r="D582" s="123">
        <v>140</v>
      </c>
      <c r="E582" s="120">
        <v>5.6000000000000005</v>
      </c>
    </row>
    <row r="583" spans="1:5">
      <c r="A583" t="s">
        <v>310</v>
      </c>
      <c r="B583" t="s">
        <v>83</v>
      </c>
      <c r="C583" t="s">
        <v>27</v>
      </c>
      <c r="D583" s="123">
        <v>10</v>
      </c>
      <c r="E583" s="120">
        <v>0.8</v>
      </c>
    </row>
    <row r="584" spans="1:5">
      <c r="A584" t="s">
        <v>108</v>
      </c>
      <c r="B584" t="s">
        <v>550</v>
      </c>
      <c r="C584" t="s">
        <v>39</v>
      </c>
      <c r="D584" s="123">
        <v>100</v>
      </c>
      <c r="E584" s="120">
        <v>3.5000000000000004</v>
      </c>
    </row>
    <row r="585" spans="1:5">
      <c r="A585" t="s">
        <v>108</v>
      </c>
      <c r="B585" t="s">
        <v>550</v>
      </c>
      <c r="C585" t="s">
        <v>670</v>
      </c>
      <c r="D585" s="123">
        <v>3</v>
      </c>
      <c r="E585" s="120">
        <v>0</v>
      </c>
    </row>
    <row r="586" spans="1:5">
      <c r="A586" t="s">
        <v>108</v>
      </c>
      <c r="B586" t="s">
        <v>550</v>
      </c>
      <c r="C586" t="s">
        <v>114</v>
      </c>
      <c r="D586" s="123">
        <v>3</v>
      </c>
      <c r="E586" s="120">
        <v>8.4000000000000005E-2</v>
      </c>
    </row>
    <row r="587" spans="1:5">
      <c r="A587" t="s">
        <v>108</v>
      </c>
      <c r="B587" t="s">
        <v>371</v>
      </c>
      <c r="C587" t="s">
        <v>371</v>
      </c>
      <c r="D587" s="123"/>
      <c r="E587" s="120"/>
    </row>
    <row r="588" spans="1:5">
      <c r="A588" t="s">
        <v>108</v>
      </c>
      <c r="B588" t="s">
        <v>623</v>
      </c>
      <c r="C588" t="s">
        <v>39</v>
      </c>
      <c r="D588" s="123">
        <v>78</v>
      </c>
      <c r="E588" s="120">
        <v>2.7300000000000004</v>
      </c>
    </row>
    <row r="589" spans="1:5">
      <c r="A589" t="s">
        <v>108</v>
      </c>
      <c r="B589" t="s">
        <v>623</v>
      </c>
      <c r="C589" t="s">
        <v>670</v>
      </c>
      <c r="D589" s="123">
        <v>2</v>
      </c>
      <c r="E589" s="120">
        <v>0</v>
      </c>
    </row>
    <row r="590" spans="1:5">
      <c r="A590" t="s">
        <v>108</v>
      </c>
      <c r="B590" t="s">
        <v>623</v>
      </c>
      <c r="C590" t="s">
        <v>114</v>
      </c>
      <c r="D590" s="123">
        <v>2</v>
      </c>
      <c r="E590" s="120">
        <v>5.6000000000000001E-2</v>
      </c>
    </row>
    <row r="591" spans="1:5">
      <c r="A591" t="s">
        <v>108</v>
      </c>
      <c r="B591" t="s">
        <v>371</v>
      </c>
      <c r="C591" t="s">
        <v>371</v>
      </c>
      <c r="D591" s="123"/>
      <c r="E591" s="120"/>
    </row>
    <row r="592" spans="1:5">
      <c r="A592" t="s">
        <v>108</v>
      </c>
      <c r="B592" t="s">
        <v>624</v>
      </c>
      <c r="C592" t="s">
        <v>40</v>
      </c>
      <c r="D592" s="123">
        <v>136</v>
      </c>
      <c r="E592" s="120">
        <v>4.3520000000000003</v>
      </c>
    </row>
    <row r="593" spans="1:5">
      <c r="A593" t="s">
        <v>108</v>
      </c>
      <c r="B593" t="s">
        <v>624</v>
      </c>
      <c r="C593" t="s">
        <v>670</v>
      </c>
      <c r="D593" s="123">
        <v>6.8</v>
      </c>
      <c r="E593" s="120">
        <v>0</v>
      </c>
    </row>
    <row r="594" spans="1:5">
      <c r="A594" t="s">
        <v>108</v>
      </c>
      <c r="B594" t="s">
        <v>624</v>
      </c>
      <c r="C594" t="s">
        <v>114</v>
      </c>
      <c r="D594" s="123">
        <v>3.4</v>
      </c>
      <c r="E594" s="120">
        <v>9.5199999999999993E-2</v>
      </c>
    </row>
    <row r="595" spans="1:5">
      <c r="A595" t="s">
        <v>108</v>
      </c>
      <c r="B595" t="s">
        <v>624</v>
      </c>
      <c r="C595" t="s">
        <v>509</v>
      </c>
      <c r="D595" s="123">
        <v>3.4</v>
      </c>
      <c r="E595" s="120">
        <v>0.14280000000000001</v>
      </c>
    </row>
    <row r="596" spans="1:5">
      <c r="A596" t="s">
        <v>108</v>
      </c>
      <c r="B596" t="s">
        <v>371</v>
      </c>
      <c r="C596" t="s">
        <v>371</v>
      </c>
      <c r="D596" s="123"/>
      <c r="E596" s="120"/>
    </row>
    <row r="597" spans="1:5">
      <c r="A597" t="s">
        <v>108</v>
      </c>
      <c r="B597" t="s">
        <v>625</v>
      </c>
      <c r="C597" t="s">
        <v>39</v>
      </c>
      <c r="D597" s="123">
        <v>100</v>
      </c>
      <c r="E597" s="120">
        <v>3.5000000000000004</v>
      </c>
    </row>
    <row r="598" spans="1:5">
      <c r="A598" t="s">
        <v>108</v>
      </c>
      <c r="B598" t="s">
        <v>625</v>
      </c>
      <c r="C598" t="s">
        <v>670</v>
      </c>
      <c r="D598" s="123">
        <v>3</v>
      </c>
      <c r="E598" s="120">
        <v>0</v>
      </c>
    </row>
    <row r="599" spans="1:5">
      <c r="A599" t="s">
        <v>108</v>
      </c>
      <c r="B599" t="s">
        <v>625</v>
      </c>
      <c r="C599" t="s">
        <v>114</v>
      </c>
      <c r="D599" s="123">
        <v>3</v>
      </c>
      <c r="E599" s="120">
        <v>8.4000000000000005E-2</v>
      </c>
    </row>
    <row r="600" spans="1:5">
      <c r="A600" t="s">
        <v>108</v>
      </c>
      <c r="B600" t="s">
        <v>625</v>
      </c>
      <c r="C600" t="s">
        <v>18</v>
      </c>
      <c r="D600" s="123">
        <v>3</v>
      </c>
      <c r="E600" s="120">
        <v>0.09</v>
      </c>
    </row>
    <row r="601" spans="1:5">
      <c r="A601" t="s">
        <v>108</v>
      </c>
      <c r="B601" t="s">
        <v>371</v>
      </c>
      <c r="C601" t="s">
        <v>371</v>
      </c>
      <c r="D601" s="123"/>
      <c r="E601" s="120"/>
    </row>
    <row r="602" spans="1:5">
      <c r="A602" t="s">
        <v>108</v>
      </c>
      <c r="B602" t="s">
        <v>626</v>
      </c>
      <c r="C602" t="s">
        <v>118</v>
      </c>
      <c r="D602" s="123">
        <v>5</v>
      </c>
      <c r="E602" s="120">
        <v>0.6</v>
      </c>
    </row>
    <row r="603" spans="1:5">
      <c r="A603" t="s">
        <v>108</v>
      </c>
      <c r="B603" t="s">
        <v>626</v>
      </c>
      <c r="C603" t="s">
        <v>40</v>
      </c>
      <c r="D603" s="123">
        <v>136</v>
      </c>
      <c r="E603" s="120">
        <v>4.3520000000000003</v>
      </c>
    </row>
    <row r="604" spans="1:5">
      <c r="A604" t="s">
        <v>108</v>
      </c>
      <c r="B604" t="s">
        <v>626</v>
      </c>
      <c r="C604" t="s">
        <v>670</v>
      </c>
      <c r="D604" s="123">
        <v>6.8</v>
      </c>
      <c r="E604" s="120">
        <v>0</v>
      </c>
    </row>
    <row r="605" spans="1:5">
      <c r="A605" t="s">
        <v>108</v>
      </c>
      <c r="B605" t="s">
        <v>626</v>
      </c>
      <c r="C605" t="s">
        <v>114</v>
      </c>
      <c r="D605" s="123">
        <v>3.4</v>
      </c>
      <c r="E605" s="120">
        <v>9.5199999999999993E-2</v>
      </c>
    </row>
    <row r="606" spans="1:5">
      <c r="A606" t="s">
        <v>108</v>
      </c>
      <c r="B606" t="s">
        <v>626</v>
      </c>
      <c r="C606" t="s">
        <v>509</v>
      </c>
      <c r="D606" s="123">
        <v>3.4</v>
      </c>
      <c r="E606" s="120">
        <v>0.14280000000000001</v>
      </c>
    </row>
    <row r="607" spans="1:5">
      <c r="A607" t="s">
        <v>108</v>
      </c>
      <c r="B607" t="s">
        <v>371</v>
      </c>
      <c r="C607" t="s">
        <v>371</v>
      </c>
      <c r="D607" s="123"/>
      <c r="E607" s="120"/>
    </row>
    <row r="608" spans="1:5">
      <c r="A608" t="s">
        <v>108</v>
      </c>
      <c r="B608" t="s">
        <v>627</v>
      </c>
      <c r="C608" t="s">
        <v>10</v>
      </c>
      <c r="D608" s="123">
        <v>88</v>
      </c>
      <c r="E608" s="120">
        <v>1.5839999999999999</v>
      </c>
    </row>
    <row r="609" spans="1:5">
      <c r="A609" t="s">
        <v>108</v>
      </c>
      <c r="B609" t="s">
        <v>627</v>
      </c>
      <c r="C609" t="s">
        <v>20</v>
      </c>
      <c r="D609" s="123">
        <v>16</v>
      </c>
      <c r="E609" s="120">
        <v>0.30399999999999999</v>
      </c>
    </row>
    <row r="610" spans="1:5">
      <c r="A610" t="s">
        <v>108</v>
      </c>
      <c r="B610" t="s">
        <v>627</v>
      </c>
      <c r="C610" t="s">
        <v>347</v>
      </c>
      <c r="D610" s="123">
        <v>1</v>
      </c>
      <c r="E610" s="120">
        <v>0.68</v>
      </c>
    </row>
    <row r="611" spans="1:5">
      <c r="A611" t="s">
        <v>108</v>
      </c>
      <c r="B611" t="s">
        <v>627</v>
      </c>
      <c r="C611" t="s">
        <v>17</v>
      </c>
      <c r="D611" s="123">
        <v>16</v>
      </c>
      <c r="E611" s="120">
        <v>4.32</v>
      </c>
    </row>
    <row r="612" spans="1:5">
      <c r="A612" t="s">
        <v>108</v>
      </c>
      <c r="B612" t="s">
        <v>627</v>
      </c>
      <c r="C612" t="s">
        <v>323</v>
      </c>
      <c r="D612" s="123">
        <v>4</v>
      </c>
      <c r="E612" s="120">
        <v>0.14000000000000001</v>
      </c>
    </row>
    <row r="613" spans="1:5">
      <c r="A613" t="s">
        <v>108</v>
      </c>
      <c r="B613" t="s">
        <v>627</v>
      </c>
      <c r="C613" t="s">
        <v>114</v>
      </c>
      <c r="D613" s="123">
        <v>3</v>
      </c>
      <c r="E613" s="120">
        <v>8.4000000000000005E-2</v>
      </c>
    </row>
    <row r="614" spans="1:5">
      <c r="A614" t="s">
        <v>108</v>
      </c>
      <c r="B614" t="s">
        <v>627</v>
      </c>
      <c r="C614" t="s">
        <v>40</v>
      </c>
      <c r="D614" s="123">
        <v>150</v>
      </c>
      <c r="E614" s="120">
        <v>4.8</v>
      </c>
    </row>
    <row r="615" spans="1:5">
      <c r="A615" t="s">
        <v>108</v>
      </c>
      <c r="B615" t="s">
        <v>627</v>
      </c>
      <c r="C615" t="s">
        <v>425</v>
      </c>
      <c r="D615" s="123">
        <v>10</v>
      </c>
      <c r="E615" s="120">
        <v>4.6999999999999993</v>
      </c>
    </row>
    <row r="616" spans="1:5">
      <c r="A616" t="s">
        <v>108</v>
      </c>
      <c r="B616" t="s">
        <v>371</v>
      </c>
      <c r="C616" t="s">
        <v>371</v>
      </c>
      <c r="D616" s="123"/>
      <c r="E616" s="120"/>
    </row>
    <row r="617" spans="1:5">
      <c r="A617" t="s">
        <v>108</v>
      </c>
      <c r="B617" t="s">
        <v>628</v>
      </c>
      <c r="C617" t="s">
        <v>323</v>
      </c>
      <c r="D617" s="123">
        <v>5</v>
      </c>
      <c r="E617" s="120">
        <v>0.17500000000000002</v>
      </c>
    </row>
    <row r="618" spans="1:5">
      <c r="A618" t="s">
        <v>108</v>
      </c>
      <c r="B618" t="s">
        <v>628</v>
      </c>
      <c r="C618" t="s">
        <v>39</v>
      </c>
      <c r="D618" s="123">
        <v>100</v>
      </c>
      <c r="E618" s="120">
        <v>3.5000000000000004</v>
      </c>
    </row>
    <row r="619" spans="1:5">
      <c r="A619" t="s">
        <v>108</v>
      </c>
      <c r="B619" t="s">
        <v>628</v>
      </c>
      <c r="C619" t="s">
        <v>670</v>
      </c>
      <c r="D619" s="123">
        <v>3</v>
      </c>
      <c r="E619" s="120">
        <v>0</v>
      </c>
    </row>
    <row r="620" spans="1:5">
      <c r="A620" t="s">
        <v>108</v>
      </c>
      <c r="B620" t="s">
        <v>628</v>
      </c>
      <c r="C620" t="s">
        <v>114</v>
      </c>
      <c r="D620" s="123">
        <v>3</v>
      </c>
      <c r="E620" s="120">
        <v>8.4000000000000005E-2</v>
      </c>
    </row>
    <row r="621" spans="1:5">
      <c r="A621" t="s">
        <v>108</v>
      </c>
      <c r="B621" t="s">
        <v>371</v>
      </c>
      <c r="C621" t="s">
        <v>371</v>
      </c>
      <c r="D621" s="123"/>
      <c r="E621" s="120"/>
    </row>
    <row r="622" spans="1:5">
      <c r="A622" t="s">
        <v>108</v>
      </c>
      <c r="B622" t="s">
        <v>629</v>
      </c>
      <c r="C622" t="s">
        <v>39</v>
      </c>
      <c r="D622" s="123">
        <v>106</v>
      </c>
      <c r="E622" s="120">
        <v>3.7100000000000004</v>
      </c>
    </row>
    <row r="623" spans="1:5">
      <c r="A623" t="s">
        <v>108</v>
      </c>
      <c r="B623" t="s">
        <v>629</v>
      </c>
      <c r="C623" t="s">
        <v>425</v>
      </c>
      <c r="D623" s="123">
        <v>4</v>
      </c>
      <c r="E623" s="120">
        <v>1.88</v>
      </c>
    </row>
    <row r="624" spans="1:5">
      <c r="A624" t="s">
        <v>108</v>
      </c>
      <c r="B624" t="s">
        <v>629</v>
      </c>
      <c r="C624" t="s">
        <v>10</v>
      </c>
      <c r="D624" s="123">
        <v>68.75</v>
      </c>
      <c r="E624" s="120">
        <v>1.2374999999999998</v>
      </c>
    </row>
    <row r="625" spans="1:5">
      <c r="A625" t="s">
        <v>108</v>
      </c>
      <c r="B625" t="s">
        <v>629</v>
      </c>
      <c r="C625" t="s">
        <v>20</v>
      </c>
      <c r="D625" s="123">
        <v>12.5</v>
      </c>
      <c r="E625" s="120">
        <v>0.23749999999999999</v>
      </c>
    </row>
    <row r="626" spans="1:5">
      <c r="A626" t="s">
        <v>108</v>
      </c>
      <c r="B626" t="s">
        <v>629</v>
      </c>
      <c r="C626" t="s">
        <v>347</v>
      </c>
      <c r="D626" s="123">
        <v>0.78125</v>
      </c>
      <c r="E626" s="120">
        <v>0.53125</v>
      </c>
    </row>
    <row r="627" spans="1:5">
      <c r="A627" t="s">
        <v>108</v>
      </c>
      <c r="B627" t="s">
        <v>629</v>
      </c>
      <c r="C627" t="s">
        <v>17</v>
      </c>
      <c r="D627" s="123">
        <v>12.5</v>
      </c>
      <c r="E627" s="120">
        <v>3.375</v>
      </c>
    </row>
    <row r="628" spans="1:5">
      <c r="A628" t="s">
        <v>108</v>
      </c>
      <c r="B628" t="s">
        <v>629</v>
      </c>
      <c r="C628" t="s">
        <v>323</v>
      </c>
      <c r="D628" s="123">
        <v>3.125</v>
      </c>
      <c r="E628" s="120">
        <v>0.10937500000000001</v>
      </c>
    </row>
    <row r="629" spans="1:5">
      <c r="A629" t="s">
        <v>108</v>
      </c>
      <c r="B629" t="s">
        <v>629</v>
      </c>
      <c r="C629" t="s">
        <v>114</v>
      </c>
      <c r="D629" s="123">
        <v>2.34375</v>
      </c>
      <c r="E629" s="120">
        <v>6.5625000000000003E-2</v>
      </c>
    </row>
    <row r="630" spans="1:5">
      <c r="A630" t="s">
        <v>108</v>
      </c>
      <c r="B630" t="s">
        <v>371</v>
      </c>
      <c r="C630" t="s">
        <v>371</v>
      </c>
      <c r="D630" s="123"/>
      <c r="E630" s="120"/>
    </row>
    <row r="631" spans="1:5">
      <c r="A631" t="s">
        <v>108</v>
      </c>
      <c r="B631" t="s">
        <v>630</v>
      </c>
      <c r="C631" t="s">
        <v>425</v>
      </c>
      <c r="D631" s="123">
        <v>3</v>
      </c>
      <c r="E631" s="120">
        <v>1.41</v>
      </c>
    </row>
    <row r="632" spans="1:5">
      <c r="A632" t="s">
        <v>108</v>
      </c>
      <c r="B632" t="s">
        <v>630</v>
      </c>
      <c r="C632" t="s">
        <v>39</v>
      </c>
      <c r="D632" s="123">
        <v>78</v>
      </c>
      <c r="E632" s="120">
        <v>2.7300000000000004</v>
      </c>
    </row>
    <row r="633" spans="1:5">
      <c r="A633" t="s">
        <v>108</v>
      </c>
      <c r="B633" t="s">
        <v>630</v>
      </c>
      <c r="C633" t="s">
        <v>670</v>
      </c>
      <c r="D633" s="123">
        <v>2</v>
      </c>
      <c r="E633" s="120">
        <v>0</v>
      </c>
    </row>
    <row r="634" spans="1:5">
      <c r="A634" t="s">
        <v>108</v>
      </c>
      <c r="B634" t="s">
        <v>630</v>
      </c>
      <c r="C634" t="s">
        <v>114</v>
      </c>
      <c r="D634" s="123">
        <v>2</v>
      </c>
      <c r="E634" s="120">
        <v>5.6000000000000001E-2</v>
      </c>
    </row>
    <row r="635" spans="1:5">
      <c r="A635" t="s">
        <v>108</v>
      </c>
      <c r="B635" t="s">
        <v>371</v>
      </c>
      <c r="C635" t="s">
        <v>371</v>
      </c>
      <c r="D635" s="123"/>
      <c r="E635" s="120"/>
    </row>
    <row r="636" spans="1:5">
      <c r="A636" t="s">
        <v>108</v>
      </c>
      <c r="B636" t="s">
        <v>631</v>
      </c>
      <c r="C636" t="s">
        <v>425</v>
      </c>
      <c r="D636" s="123">
        <v>4</v>
      </c>
      <c r="E636" s="120">
        <v>1.88</v>
      </c>
    </row>
    <row r="637" spans="1:5">
      <c r="A637" t="s">
        <v>108</v>
      </c>
      <c r="B637" t="s">
        <v>631</v>
      </c>
      <c r="C637" t="s">
        <v>40</v>
      </c>
      <c r="D637" s="123">
        <v>136</v>
      </c>
      <c r="E637" s="120">
        <v>4.3520000000000003</v>
      </c>
    </row>
    <row r="638" spans="1:5">
      <c r="A638" t="s">
        <v>108</v>
      </c>
      <c r="B638" t="s">
        <v>631</v>
      </c>
      <c r="C638" t="s">
        <v>670</v>
      </c>
      <c r="D638" s="123">
        <v>6.8</v>
      </c>
      <c r="E638" s="120">
        <v>0</v>
      </c>
    </row>
    <row r="639" spans="1:5">
      <c r="A639" t="s">
        <v>108</v>
      </c>
      <c r="B639" t="s">
        <v>631</v>
      </c>
      <c r="C639" t="s">
        <v>114</v>
      </c>
      <c r="D639" s="123">
        <v>3.4</v>
      </c>
      <c r="E639" s="120">
        <v>9.5199999999999993E-2</v>
      </c>
    </row>
    <row r="640" spans="1:5">
      <c r="A640" t="s">
        <v>108</v>
      </c>
      <c r="B640" t="s">
        <v>631</v>
      </c>
      <c r="C640" t="s">
        <v>509</v>
      </c>
      <c r="D640" s="123">
        <v>3.4</v>
      </c>
      <c r="E640" s="120">
        <v>0.14280000000000001</v>
      </c>
    </row>
    <row r="641" spans="1:5">
      <c r="A641" t="s">
        <v>89</v>
      </c>
      <c r="B641" t="s">
        <v>90</v>
      </c>
      <c r="C641" t="s">
        <v>545</v>
      </c>
      <c r="D641" s="123">
        <v>410</v>
      </c>
      <c r="E641" s="120">
        <v>54.078658333333337</v>
      </c>
    </row>
    <row r="642" spans="1:5">
      <c r="A642" t="s">
        <v>89</v>
      </c>
      <c r="B642" t="s">
        <v>90</v>
      </c>
      <c r="C642" t="s">
        <v>488</v>
      </c>
      <c r="D642" s="123">
        <v>24</v>
      </c>
      <c r="E642" s="120">
        <v>11.28</v>
      </c>
    </row>
    <row r="643" spans="1:5">
      <c r="A643" t="s">
        <v>89</v>
      </c>
      <c r="B643" t="s">
        <v>90</v>
      </c>
      <c r="C643" t="s">
        <v>4</v>
      </c>
      <c r="D643" s="123">
        <v>80</v>
      </c>
      <c r="E643" s="120">
        <v>17.04</v>
      </c>
    </row>
    <row r="644" spans="1:5">
      <c r="A644" t="s">
        <v>89</v>
      </c>
      <c r="B644" t="s">
        <v>90</v>
      </c>
      <c r="C644" t="s">
        <v>114</v>
      </c>
      <c r="D644" s="123">
        <v>5</v>
      </c>
      <c r="E644" s="120">
        <v>0.14000000000000001</v>
      </c>
    </row>
    <row r="645" spans="1:5">
      <c r="A645" t="s">
        <v>89</v>
      </c>
      <c r="B645" t="s">
        <v>90</v>
      </c>
      <c r="C645" t="s">
        <v>380</v>
      </c>
      <c r="D645" s="123">
        <v>10</v>
      </c>
      <c r="E645" s="120">
        <v>5.3333000000000013</v>
      </c>
    </row>
    <row r="646" spans="1:5">
      <c r="A646" t="s">
        <v>89</v>
      </c>
      <c r="B646" t="s">
        <v>371</v>
      </c>
      <c r="C646" t="s">
        <v>371</v>
      </c>
      <c r="D646" s="123"/>
      <c r="E646" s="120"/>
    </row>
    <row r="647" spans="1:5">
      <c r="A647" t="s">
        <v>89</v>
      </c>
      <c r="B647" t="s">
        <v>117</v>
      </c>
      <c r="C647" t="s">
        <v>548</v>
      </c>
      <c r="D647" s="123">
        <v>315</v>
      </c>
      <c r="E647" s="120">
        <v>10.053772633333336</v>
      </c>
    </row>
    <row r="648" spans="1:5">
      <c r="A648" t="s">
        <v>89</v>
      </c>
      <c r="B648" t="s">
        <v>117</v>
      </c>
      <c r="C648" t="s">
        <v>280</v>
      </c>
      <c r="D648" s="123">
        <v>90</v>
      </c>
      <c r="E648" s="120">
        <v>15.096350364963502</v>
      </c>
    </row>
    <row r="649" spans="1:5">
      <c r="A649" t="s">
        <v>89</v>
      </c>
      <c r="B649" t="s">
        <v>117</v>
      </c>
      <c r="C649" t="s">
        <v>122</v>
      </c>
      <c r="D649" s="123">
        <v>56.7</v>
      </c>
      <c r="E649" s="120">
        <v>15.876000000000003</v>
      </c>
    </row>
    <row r="650" spans="1:5">
      <c r="A650" t="s">
        <v>89</v>
      </c>
      <c r="B650" t="s">
        <v>117</v>
      </c>
      <c r="C650" t="s">
        <v>348</v>
      </c>
      <c r="D650" s="123">
        <v>9</v>
      </c>
      <c r="E650" s="120">
        <v>6.39</v>
      </c>
    </row>
    <row r="651" spans="1:5">
      <c r="A651" t="s">
        <v>89</v>
      </c>
      <c r="B651" t="s">
        <v>117</v>
      </c>
      <c r="C651" t="s">
        <v>514</v>
      </c>
      <c r="D651" s="123">
        <v>9</v>
      </c>
      <c r="E651" s="120">
        <v>6.516</v>
      </c>
    </row>
    <row r="652" spans="1:5">
      <c r="A652" t="s">
        <v>89</v>
      </c>
      <c r="B652" t="s">
        <v>117</v>
      </c>
      <c r="C652" t="s">
        <v>347</v>
      </c>
      <c r="D652" s="123">
        <v>8.1</v>
      </c>
      <c r="E652" s="120">
        <v>5.508</v>
      </c>
    </row>
    <row r="653" spans="1:5">
      <c r="A653" t="s">
        <v>89</v>
      </c>
      <c r="B653" t="s">
        <v>117</v>
      </c>
      <c r="C653" t="s">
        <v>12</v>
      </c>
      <c r="D653" s="123">
        <v>8.1</v>
      </c>
      <c r="E653" s="120">
        <v>0.78569999999999995</v>
      </c>
    </row>
    <row r="654" spans="1:5">
      <c r="A654" t="s">
        <v>89</v>
      </c>
      <c r="B654" t="s">
        <v>117</v>
      </c>
      <c r="C654" t="s">
        <v>114</v>
      </c>
      <c r="D654" s="123">
        <v>12.6</v>
      </c>
      <c r="E654" s="120">
        <v>0.3528</v>
      </c>
    </row>
    <row r="655" spans="1:5">
      <c r="A655" t="s">
        <v>89</v>
      </c>
      <c r="B655" t="s">
        <v>117</v>
      </c>
      <c r="C655" t="s">
        <v>511</v>
      </c>
      <c r="D655" s="123">
        <v>22.5</v>
      </c>
      <c r="E655" s="120">
        <v>0.9</v>
      </c>
    </row>
    <row r="656" spans="1:5">
      <c r="A656" t="s">
        <v>89</v>
      </c>
      <c r="B656" t="s">
        <v>117</v>
      </c>
      <c r="C656" t="s">
        <v>2</v>
      </c>
      <c r="D656" s="123">
        <v>1.8</v>
      </c>
      <c r="E656" s="120">
        <v>0.86399999999999999</v>
      </c>
    </row>
    <row r="657" spans="1:5">
      <c r="A657" t="s">
        <v>89</v>
      </c>
      <c r="B657" t="s">
        <v>117</v>
      </c>
      <c r="C657" t="s">
        <v>488</v>
      </c>
      <c r="D657" s="123">
        <v>45</v>
      </c>
      <c r="E657" s="120">
        <v>21.15</v>
      </c>
    </row>
    <row r="658" spans="1:5">
      <c r="A658" t="s">
        <v>89</v>
      </c>
      <c r="B658" t="s">
        <v>117</v>
      </c>
      <c r="C658" t="s">
        <v>4</v>
      </c>
      <c r="D658" s="123">
        <v>75.600000000000009</v>
      </c>
      <c r="E658" s="120">
        <v>16.102800000000002</v>
      </c>
    </row>
    <row r="659" spans="1:5">
      <c r="A659" t="s">
        <v>89</v>
      </c>
      <c r="B659" t="s">
        <v>117</v>
      </c>
      <c r="C659" t="s">
        <v>17</v>
      </c>
      <c r="D659" s="123">
        <v>135</v>
      </c>
      <c r="E659" s="120">
        <v>36.450000000000003</v>
      </c>
    </row>
    <row r="660" spans="1:5">
      <c r="A660" t="s">
        <v>89</v>
      </c>
      <c r="B660" t="s">
        <v>117</v>
      </c>
      <c r="C660" t="s">
        <v>149</v>
      </c>
      <c r="D660" s="123">
        <v>11.700000000000001</v>
      </c>
      <c r="E660" s="120">
        <v>1.5210000000000001</v>
      </c>
    </row>
    <row r="661" spans="1:5">
      <c r="A661" t="s">
        <v>89</v>
      </c>
      <c r="B661" t="s">
        <v>371</v>
      </c>
      <c r="C661" t="s">
        <v>371</v>
      </c>
      <c r="D661" s="123"/>
      <c r="E661" s="120"/>
    </row>
    <row r="662" spans="1:5">
      <c r="A662" t="s">
        <v>89</v>
      </c>
      <c r="B662" t="s">
        <v>632</v>
      </c>
      <c r="C662" t="s">
        <v>548</v>
      </c>
      <c r="D662" s="123">
        <v>230.4</v>
      </c>
      <c r="E662" s="120">
        <v>7.3536165546666687</v>
      </c>
    </row>
    <row r="663" spans="1:5">
      <c r="A663" t="s">
        <v>89</v>
      </c>
      <c r="B663" t="s">
        <v>632</v>
      </c>
      <c r="C663" t="s">
        <v>280</v>
      </c>
      <c r="D663" s="123">
        <v>94.5</v>
      </c>
      <c r="E663" s="120">
        <v>15.851167883211678</v>
      </c>
    </row>
    <row r="664" spans="1:5">
      <c r="A664" t="s">
        <v>89</v>
      </c>
      <c r="B664" t="s">
        <v>632</v>
      </c>
      <c r="C664" t="s">
        <v>4</v>
      </c>
      <c r="D664" s="123">
        <v>63</v>
      </c>
      <c r="E664" s="120">
        <v>13.419</v>
      </c>
    </row>
    <row r="665" spans="1:5">
      <c r="A665" t="s">
        <v>89</v>
      </c>
      <c r="B665" t="s">
        <v>632</v>
      </c>
      <c r="C665" t="s">
        <v>114</v>
      </c>
      <c r="D665" s="123">
        <v>13.5</v>
      </c>
      <c r="E665" s="120">
        <v>0.378</v>
      </c>
    </row>
    <row r="666" spans="1:5">
      <c r="A666" t="s">
        <v>89</v>
      </c>
      <c r="B666" t="s">
        <v>632</v>
      </c>
      <c r="C666" t="s">
        <v>12</v>
      </c>
      <c r="D666" s="123">
        <v>10.8</v>
      </c>
      <c r="E666" s="120">
        <v>1.0476000000000001</v>
      </c>
    </row>
    <row r="667" spans="1:5">
      <c r="A667" t="s">
        <v>89</v>
      </c>
      <c r="B667" t="s">
        <v>632</v>
      </c>
      <c r="C667" t="s">
        <v>2</v>
      </c>
      <c r="D667" s="123">
        <v>1.8</v>
      </c>
      <c r="E667" s="120">
        <v>0.86399999999999999</v>
      </c>
    </row>
    <row r="668" spans="1:5">
      <c r="A668" t="s">
        <v>89</v>
      </c>
      <c r="B668" t="s">
        <v>632</v>
      </c>
      <c r="C668" t="s">
        <v>496</v>
      </c>
      <c r="D668" s="123">
        <v>9</v>
      </c>
      <c r="E668" s="120">
        <v>1.44</v>
      </c>
    </row>
    <row r="669" spans="1:5">
      <c r="A669" t="s">
        <v>89</v>
      </c>
      <c r="B669" t="s">
        <v>632</v>
      </c>
      <c r="C669" t="s">
        <v>122</v>
      </c>
      <c r="D669" s="123">
        <v>36.9</v>
      </c>
      <c r="E669" s="120">
        <v>10.332000000000001</v>
      </c>
    </row>
    <row r="670" spans="1:5">
      <c r="A670" t="s">
        <v>89</v>
      </c>
      <c r="B670" t="s">
        <v>632</v>
      </c>
      <c r="C670" t="s">
        <v>17</v>
      </c>
      <c r="D670" s="123">
        <v>144</v>
      </c>
      <c r="E670" s="120">
        <v>38.880000000000003</v>
      </c>
    </row>
    <row r="671" spans="1:5">
      <c r="A671" t="s">
        <v>89</v>
      </c>
      <c r="B671" t="s">
        <v>371</v>
      </c>
      <c r="C671" t="s">
        <v>371</v>
      </c>
      <c r="D671" s="123"/>
      <c r="E671" s="120"/>
    </row>
    <row r="672" spans="1:5">
      <c r="A672" t="s">
        <v>89</v>
      </c>
      <c r="B672" t="s">
        <v>112</v>
      </c>
      <c r="C672" t="s">
        <v>17</v>
      </c>
      <c r="D672" s="123">
        <v>135</v>
      </c>
      <c r="E672" s="120">
        <v>36.450000000000003</v>
      </c>
    </row>
    <row r="673" spans="1:5">
      <c r="A673" t="s">
        <v>89</v>
      </c>
      <c r="B673" t="s">
        <v>112</v>
      </c>
      <c r="C673" t="s">
        <v>548</v>
      </c>
      <c r="D673" s="123">
        <v>270</v>
      </c>
      <c r="E673" s="120">
        <v>8.6175194000000026</v>
      </c>
    </row>
    <row r="674" spans="1:5">
      <c r="A674" t="s">
        <v>89</v>
      </c>
      <c r="B674" t="s">
        <v>112</v>
      </c>
      <c r="C674" t="s">
        <v>280</v>
      </c>
      <c r="D674" s="123">
        <v>72</v>
      </c>
      <c r="E674" s="120">
        <v>12.077080291970802</v>
      </c>
    </row>
    <row r="675" spans="1:5">
      <c r="A675" t="s">
        <v>89</v>
      </c>
      <c r="B675" t="s">
        <v>112</v>
      </c>
      <c r="C675" t="s">
        <v>25</v>
      </c>
      <c r="D675" s="123">
        <v>16.2</v>
      </c>
      <c r="E675" s="120">
        <v>0.4536</v>
      </c>
    </row>
    <row r="676" spans="1:5">
      <c r="A676" t="s">
        <v>89</v>
      </c>
      <c r="B676" t="s">
        <v>112</v>
      </c>
      <c r="C676" t="s">
        <v>488</v>
      </c>
      <c r="D676" s="123">
        <v>21.6</v>
      </c>
      <c r="E676" s="120">
        <v>10.151999999999999</v>
      </c>
    </row>
    <row r="677" spans="1:5">
      <c r="A677" t="s">
        <v>89</v>
      </c>
      <c r="B677" t="s">
        <v>112</v>
      </c>
      <c r="C677" t="s">
        <v>4</v>
      </c>
      <c r="D677" s="123">
        <v>72</v>
      </c>
      <c r="E677" s="120">
        <v>15.336</v>
      </c>
    </row>
    <row r="678" spans="1:5">
      <c r="A678" t="s">
        <v>89</v>
      </c>
      <c r="B678" t="s">
        <v>112</v>
      </c>
      <c r="C678" t="s">
        <v>114</v>
      </c>
      <c r="D678" s="123">
        <v>4.5</v>
      </c>
      <c r="E678" s="120">
        <v>0.126</v>
      </c>
    </row>
    <row r="679" spans="1:5">
      <c r="A679" t="s">
        <v>89</v>
      </c>
      <c r="B679" t="s">
        <v>112</v>
      </c>
      <c r="C679" t="s">
        <v>549</v>
      </c>
      <c r="D679" s="123">
        <v>52.2</v>
      </c>
      <c r="E679" s="120">
        <v>1.2492409090909091</v>
      </c>
    </row>
    <row r="680" spans="1:5">
      <c r="A680" t="s">
        <v>89</v>
      </c>
      <c r="B680" t="s">
        <v>371</v>
      </c>
      <c r="C680" t="s">
        <v>371</v>
      </c>
      <c r="D680" s="123"/>
      <c r="E680" s="120"/>
    </row>
    <row r="681" spans="1:5">
      <c r="A681" t="s">
        <v>89</v>
      </c>
      <c r="B681" t="s">
        <v>633</v>
      </c>
      <c r="C681" t="s">
        <v>17</v>
      </c>
      <c r="D681" s="123">
        <v>121.5</v>
      </c>
      <c r="E681" s="120">
        <v>32.805</v>
      </c>
    </row>
    <row r="682" spans="1:5">
      <c r="A682" t="s">
        <v>89</v>
      </c>
      <c r="B682" t="s">
        <v>633</v>
      </c>
      <c r="C682" t="s">
        <v>548</v>
      </c>
      <c r="D682" s="123">
        <v>162</v>
      </c>
      <c r="E682" s="120">
        <v>5.1705116400000017</v>
      </c>
    </row>
    <row r="683" spans="1:5">
      <c r="A683" t="s">
        <v>89</v>
      </c>
      <c r="B683" t="s">
        <v>633</v>
      </c>
      <c r="C683" t="s">
        <v>280</v>
      </c>
      <c r="D683" s="123">
        <v>81</v>
      </c>
      <c r="E683" s="120">
        <v>13.586715328467152</v>
      </c>
    </row>
    <row r="684" spans="1:5">
      <c r="A684" t="s">
        <v>89</v>
      </c>
      <c r="B684" t="s">
        <v>633</v>
      </c>
      <c r="C684" t="s">
        <v>25</v>
      </c>
      <c r="D684" s="123">
        <v>28.35</v>
      </c>
      <c r="E684" s="120">
        <v>0.79380000000000006</v>
      </c>
    </row>
    <row r="685" spans="1:5">
      <c r="A685" t="s">
        <v>89</v>
      </c>
      <c r="B685" t="s">
        <v>633</v>
      </c>
      <c r="C685" t="s">
        <v>488</v>
      </c>
      <c r="D685" s="123">
        <v>19.440000000000001</v>
      </c>
      <c r="E685" s="120">
        <v>9.1368000000000009</v>
      </c>
    </row>
    <row r="686" spans="1:5">
      <c r="A686" t="s">
        <v>89</v>
      </c>
      <c r="B686" t="s">
        <v>633</v>
      </c>
      <c r="C686" t="s">
        <v>4</v>
      </c>
      <c r="D686" s="123">
        <v>64.8</v>
      </c>
      <c r="E686" s="120">
        <v>13.802399999999999</v>
      </c>
    </row>
    <row r="687" spans="1:5">
      <c r="A687" t="s">
        <v>89</v>
      </c>
      <c r="B687" t="s">
        <v>633</v>
      </c>
      <c r="C687" t="s">
        <v>114</v>
      </c>
      <c r="D687" s="123">
        <v>16.2</v>
      </c>
      <c r="E687" s="120">
        <v>0.4536</v>
      </c>
    </row>
    <row r="688" spans="1:5">
      <c r="A688" t="s">
        <v>89</v>
      </c>
      <c r="B688" t="s">
        <v>633</v>
      </c>
      <c r="C688" t="s">
        <v>549</v>
      </c>
      <c r="D688" s="123">
        <v>81</v>
      </c>
      <c r="E688" s="120">
        <v>1.9384772727272728</v>
      </c>
    </row>
    <row r="689" spans="1:5">
      <c r="A689" t="s">
        <v>89</v>
      </c>
      <c r="B689" t="s">
        <v>633</v>
      </c>
      <c r="C689" t="s">
        <v>20</v>
      </c>
      <c r="D689" s="123">
        <v>32.4</v>
      </c>
      <c r="E689" s="120">
        <v>0.61559999999999993</v>
      </c>
    </row>
    <row r="690" spans="1:5">
      <c r="A690" t="s">
        <v>89</v>
      </c>
      <c r="B690" t="s">
        <v>633</v>
      </c>
      <c r="C690" t="s">
        <v>348</v>
      </c>
      <c r="D690" s="123">
        <v>15.390000000000002</v>
      </c>
      <c r="E690" s="120">
        <v>10.926900000000002</v>
      </c>
    </row>
    <row r="691" spans="1:5">
      <c r="A691" t="s">
        <v>89</v>
      </c>
      <c r="B691" t="s">
        <v>633</v>
      </c>
      <c r="C691" t="s">
        <v>12</v>
      </c>
      <c r="D691" s="123">
        <v>14.58</v>
      </c>
      <c r="E691" s="120">
        <v>1.4142600000000001</v>
      </c>
    </row>
    <row r="692" spans="1:5">
      <c r="A692" t="s">
        <v>89</v>
      </c>
      <c r="B692" t="s">
        <v>633</v>
      </c>
      <c r="C692" t="s">
        <v>514</v>
      </c>
      <c r="D692" s="123">
        <v>13.770000000000001</v>
      </c>
      <c r="E692" s="120">
        <v>9.9694800000000008</v>
      </c>
    </row>
    <row r="693" spans="1:5">
      <c r="A693" t="s">
        <v>89</v>
      </c>
      <c r="B693" t="s">
        <v>633</v>
      </c>
      <c r="C693" t="s">
        <v>9</v>
      </c>
      <c r="D693" s="123">
        <v>16.2</v>
      </c>
      <c r="E693" s="120">
        <v>0</v>
      </c>
    </row>
    <row r="694" spans="1:5">
      <c r="A694" t="s">
        <v>89</v>
      </c>
      <c r="B694" t="s">
        <v>633</v>
      </c>
      <c r="C694" t="s">
        <v>23</v>
      </c>
      <c r="D694" s="123">
        <v>8.1</v>
      </c>
      <c r="E694" s="120">
        <v>1.1825999999999999</v>
      </c>
    </row>
    <row r="695" spans="1:5">
      <c r="A695" t="s">
        <v>89</v>
      </c>
      <c r="B695" t="s">
        <v>633</v>
      </c>
      <c r="C695" t="s">
        <v>2</v>
      </c>
      <c r="D695" s="123">
        <v>1.62</v>
      </c>
      <c r="E695" s="120">
        <v>0.77760000000000007</v>
      </c>
    </row>
    <row r="696" spans="1:5">
      <c r="A696" t="s">
        <v>89</v>
      </c>
      <c r="B696" t="s">
        <v>371</v>
      </c>
      <c r="C696" t="s">
        <v>371</v>
      </c>
      <c r="D696" s="123"/>
      <c r="E696" s="120"/>
    </row>
    <row r="697" spans="1:5">
      <c r="A697" t="s">
        <v>89</v>
      </c>
      <c r="B697" t="s">
        <v>92</v>
      </c>
      <c r="C697" t="s">
        <v>548</v>
      </c>
      <c r="D697" s="123">
        <v>250</v>
      </c>
      <c r="E697" s="120">
        <v>7.979184629629632</v>
      </c>
    </row>
    <row r="698" spans="1:5">
      <c r="A698" t="s">
        <v>89</v>
      </c>
      <c r="B698" t="s">
        <v>92</v>
      </c>
      <c r="C698" t="s">
        <v>549</v>
      </c>
      <c r="D698" s="123">
        <v>105</v>
      </c>
      <c r="E698" s="120">
        <v>2.512840909090909</v>
      </c>
    </row>
    <row r="699" spans="1:5">
      <c r="A699" t="s">
        <v>89</v>
      </c>
      <c r="B699" t="s">
        <v>92</v>
      </c>
      <c r="C699" t="s">
        <v>492</v>
      </c>
      <c r="D699" s="123">
        <v>280</v>
      </c>
      <c r="E699" s="120">
        <v>22.400000000000002</v>
      </c>
    </row>
    <row r="700" spans="1:5">
      <c r="A700" t="s">
        <v>89</v>
      </c>
      <c r="B700" t="s">
        <v>92</v>
      </c>
      <c r="C700" t="s">
        <v>114</v>
      </c>
      <c r="D700" s="123">
        <v>15</v>
      </c>
      <c r="E700" s="120">
        <v>0.42</v>
      </c>
    </row>
    <row r="701" spans="1:5">
      <c r="A701" t="s">
        <v>89</v>
      </c>
      <c r="B701" t="s">
        <v>92</v>
      </c>
      <c r="C701" t="s">
        <v>280</v>
      </c>
      <c r="D701" s="123">
        <v>88</v>
      </c>
      <c r="E701" s="120">
        <v>14.760875912408759</v>
      </c>
    </row>
    <row r="702" spans="1:5">
      <c r="A702" t="s">
        <v>89</v>
      </c>
      <c r="B702" t="s">
        <v>92</v>
      </c>
      <c r="C702" t="s">
        <v>348</v>
      </c>
      <c r="D702" s="123">
        <v>19</v>
      </c>
      <c r="E702" s="120">
        <v>13.489999999999998</v>
      </c>
    </row>
    <row r="703" spans="1:5">
      <c r="A703" t="s">
        <v>89</v>
      </c>
      <c r="B703" t="s">
        <v>92</v>
      </c>
      <c r="C703" t="s">
        <v>12</v>
      </c>
      <c r="D703" s="123">
        <v>18</v>
      </c>
      <c r="E703" s="120">
        <v>1.746</v>
      </c>
    </row>
    <row r="704" spans="1:5">
      <c r="A704" t="s">
        <v>89</v>
      </c>
      <c r="B704" t="s">
        <v>92</v>
      </c>
      <c r="C704" t="s">
        <v>514</v>
      </c>
      <c r="D704" s="123">
        <v>17</v>
      </c>
      <c r="E704" s="120">
        <v>12.308</v>
      </c>
    </row>
    <row r="705" spans="1:5">
      <c r="A705" t="s">
        <v>89</v>
      </c>
      <c r="B705" t="s">
        <v>92</v>
      </c>
      <c r="C705" t="s">
        <v>9</v>
      </c>
      <c r="D705" s="123">
        <v>20</v>
      </c>
      <c r="E705" s="120">
        <v>0</v>
      </c>
    </row>
    <row r="706" spans="1:5">
      <c r="A706" t="s">
        <v>89</v>
      </c>
      <c r="B706" t="s">
        <v>92</v>
      </c>
      <c r="C706" t="s">
        <v>4</v>
      </c>
      <c r="D706" s="123">
        <v>10</v>
      </c>
      <c r="E706" s="120">
        <v>2.13</v>
      </c>
    </row>
    <row r="707" spans="1:5">
      <c r="A707" t="s">
        <v>89</v>
      </c>
      <c r="B707" t="s">
        <v>92</v>
      </c>
      <c r="C707" t="s">
        <v>492</v>
      </c>
      <c r="D707" s="123">
        <v>175</v>
      </c>
      <c r="E707" s="120">
        <v>14</v>
      </c>
    </row>
    <row r="708" spans="1:5">
      <c r="A708" t="s">
        <v>89</v>
      </c>
      <c r="B708" t="s">
        <v>371</v>
      </c>
      <c r="C708" t="s">
        <v>371</v>
      </c>
      <c r="D708" s="123"/>
      <c r="E708" s="120"/>
    </row>
    <row r="709" spans="1:5">
      <c r="A709" t="s">
        <v>89</v>
      </c>
      <c r="B709" t="s">
        <v>371</v>
      </c>
      <c r="C709" t="s">
        <v>371</v>
      </c>
      <c r="D709" s="123"/>
      <c r="E709" s="120"/>
    </row>
    <row r="710" spans="1:5">
      <c r="A710" t="s">
        <v>89</v>
      </c>
      <c r="B710" t="s">
        <v>113</v>
      </c>
      <c r="C710" t="s">
        <v>492</v>
      </c>
      <c r="D710" s="123">
        <v>288</v>
      </c>
      <c r="E710" s="120">
        <v>23.04</v>
      </c>
    </row>
    <row r="711" spans="1:5">
      <c r="A711" t="s">
        <v>89</v>
      </c>
      <c r="B711" t="s">
        <v>113</v>
      </c>
      <c r="C711" t="s">
        <v>548</v>
      </c>
      <c r="D711" s="123">
        <v>300</v>
      </c>
      <c r="E711" s="120">
        <v>9.5750215555555585</v>
      </c>
    </row>
    <row r="712" spans="1:5">
      <c r="A712" t="s">
        <v>89</v>
      </c>
      <c r="B712" t="s">
        <v>113</v>
      </c>
      <c r="C712" t="s">
        <v>280</v>
      </c>
      <c r="D712" s="123">
        <v>80</v>
      </c>
      <c r="E712" s="120">
        <v>13.418978102189779</v>
      </c>
    </row>
    <row r="713" spans="1:5">
      <c r="A713" t="s">
        <v>89</v>
      </c>
      <c r="B713" t="s">
        <v>113</v>
      </c>
      <c r="C713" t="s">
        <v>25</v>
      </c>
      <c r="D713" s="123">
        <v>18</v>
      </c>
      <c r="E713" s="120">
        <v>0.504</v>
      </c>
    </row>
    <row r="714" spans="1:5">
      <c r="A714" t="s">
        <v>89</v>
      </c>
      <c r="B714" t="s">
        <v>113</v>
      </c>
      <c r="C714" t="s">
        <v>488</v>
      </c>
      <c r="D714" s="123">
        <v>24</v>
      </c>
      <c r="E714" s="120">
        <v>11.28</v>
      </c>
    </row>
    <row r="715" spans="1:5">
      <c r="A715" t="s">
        <v>89</v>
      </c>
      <c r="B715" t="s">
        <v>113</v>
      </c>
      <c r="C715" t="s">
        <v>4</v>
      </c>
      <c r="D715" s="123">
        <v>80</v>
      </c>
      <c r="E715" s="120">
        <v>17.04</v>
      </c>
    </row>
    <row r="716" spans="1:5">
      <c r="A716" t="s">
        <v>89</v>
      </c>
      <c r="B716" t="s">
        <v>113</v>
      </c>
      <c r="C716" t="s">
        <v>114</v>
      </c>
      <c r="D716" s="123">
        <v>5</v>
      </c>
      <c r="E716" s="120">
        <v>0.14000000000000001</v>
      </c>
    </row>
    <row r="717" spans="1:5">
      <c r="A717" t="s">
        <v>89</v>
      </c>
      <c r="B717" t="s">
        <v>113</v>
      </c>
      <c r="C717" t="s">
        <v>549</v>
      </c>
      <c r="D717" s="123">
        <v>58</v>
      </c>
      <c r="E717" s="120">
        <v>1.3880454545454546</v>
      </c>
    </row>
    <row r="718" spans="1:5">
      <c r="A718" t="s">
        <v>89</v>
      </c>
      <c r="B718" t="s">
        <v>371</v>
      </c>
      <c r="C718" t="s">
        <v>371</v>
      </c>
      <c r="D718" s="123"/>
      <c r="E718" s="120"/>
    </row>
    <row r="719" spans="1:5">
      <c r="A719" t="s">
        <v>89</v>
      </c>
      <c r="B719" t="s">
        <v>297</v>
      </c>
      <c r="C719" t="s">
        <v>380</v>
      </c>
      <c r="D719" s="123">
        <v>31.578947368421051</v>
      </c>
      <c r="E719" s="120">
        <v>16.842000000000002</v>
      </c>
    </row>
    <row r="720" spans="1:5">
      <c r="A720" t="s">
        <v>89</v>
      </c>
      <c r="B720" t="s">
        <v>297</v>
      </c>
      <c r="C720" t="s">
        <v>52</v>
      </c>
      <c r="D720" s="123">
        <v>2.1052631578947367</v>
      </c>
      <c r="E720" s="120">
        <v>1.368421052631579</v>
      </c>
    </row>
    <row r="721" spans="1:5">
      <c r="A721" t="s">
        <v>89</v>
      </c>
      <c r="B721" t="s">
        <v>297</v>
      </c>
      <c r="C721" t="s">
        <v>118</v>
      </c>
      <c r="D721" s="123">
        <v>6.3157894736842106</v>
      </c>
      <c r="E721" s="120">
        <v>0.75789473684210529</v>
      </c>
    </row>
    <row r="722" spans="1:5">
      <c r="A722" t="s">
        <v>89</v>
      </c>
      <c r="B722" t="s">
        <v>297</v>
      </c>
      <c r="C722" t="s">
        <v>49</v>
      </c>
      <c r="D722" s="123">
        <v>1.0526315789473684</v>
      </c>
      <c r="E722" s="120">
        <v>0.78947368421052633</v>
      </c>
    </row>
    <row r="723" spans="1:5">
      <c r="A723" t="s">
        <v>89</v>
      </c>
      <c r="B723" t="s">
        <v>297</v>
      </c>
      <c r="C723" t="s">
        <v>12</v>
      </c>
      <c r="D723" s="123">
        <v>1.3157894736842106</v>
      </c>
      <c r="E723" s="120">
        <v>0.12763157894736843</v>
      </c>
    </row>
    <row r="724" spans="1:5">
      <c r="A724" t="s">
        <v>89</v>
      </c>
      <c r="B724" t="s">
        <v>297</v>
      </c>
      <c r="C724" t="s">
        <v>2</v>
      </c>
      <c r="D724" s="123">
        <v>0.78947368421052633</v>
      </c>
      <c r="E724" s="120">
        <v>0.37894736842105264</v>
      </c>
    </row>
    <row r="725" spans="1:5">
      <c r="A725" t="s">
        <v>89</v>
      </c>
      <c r="B725" t="s">
        <v>297</v>
      </c>
      <c r="C725" t="s">
        <v>348</v>
      </c>
      <c r="D725" s="123">
        <v>2.1052631578947367</v>
      </c>
      <c r="E725" s="120">
        <v>1.4947368421052629</v>
      </c>
    </row>
    <row r="726" spans="1:5">
      <c r="A726" t="s">
        <v>89</v>
      </c>
      <c r="B726" t="s">
        <v>297</v>
      </c>
      <c r="C726" t="s">
        <v>347</v>
      </c>
      <c r="D726" s="123">
        <v>1.3157894736842106</v>
      </c>
      <c r="E726" s="120">
        <v>0.89473684210526327</v>
      </c>
    </row>
    <row r="727" spans="1:5">
      <c r="A727" t="s">
        <v>89</v>
      </c>
      <c r="B727" t="s">
        <v>297</v>
      </c>
      <c r="C727" t="s">
        <v>514</v>
      </c>
      <c r="D727" s="123">
        <v>2.1052631578947367</v>
      </c>
      <c r="E727" s="120">
        <v>1.5242105263157892</v>
      </c>
    </row>
    <row r="728" spans="1:5">
      <c r="A728" t="s">
        <v>89</v>
      </c>
      <c r="B728" t="s">
        <v>297</v>
      </c>
      <c r="C728" t="s">
        <v>496</v>
      </c>
      <c r="D728" s="123">
        <v>7.8947368421052628</v>
      </c>
      <c r="E728" s="120">
        <v>1.263157894736842</v>
      </c>
    </row>
    <row r="729" spans="1:5">
      <c r="A729" t="s">
        <v>89</v>
      </c>
      <c r="B729" t="s">
        <v>297</v>
      </c>
      <c r="C729" t="s">
        <v>114</v>
      </c>
      <c r="D729" s="123">
        <v>3.1578947368421053</v>
      </c>
      <c r="E729" s="120">
        <v>8.8421052631578956E-2</v>
      </c>
    </row>
    <row r="730" spans="1:5">
      <c r="A730" t="s">
        <v>89</v>
      </c>
      <c r="B730" t="s">
        <v>297</v>
      </c>
      <c r="C730" t="s">
        <v>17</v>
      </c>
      <c r="D730" s="123">
        <v>52.631578947368418</v>
      </c>
      <c r="E730" s="120">
        <v>14.210526315789474</v>
      </c>
    </row>
    <row r="731" spans="1:5">
      <c r="A731" t="s">
        <v>89</v>
      </c>
      <c r="B731" t="s">
        <v>297</v>
      </c>
      <c r="C731" t="s">
        <v>34</v>
      </c>
      <c r="D731" s="123">
        <v>78.94736842105263</v>
      </c>
      <c r="E731" s="120">
        <v>7.1052631578947363</v>
      </c>
    </row>
    <row r="732" spans="1:5">
      <c r="A732" t="s">
        <v>89</v>
      </c>
      <c r="B732" t="s">
        <v>297</v>
      </c>
      <c r="C732" t="s">
        <v>4</v>
      </c>
      <c r="D732" s="123">
        <v>11.842105263157896</v>
      </c>
      <c r="E732" s="120">
        <v>2.5223684210526316</v>
      </c>
    </row>
    <row r="733" spans="1:5">
      <c r="A733" t="s">
        <v>89</v>
      </c>
      <c r="B733" t="s">
        <v>297</v>
      </c>
      <c r="C733" t="s">
        <v>32</v>
      </c>
      <c r="D733" s="123">
        <v>26.315789473684209</v>
      </c>
      <c r="E733" s="120">
        <v>0.92105263157894735</v>
      </c>
    </row>
    <row r="734" spans="1:5">
      <c r="A734" t="s">
        <v>89</v>
      </c>
      <c r="B734" t="s">
        <v>297</v>
      </c>
      <c r="C734" t="s">
        <v>252</v>
      </c>
      <c r="D734" s="123">
        <v>26.315789473684209</v>
      </c>
      <c r="E734" s="120">
        <v>2.763157894736842</v>
      </c>
    </row>
    <row r="735" spans="1:5">
      <c r="A735" t="s">
        <v>89</v>
      </c>
      <c r="B735" t="s">
        <v>297</v>
      </c>
      <c r="C735" t="s">
        <v>28</v>
      </c>
      <c r="D735" s="123">
        <v>26.315789473684209</v>
      </c>
      <c r="E735" s="120">
        <v>4.2105263157894735</v>
      </c>
    </row>
    <row r="736" spans="1:5">
      <c r="A736" t="s">
        <v>89</v>
      </c>
      <c r="B736" t="s">
        <v>297</v>
      </c>
      <c r="C736" t="s">
        <v>280</v>
      </c>
      <c r="D736" s="123">
        <v>52.631578947368418</v>
      </c>
      <c r="E736" s="120">
        <v>8.828275067230118</v>
      </c>
    </row>
    <row r="737" spans="1:5">
      <c r="A737" t="s">
        <v>89</v>
      </c>
      <c r="B737" t="s">
        <v>297</v>
      </c>
      <c r="C737" t="s">
        <v>548</v>
      </c>
      <c r="D737" s="123">
        <v>184.21052631578948</v>
      </c>
      <c r="E737" s="120">
        <v>5.8793992007797291</v>
      </c>
    </row>
    <row r="738" spans="1:5">
      <c r="A738" t="s">
        <v>89</v>
      </c>
      <c r="B738" t="s">
        <v>371</v>
      </c>
      <c r="C738" t="s">
        <v>371</v>
      </c>
      <c r="D738" s="123"/>
      <c r="E738" s="120"/>
    </row>
    <row r="739" spans="1:5">
      <c r="A739" t="s">
        <v>89</v>
      </c>
      <c r="B739" t="s">
        <v>634</v>
      </c>
      <c r="C739" t="s">
        <v>548</v>
      </c>
      <c r="D739" s="123">
        <v>314</v>
      </c>
      <c r="E739" s="120">
        <v>10.021855894814818</v>
      </c>
    </row>
    <row r="740" spans="1:5">
      <c r="A740" t="s">
        <v>89</v>
      </c>
      <c r="B740" t="s">
        <v>634</v>
      </c>
      <c r="C740" t="s">
        <v>549</v>
      </c>
      <c r="D740" s="123">
        <v>58</v>
      </c>
      <c r="E740" s="120">
        <v>1.3880454545454546</v>
      </c>
    </row>
    <row r="741" spans="1:5">
      <c r="A741" t="s">
        <v>89</v>
      </c>
      <c r="B741" t="s">
        <v>634</v>
      </c>
      <c r="C741" t="s">
        <v>492</v>
      </c>
      <c r="D741" s="123">
        <v>257</v>
      </c>
      <c r="E741" s="120">
        <v>20.56</v>
      </c>
    </row>
    <row r="742" spans="1:5">
      <c r="A742" t="s">
        <v>89</v>
      </c>
      <c r="B742" t="s">
        <v>634</v>
      </c>
      <c r="C742" t="s">
        <v>114</v>
      </c>
      <c r="D742" s="123">
        <v>15</v>
      </c>
      <c r="E742" s="120">
        <v>0.42</v>
      </c>
    </row>
    <row r="743" spans="1:5">
      <c r="A743" t="s">
        <v>89</v>
      </c>
      <c r="B743" t="s">
        <v>634</v>
      </c>
      <c r="C743" t="s">
        <v>12</v>
      </c>
      <c r="D743" s="123">
        <v>12</v>
      </c>
      <c r="E743" s="120">
        <v>1.1640000000000001</v>
      </c>
    </row>
    <row r="744" spans="1:5">
      <c r="A744" t="s">
        <v>89</v>
      </c>
      <c r="B744" t="s">
        <v>634</v>
      </c>
      <c r="C744" t="s">
        <v>2</v>
      </c>
      <c r="D744" s="123">
        <v>2</v>
      </c>
      <c r="E744" s="120">
        <v>0.96</v>
      </c>
    </row>
    <row r="745" spans="1:5">
      <c r="A745" t="s">
        <v>89</v>
      </c>
      <c r="B745" t="s">
        <v>634</v>
      </c>
      <c r="C745" t="s">
        <v>488</v>
      </c>
      <c r="D745" s="123">
        <v>24</v>
      </c>
      <c r="E745" s="120">
        <v>11.28</v>
      </c>
    </row>
    <row r="746" spans="1:5">
      <c r="A746" t="s">
        <v>89</v>
      </c>
      <c r="B746" t="s">
        <v>634</v>
      </c>
      <c r="C746" t="s">
        <v>9</v>
      </c>
      <c r="D746" s="123">
        <v>15</v>
      </c>
      <c r="E746" s="120">
        <v>0</v>
      </c>
    </row>
    <row r="747" spans="1:5">
      <c r="A747" t="s">
        <v>89</v>
      </c>
      <c r="B747" t="s">
        <v>634</v>
      </c>
      <c r="C747" t="s">
        <v>149</v>
      </c>
      <c r="D747" s="123">
        <v>13</v>
      </c>
      <c r="E747" s="120">
        <v>1.69</v>
      </c>
    </row>
    <row r="748" spans="1:5">
      <c r="A748" t="s">
        <v>89</v>
      </c>
      <c r="B748" t="s">
        <v>634</v>
      </c>
      <c r="C748" t="s">
        <v>29</v>
      </c>
      <c r="D748" s="123">
        <v>2</v>
      </c>
      <c r="E748" s="120">
        <v>10</v>
      </c>
    </row>
    <row r="749" spans="1:5">
      <c r="A749" t="s">
        <v>89</v>
      </c>
      <c r="B749" t="s">
        <v>371</v>
      </c>
      <c r="C749" t="s">
        <v>371</v>
      </c>
      <c r="D749" s="123"/>
      <c r="E749" s="120"/>
    </row>
    <row r="750" spans="1:5">
      <c r="A750" t="s">
        <v>89</v>
      </c>
      <c r="B750" t="s">
        <v>371</v>
      </c>
      <c r="C750" t="s">
        <v>371</v>
      </c>
      <c r="D750" s="123"/>
      <c r="E750" s="120"/>
    </row>
    <row r="751" spans="1:5">
      <c r="A751" t="s">
        <v>89</v>
      </c>
      <c r="B751" t="s">
        <v>635</v>
      </c>
      <c r="C751" t="s">
        <v>90</v>
      </c>
      <c r="D751" s="123">
        <v>280</v>
      </c>
      <c r="E751" s="120">
        <v>46.747881833333338</v>
      </c>
    </row>
    <row r="752" spans="1:5">
      <c r="A752" t="s">
        <v>89</v>
      </c>
      <c r="B752" t="s">
        <v>635</v>
      </c>
      <c r="C752" t="s">
        <v>388</v>
      </c>
      <c r="D752" s="123">
        <v>270</v>
      </c>
      <c r="E752" s="120">
        <v>27</v>
      </c>
    </row>
    <row r="753" spans="1:5">
      <c r="A753" t="s">
        <v>89</v>
      </c>
      <c r="B753" t="s">
        <v>371</v>
      </c>
      <c r="C753" t="s">
        <v>371</v>
      </c>
      <c r="D753" s="123"/>
      <c r="E753" s="120"/>
    </row>
    <row r="754" spans="1:5">
      <c r="A754" t="s">
        <v>89</v>
      </c>
      <c r="B754" t="s">
        <v>578</v>
      </c>
      <c r="C754" t="s">
        <v>90</v>
      </c>
      <c r="D754" s="123">
        <v>160</v>
      </c>
      <c r="E754" s="120">
        <v>26.713075333333336</v>
      </c>
    </row>
    <row r="755" spans="1:5">
      <c r="A755" t="s">
        <v>89</v>
      </c>
      <c r="B755" t="s">
        <v>578</v>
      </c>
      <c r="C755" t="s">
        <v>115</v>
      </c>
      <c r="D755" s="123">
        <v>150</v>
      </c>
      <c r="E755" s="120">
        <v>26.869615331363509</v>
      </c>
    </row>
    <row r="756" spans="1:5">
      <c r="A756" t="s">
        <v>89</v>
      </c>
      <c r="B756" t="s">
        <v>578</v>
      </c>
      <c r="C756" t="s">
        <v>308</v>
      </c>
      <c r="D756" s="123">
        <v>140</v>
      </c>
      <c r="E756" s="120">
        <v>20.33855616346381</v>
      </c>
    </row>
    <row r="757" spans="1:5">
      <c r="A757" t="s">
        <v>89</v>
      </c>
      <c r="B757" t="s">
        <v>578</v>
      </c>
      <c r="C757" t="s">
        <v>20</v>
      </c>
      <c r="D757" s="123">
        <v>15</v>
      </c>
      <c r="E757" s="120">
        <v>0.28499999999999998</v>
      </c>
    </row>
    <row r="758" spans="1:5">
      <c r="A758" t="s">
        <v>89</v>
      </c>
      <c r="B758" t="s">
        <v>578</v>
      </c>
      <c r="C758" t="s">
        <v>44</v>
      </c>
      <c r="D758" s="123">
        <v>15</v>
      </c>
      <c r="E758" s="120">
        <v>0.375</v>
      </c>
    </row>
    <row r="759" spans="1:5">
      <c r="A759" t="s">
        <v>89</v>
      </c>
      <c r="B759" t="s">
        <v>578</v>
      </c>
      <c r="C759" t="s">
        <v>550</v>
      </c>
      <c r="D759" s="123">
        <v>2</v>
      </c>
      <c r="E759" s="120">
        <v>7.168000000000001</v>
      </c>
    </row>
    <row r="760" spans="1:5">
      <c r="A760" t="s">
        <v>89</v>
      </c>
      <c r="B760" t="s">
        <v>578</v>
      </c>
      <c r="C760" t="s">
        <v>105</v>
      </c>
      <c r="D760" s="123">
        <v>1</v>
      </c>
      <c r="E760" s="120">
        <v>9.7477845528455287</v>
      </c>
    </row>
    <row r="761" spans="1:5">
      <c r="A761" t="s">
        <v>89</v>
      </c>
      <c r="B761" t="s">
        <v>578</v>
      </c>
      <c r="C761" t="s">
        <v>388</v>
      </c>
      <c r="D761" s="123">
        <v>110</v>
      </c>
      <c r="E761" s="120">
        <v>11</v>
      </c>
    </row>
    <row r="762" spans="1:5">
      <c r="A762" t="s">
        <v>89</v>
      </c>
      <c r="B762" t="s">
        <v>578</v>
      </c>
      <c r="C762" t="s">
        <v>551</v>
      </c>
      <c r="D762" s="123">
        <v>120</v>
      </c>
      <c r="E762" s="120">
        <v>7.4252621359223294</v>
      </c>
    </row>
    <row r="763" spans="1:5">
      <c r="A763" t="s">
        <v>89</v>
      </c>
      <c r="B763" t="s">
        <v>578</v>
      </c>
      <c r="C763" t="s">
        <v>374</v>
      </c>
      <c r="D763" s="123">
        <v>1</v>
      </c>
      <c r="E763" s="120">
        <v>0.7</v>
      </c>
    </row>
    <row r="764" spans="1:5">
      <c r="A764" t="s">
        <v>89</v>
      </c>
      <c r="B764" t="s">
        <v>371</v>
      </c>
      <c r="C764" t="s">
        <v>371</v>
      </c>
      <c r="D764" s="123"/>
      <c r="E764" s="120"/>
    </row>
    <row r="765" spans="1:5">
      <c r="A765" t="s">
        <v>89</v>
      </c>
      <c r="B765" t="s">
        <v>579</v>
      </c>
      <c r="C765" t="s">
        <v>90</v>
      </c>
      <c r="D765" s="123">
        <v>160</v>
      </c>
      <c r="E765" s="120">
        <v>26.713075333333336</v>
      </c>
    </row>
    <row r="766" spans="1:5">
      <c r="A766" t="s">
        <v>89</v>
      </c>
      <c r="B766" t="s">
        <v>579</v>
      </c>
      <c r="C766" t="s">
        <v>115</v>
      </c>
      <c r="D766" s="123">
        <v>150</v>
      </c>
      <c r="E766" s="120">
        <v>26.869615331363509</v>
      </c>
    </row>
    <row r="767" spans="1:5">
      <c r="A767" t="s">
        <v>89</v>
      </c>
      <c r="B767" t="s">
        <v>579</v>
      </c>
      <c r="C767" t="s">
        <v>20</v>
      </c>
      <c r="D767" s="123">
        <v>15</v>
      </c>
      <c r="E767" s="120">
        <v>0.28499999999999998</v>
      </c>
    </row>
    <row r="768" spans="1:5">
      <c r="A768" t="s">
        <v>89</v>
      </c>
      <c r="B768" t="s">
        <v>579</v>
      </c>
      <c r="C768" t="s">
        <v>550</v>
      </c>
      <c r="D768" s="123">
        <v>2</v>
      </c>
      <c r="E768" s="120">
        <v>7.168000000000001</v>
      </c>
    </row>
    <row r="769" spans="1:5">
      <c r="A769" t="s">
        <v>89</v>
      </c>
      <c r="B769" t="s">
        <v>579</v>
      </c>
      <c r="C769" t="s">
        <v>388</v>
      </c>
      <c r="D769" s="123">
        <v>110</v>
      </c>
      <c r="E769" s="120">
        <v>11</v>
      </c>
    </row>
    <row r="770" spans="1:5">
      <c r="A770" t="s">
        <v>89</v>
      </c>
      <c r="B770" t="s">
        <v>579</v>
      </c>
      <c r="C770" t="s">
        <v>551</v>
      </c>
      <c r="D770" s="123">
        <v>120</v>
      </c>
      <c r="E770" s="120">
        <v>7.4252621359223294</v>
      </c>
    </row>
    <row r="771" spans="1:5">
      <c r="A771" t="s">
        <v>89</v>
      </c>
      <c r="B771" t="s">
        <v>371</v>
      </c>
      <c r="D771" s="123"/>
      <c r="E771" s="120"/>
    </row>
    <row r="772" spans="1:5">
      <c r="A772" t="s">
        <v>89</v>
      </c>
      <c r="B772" t="s">
        <v>580</v>
      </c>
      <c r="C772" t="s">
        <v>5</v>
      </c>
      <c r="D772" s="123">
        <v>2</v>
      </c>
      <c r="E772" s="120">
        <v>70</v>
      </c>
    </row>
    <row r="773" spans="1:5">
      <c r="A773" t="s">
        <v>89</v>
      </c>
      <c r="B773" t="s">
        <v>580</v>
      </c>
      <c r="C773" t="s">
        <v>90</v>
      </c>
      <c r="D773" s="123">
        <v>160</v>
      </c>
      <c r="E773" s="120">
        <v>26.713075333333336</v>
      </c>
    </row>
    <row r="774" spans="1:5">
      <c r="A774" t="s">
        <v>89</v>
      </c>
      <c r="B774" t="s">
        <v>580</v>
      </c>
      <c r="C774" t="s">
        <v>551</v>
      </c>
      <c r="D774" s="123">
        <v>110</v>
      </c>
      <c r="E774" s="120">
        <v>6.8064902912621355</v>
      </c>
    </row>
    <row r="775" spans="1:5">
      <c r="A775" t="s">
        <v>89</v>
      </c>
      <c r="B775" t="s">
        <v>580</v>
      </c>
      <c r="C775" t="s">
        <v>44</v>
      </c>
      <c r="D775" s="123">
        <v>15</v>
      </c>
      <c r="E775" s="120">
        <v>0.375</v>
      </c>
    </row>
    <row r="776" spans="1:5">
      <c r="A776" t="s">
        <v>89</v>
      </c>
      <c r="B776" t="s">
        <v>580</v>
      </c>
      <c r="C776" t="s">
        <v>20</v>
      </c>
      <c r="D776" s="123">
        <v>15</v>
      </c>
      <c r="E776" s="120">
        <v>0.28499999999999998</v>
      </c>
    </row>
    <row r="777" spans="1:5">
      <c r="A777" t="s">
        <v>89</v>
      </c>
      <c r="B777" t="s">
        <v>580</v>
      </c>
      <c r="C777" t="s">
        <v>91</v>
      </c>
      <c r="D777" s="123">
        <v>150</v>
      </c>
      <c r="E777" s="120">
        <v>30.772123272358325</v>
      </c>
    </row>
    <row r="778" spans="1:5">
      <c r="B778" t="s">
        <v>371</v>
      </c>
      <c r="D778" s="123"/>
      <c r="E778" s="120"/>
    </row>
    <row r="779" spans="1:5">
      <c r="B779" t="s">
        <v>371</v>
      </c>
      <c r="D779" s="123"/>
      <c r="E779" s="120"/>
    </row>
    <row r="780" spans="1:5">
      <c r="A780" t="s">
        <v>89</v>
      </c>
      <c r="B780" t="s">
        <v>636</v>
      </c>
      <c r="C780" t="s">
        <v>216</v>
      </c>
      <c r="D780" s="123">
        <v>240</v>
      </c>
      <c r="E780" s="120">
        <v>153.6</v>
      </c>
    </row>
    <row r="781" spans="1:5">
      <c r="A781" t="s">
        <v>89</v>
      </c>
      <c r="B781" t="s">
        <v>636</v>
      </c>
      <c r="C781" t="s">
        <v>5</v>
      </c>
      <c r="D781" s="123">
        <v>1</v>
      </c>
      <c r="E781" s="120">
        <v>35</v>
      </c>
    </row>
    <row r="782" spans="1:5">
      <c r="A782" t="s">
        <v>89</v>
      </c>
      <c r="B782" t="s">
        <v>636</v>
      </c>
      <c r="C782" t="s">
        <v>551</v>
      </c>
      <c r="D782" s="123">
        <v>200</v>
      </c>
      <c r="E782" s="120">
        <v>12.375436893203883</v>
      </c>
    </row>
    <row r="783" spans="1:5">
      <c r="B783" t="s">
        <v>371</v>
      </c>
      <c r="C783" t="s">
        <v>371</v>
      </c>
      <c r="D783" s="123"/>
      <c r="E783" s="120"/>
    </row>
    <row r="784" spans="1:5">
      <c r="A784" t="s">
        <v>71</v>
      </c>
      <c r="B784" t="s">
        <v>72</v>
      </c>
      <c r="C784" t="s">
        <v>17</v>
      </c>
      <c r="D784" s="123">
        <v>250</v>
      </c>
      <c r="E784" s="120">
        <v>67.5</v>
      </c>
    </row>
    <row r="785" spans="1:5">
      <c r="A785" t="s">
        <v>71</v>
      </c>
      <c r="B785" t="s">
        <v>72</v>
      </c>
      <c r="C785" t="s">
        <v>20</v>
      </c>
      <c r="D785" s="123">
        <v>20</v>
      </c>
      <c r="E785" s="120">
        <v>0.38</v>
      </c>
    </row>
    <row r="786" spans="1:5">
      <c r="A786" t="s">
        <v>71</v>
      </c>
      <c r="B786" t="s">
        <v>72</v>
      </c>
      <c r="C786" t="s">
        <v>338</v>
      </c>
      <c r="D786" s="123">
        <v>3.85</v>
      </c>
      <c r="E786" s="120">
        <v>0.30415000000000003</v>
      </c>
    </row>
    <row r="787" spans="1:5">
      <c r="A787" t="s">
        <v>71</v>
      </c>
      <c r="B787" t="s">
        <v>72</v>
      </c>
      <c r="C787" t="s">
        <v>332</v>
      </c>
      <c r="D787" s="123">
        <v>2.7</v>
      </c>
      <c r="E787" s="120">
        <v>0.94499999999999995</v>
      </c>
    </row>
    <row r="788" spans="1:5">
      <c r="A788" t="s">
        <v>71</v>
      </c>
      <c r="B788" t="s">
        <v>72</v>
      </c>
      <c r="C788" t="s">
        <v>335</v>
      </c>
      <c r="D788" s="123">
        <v>3.2</v>
      </c>
      <c r="E788" s="120">
        <v>0.96</v>
      </c>
    </row>
    <row r="789" spans="1:5">
      <c r="A789" t="s">
        <v>71</v>
      </c>
      <c r="B789" t="s">
        <v>72</v>
      </c>
      <c r="C789" t="s">
        <v>547</v>
      </c>
      <c r="D789" s="123">
        <v>3.7</v>
      </c>
      <c r="E789" s="120">
        <v>0</v>
      </c>
    </row>
    <row r="790" spans="1:5">
      <c r="A790" t="s">
        <v>71</v>
      </c>
      <c r="B790" t="s">
        <v>72</v>
      </c>
      <c r="C790" t="s">
        <v>9</v>
      </c>
      <c r="D790" s="123">
        <v>2.4500000000000002</v>
      </c>
      <c r="E790" s="120">
        <v>0</v>
      </c>
    </row>
    <row r="791" spans="1:5">
      <c r="A791" t="s">
        <v>71</v>
      </c>
      <c r="B791" t="s">
        <v>72</v>
      </c>
      <c r="C791" t="s">
        <v>347</v>
      </c>
      <c r="D791" s="123">
        <v>2.6</v>
      </c>
      <c r="E791" s="120">
        <v>1.7680000000000002</v>
      </c>
    </row>
    <row r="792" spans="1:5">
      <c r="A792" t="s">
        <v>71</v>
      </c>
      <c r="B792" t="s">
        <v>72</v>
      </c>
      <c r="C792" t="s">
        <v>12</v>
      </c>
      <c r="D792" s="123">
        <v>1.6</v>
      </c>
      <c r="E792" s="120">
        <v>0.1552</v>
      </c>
    </row>
    <row r="793" spans="1:5">
      <c r="A793" t="s">
        <v>71</v>
      </c>
      <c r="B793" t="s">
        <v>72</v>
      </c>
      <c r="C793" t="s">
        <v>24</v>
      </c>
      <c r="D793" s="123">
        <v>30</v>
      </c>
      <c r="E793" s="120">
        <v>2.1</v>
      </c>
    </row>
    <row r="794" spans="1:5">
      <c r="A794" t="s">
        <v>71</v>
      </c>
      <c r="B794" t="s">
        <v>72</v>
      </c>
      <c r="C794" t="s">
        <v>670</v>
      </c>
      <c r="D794" s="123">
        <v>40</v>
      </c>
      <c r="E794" s="120">
        <v>0</v>
      </c>
    </row>
    <row r="795" spans="1:5">
      <c r="A795" t="s">
        <v>71</v>
      </c>
      <c r="B795" t="s">
        <v>72</v>
      </c>
      <c r="C795" t="s">
        <v>2</v>
      </c>
      <c r="D795" s="123">
        <v>0.2</v>
      </c>
      <c r="E795" s="120">
        <v>9.6000000000000002E-2</v>
      </c>
    </row>
    <row r="796" spans="1:5">
      <c r="A796" t="s">
        <v>71</v>
      </c>
      <c r="B796" t="s">
        <v>72</v>
      </c>
      <c r="C796" t="s">
        <v>427</v>
      </c>
      <c r="D796" s="123">
        <v>80</v>
      </c>
      <c r="E796" s="120">
        <v>3.84</v>
      </c>
    </row>
    <row r="797" spans="1:5">
      <c r="A797" t="s">
        <v>71</v>
      </c>
      <c r="B797" t="s">
        <v>72</v>
      </c>
      <c r="C797" t="s">
        <v>118</v>
      </c>
      <c r="D797" s="123">
        <v>6</v>
      </c>
      <c r="E797" s="120">
        <v>0.72</v>
      </c>
    </row>
    <row r="798" spans="1:5">
      <c r="A798" t="s">
        <v>71</v>
      </c>
      <c r="B798" t="s">
        <v>72</v>
      </c>
      <c r="C798" t="s">
        <v>25</v>
      </c>
      <c r="D798" s="123">
        <v>3</v>
      </c>
      <c r="E798" s="120">
        <v>8.4000000000000005E-2</v>
      </c>
    </row>
    <row r="799" spans="1:5">
      <c r="A799" t="s">
        <v>71</v>
      </c>
      <c r="B799" t="s">
        <v>72</v>
      </c>
      <c r="C799" t="s">
        <v>19</v>
      </c>
      <c r="D799" s="123">
        <v>7</v>
      </c>
      <c r="E799" s="120">
        <v>0.112</v>
      </c>
    </row>
    <row r="800" spans="1:5">
      <c r="A800" t="s">
        <v>71</v>
      </c>
      <c r="B800" t="s">
        <v>72</v>
      </c>
      <c r="C800" t="s">
        <v>26</v>
      </c>
      <c r="D800" s="123">
        <v>6.25</v>
      </c>
      <c r="E800" s="120">
        <v>0.73125000000000007</v>
      </c>
    </row>
    <row r="801" spans="1:5">
      <c r="C801" t="s">
        <v>371</v>
      </c>
      <c r="D801" s="123"/>
      <c r="E801" s="120"/>
    </row>
    <row r="802" spans="1:5">
      <c r="A802" t="s">
        <v>71</v>
      </c>
      <c r="B802" t="s">
        <v>73</v>
      </c>
      <c r="C802" t="s">
        <v>492</v>
      </c>
      <c r="D802" s="123">
        <v>210</v>
      </c>
      <c r="E802" s="120">
        <v>16.8</v>
      </c>
    </row>
    <row r="803" spans="1:5">
      <c r="A803" t="s">
        <v>71</v>
      </c>
      <c r="B803" t="s">
        <v>73</v>
      </c>
      <c r="C803" t="s">
        <v>20</v>
      </c>
      <c r="D803" s="123">
        <v>20</v>
      </c>
      <c r="E803" s="120">
        <v>0.38</v>
      </c>
    </row>
    <row r="804" spans="1:5">
      <c r="A804" t="s">
        <v>71</v>
      </c>
      <c r="B804" t="s">
        <v>73</v>
      </c>
      <c r="C804" t="s">
        <v>338</v>
      </c>
      <c r="D804" s="123">
        <v>3.85</v>
      </c>
      <c r="E804" s="120">
        <v>0.30415000000000003</v>
      </c>
    </row>
    <row r="805" spans="1:5">
      <c r="A805" t="s">
        <v>71</v>
      </c>
      <c r="B805" t="s">
        <v>73</v>
      </c>
      <c r="C805" t="s">
        <v>332</v>
      </c>
      <c r="D805" s="123">
        <v>2.7</v>
      </c>
      <c r="E805" s="120">
        <v>0.94499999999999995</v>
      </c>
    </row>
    <row r="806" spans="1:5">
      <c r="A806" t="s">
        <v>71</v>
      </c>
      <c r="B806" t="s">
        <v>73</v>
      </c>
      <c r="C806" t="s">
        <v>335</v>
      </c>
      <c r="D806" s="123">
        <v>3.2</v>
      </c>
      <c r="E806" s="120">
        <v>0.96</v>
      </c>
    </row>
    <row r="807" spans="1:5">
      <c r="A807" t="s">
        <v>71</v>
      </c>
      <c r="B807" t="s">
        <v>73</v>
      </c>
      <c r="C807" t="s">
        <v>547</v>
      </c>
      <c r="D807" s="123">
        <v>3.7</v>
      </c>
      <c r="E807" s="120">
        <v>0</v>
      </c>
    </row>
    <row r="808" spans="1:5">
      <c r="A808" t="s">
        <v>71</v>
      </c>
      <c r="B808" t="s">
        <v>73</v>
      </c>
      <c r="C808" t="s">
        <v>9</v>
      </c>
      <c r="D808" s="123">
        <v>2.4500000000000002</v>
      </c>
      <c r="E808" s="120">
        <v>0</v>
      </c>
    </row>
    <row r="809" spans="1:5">
      <c r="A809" t="s">
        <v>71</v>
      </c>
      <c r="B809" t="s">
        <v>73</v>
      </c>
      <c r="C809" t="s">
        <v>347</v>
      </c>
      <c r="D809" s="123">
        <v>2.6</v>
      </c>
      <c r="E809" s="120">
        <v>1.7680000000000002</v>
      </c>
    </row>
    <row r="810" spans="1:5">
      <c r="A810" t="s">
        <v>71</v>
      </c>
      <c r="B810" t="s">
        <v>73</v>
      </c>
      <c r="C810" t="s">
        <v>12</v>
      </c>
      <c r="D810" s="123">
        <v>1.6</v>
      </c>
      <c r="E810" s="120">
        <v>0.1552</v>
      </c>
    </row>
    <row r="811" spans="1:5">
      <c r="A811" t="s">
        <v>71</v>
      </c>
      <c r="B811" t="s">
        <v>73</v>
      </c>
      <c r="C811" t="s">
        <v>24</v>
      </c>
      <c r="D811" s="123">
        <v>30</v>
      </c>
      <c r="E811" s="120">
        <v>2.1</v>
      </c>
    </row>
    <row r="812" spans="1:5">
      <c r="A812" t="s">
        <v>71</v>
      </c>
      <c r="B812" t="s">
        <v>73</v>
      </c>
      <c r="C812" t="s">
        <v>670</v>
      </c>
      <c r="D812" s="123">
        <v>40</v>
      </c>
      <c r="E812" s="120">
        <v>0</v>
      </c>
    </row>
    <row r="813" spans="1:5">
      <c r="A813" t="s">
        <v>71</v>
      </c>
      <c r="B813" t="s">
        <v>73</v>
      </c>
      <c r="C813" t="s">
        <v>2</v>
      </c>
      <c r="D813" s="123">
        <v>0.2</v>
      </c>
      <c r="E813" s="120">
        <v>9.6000000000000002E-2</v>
      </c>
    </row>
    <row r="814" spans="1:5">
      <c r="A814" t="s">
        <v>71</v>
      </c>
      <c r="B814" t="s">
        <v>73</v>
      </c>
      <c r="C814" t="s">
        <v>427</v>
      </c>
      <c r="D814" s="123">
        <v>80</v>
      </c>
      <c r="E814" s="120">
        <v>3.84</v>
      </c>
    </row>
    <row r="815" spans="1:5">
      <c r="A815" t="s">
        <v>71</v>
      </c>
      <c r="B815" t="s">
        <v>73</v>
      </c>
      <c r="C815" t="s">
        <v>27</v>
      </c>
      <c r="D815" s="123">
        <v>5</v>
      </c>
      <c r="E815" s="120">
        <v>0.4</v>
      </c>
    </row>
    <row r="816" spans="1:5">
      <c r="A816" t="s">
        <v>71</v>
      </c>
      <c r="B816" t="s">
        <v>73</v>
      </c>
      <c r="C816" t="s">
        <v>25</v>
      </c>
      <c r="D816" s="123">
        <v>3</v>
      </c>
      <c r="E816" s="120">
        <v>8.4000000000000005E-2</v>
      </c>
    </row>
    <row r="817" spans="1:5">
      <c r="A817" t="s">
        <v>71</v>
      </c>
      <c r="B817" t="s">
        <v>73</v>
      </c>
      <c r="C817" t="s">
        <v>19</v>
      </c>
      <c r="D817" s="123">
        <v>7</v>
      </c>
      <c r="E817" s="120">
        <v>0.112</v>
      </c>
    </row>
    <row r="818" spans="1:5">
      <c r="A818" t="s">
        <v>71</v>
      </c>
      <c r="B818" t="s">
        <v>73</v>
      </c>
      <c r="C818" t="s">
        <v>26</v>
      </c>
      <c r="D818" s="123">
        <v>6.25</v>
      </c>
      <c r="E818" s="120">
        <v>0.73125000000000007</v>
      </c>
    </row>
    <row r="819" spans="1:5">
      <c r="C819" t="s">
        <v>371</v>
      </c>
      <c r="D819" s="123"/>
      <c r="E819" s="120"/>
    </row>
    <row r="820" spans="1:5">
      <c r="A820" t="s">
        <v>71</v>
      </c>
      <c r="B820" t="s">
        <v>74</v>
      </c>
      <c r="C820" t="s">
        <v>28</v>
      </c>
      <c r="D820" s="123">
        <v>220</v>
      </c>
      <c r="E820" s="120">
        <v>35.200000000000003</v>
      </c>
    </row>
    <row r="821" spans="1:5">
      <c r="A821" t="s">
        <v>71</v>
      </c>
      <c r="B821" t="s">
        <v>74</v>
      </c>
      <c r="C821" t="s">
        <v>20</v>
      </c>
      <c r="D821" s="123">
        <v>20</v>
      </c>
      <c r="E821" s="120">
        <v>0.38</v>
      </c>
    </row>
    <row r="822" spans="1:5">
      <c r="A822" t="s">
        <v>71</v>
      </c>
      <c r="B822" t="s">
        <v>74</v>
      </c>
      <c r="C822" t="s">
        <v>338</v>
      </c>
      <c r="D822" s="123">
        <v>3.85</v>
      </c>
      <c r="E822" s="120">
        <v>0.30415000000000003</v>
      </c>
    </row>
    <row r="823" spans="1:5">
      <c r="A823" t="s">
        <v>71</v>
      </c>
      <c r="B823" t="s">
        <v>74</v>
      </c>
      <c r="C823" t="s">
        <v>332</v>
      </c>
      <c r="D823" s="123">
        <v>2.7</v>
      </c>
      <c r="E823" s="120">
        <v>0.94499999999999995</v>
      </c>
    </row>
    <row r="824" spans="1:5">
      <c r="A824" t="s">
        <v>71</v>
      </c>
      <c r="B824" t="s">
        <v>74</v>
      </c>
      <c r="C824" t="s">
        <v>335</v>
      </c>
      <c r="D824" s="123">
        <v>3.2</v>
      </c>
      <c r="E824" s="120">
        <v>0.96</v>
      </c>
    </row>
    <row r="825" spans="1:5">
      <c r="A825" t="s">
        <v>71</v>
      </c>
      <c r="B825" t="s">
        <v>74</v>
      </c>
      <c r="C825" t="s">
        <v>547</v>
      </c>
      <c r="D825" s="123">
        <v>3.7</v>
      </c>
      <c r="E825" s="120">
        <v>0</v>
      </c>
    </row>
    <row r="826" spans="1:5">
      <c r="A826" t="s">
        <v>71</v>
      </c>
      <c r="B826" t="s">
        <v>74</v>
      </c>
      <c r="C826" t="s">
        <v>9</v>
      </c>
      <c r="D826" s="123">
        <v>2.4500000000000002</v>
      </c>
      <c r="E826" s="120">
        <v>0</v>
      </c>
    </row>
    <row r="827" spans="1:5">
      <c r="A827" t="s">
        <v>71</v>
      </c>
      <c r="B827" t="s">
        <v>74</v>
      </c>
      <c r="C827" t="s">
        <v>347</v>
      </c>
      <c r="D827" s="123">
        <v>2.6</v>
      </c>
      <c r="E827" s="120">
        <v>1.7680000000000002</v>
      </c>
    </row>
    <row r="828" spans="1:5">
      <c r="A828" t="s">
        <v>71</v>
      </c>
      <c r="B828" t="s">
        <v>74</v>
      </c>
      <c r="C828" t="s">
        <v>12</v>
      </c>
      <c r="D828" s="123">
        <v>1.6</v>
      </c>
      <c r="E828" s="120">
        <v>0.1552</v>
      </c>
    </row>
    <row r="829" spans="1:5">
      <c r="A829" t="s">
        <v>71</v>
      </c>
      <c r="B829" t="s">
        <v>74</v>
      </c>
      <c r="C829" t="s">
        <v>24</v>
      </c>
      <c r="D829" s="123">
        <v>30</v>
      </c>
      <c r="E829" s="120">
        <v>2.1</v>
      </c>
    </row>
    <row r="830" spans="1:5">
      <c r="A830" t="s">
        <v>71</v>
      </c>
      <c r="B830" t="s">
        <v>74</v>
      </c>
      <c r="C830" t="s">
        <v>670</v>
      </c>
      <c r="D830" s="123">
        <v>40</v>
      </c>
      <c r="E830" s="120">
        <v>0</v>
      </c>
    </row>
    <row r="831" spans="1:5">
      <c r="A831" t="s">
        <v>71</v>
      </c>
      <c r="B831" t="s">
        <v>74</v>
      </c>
      <c r="C831" t="s">
        <v>2</v>
      </c>
      <c r="D831" s="123">
        <v>0.2</v>
      </c>
      <c r="E831" s="120">
        <v>9.6000000000000002E-2</v>
      </c>
    </row>
    <row r="832" spans="1:5">
      <c r="A832" t="s">
        <v>71</v>
      </c>
      <c r="B832" t="s">
        <v>74</v>
      </c>
      <c r="C832" t="s">
        <v>427</v>
      </c>
      <c r="D832" s="123">
        <v>80</v>
      </c>
      <c r="E832" s="120">
        <v>3.84</v>
      </c>
    </row>
    <row r="833" spans="1:5">
      <c r="A833" t="s">
        <v>71</v>
      </c>
      <c r="B833" t="s">
        <v>74</v>
      </c>
      <c r="C833" t="s">
        <v>27</v>
      </c>
      <c r="D833" s="123">
        <v>5</v>
      </c>
      <c r="E833" s="120">
        <v>0.4</v>
      </c>
    </row>
    <row r="834" spans="1:5">
      <c r="A834" t="s">
        <v>71</v>
      </c>
      <c r="B834" t="s">
        <v>74</v>
      </c>
      <c r="C834" t="s">
        <v>25</v>
      </c>
      <c r="D834" s="123">
        <v>3</v>
      </c>
      <c r="E834" s="120">
        <v>8.4000000000000005E-2</v>
      </c>
    </row>
    <row r="835" spans="1:5">
      <c r="A835" t="s">
        <v>71</v>
      </c>
      <c r="B835" t="s">
        <v>74</v>
      </c>
      <c r="C835" t="s">
        <v>19</v>
      </c>
      <c r="D835" s="123">
        <v>7</v>
      </c>
      <c r="E835" s="120">
        <v>0.112</v>
      </c>
    </row>
    <row r="836" spans="1:5">
      <c r="A836" t="s">
        <v>71</v>
      </c>
      <c r="B836" t="s">
        <v>74</v>
      </c>
      <c r="C836" t="s">
        <v>26</v>
      </c>
      <c r="D836" s="123">
        <v>6.25</v>
      </c>
      <c r="E836" s="120">
        <v>0.73125000000000007</v>
      </c>
    </row>
    <row r="837" spans="1:5">
      <c r="C837" t="s">
        <v>371</v>
      </c>
      <c r="D837" s="123"/>
      <c r="E837" s="120"/>
    </row>
    <row r="838" spans="1:5">
      <c r="A838" t="s">
        <v>71</v>
      </c>
      <c r="B838" t="s">
        <v>75</v>
      </c>
      <c r="C838" t="s">
        <v>4</v>
      </c>
      <c r="D838" s="123">
        <v>65</v>
      </c>
      <c r="E838" s="120">
        <v>13.844999999999999</v>
      </c>
    </row>
    <row r="839" spans="1:5">
      <c r="A839" t="s">
        <v>71</v>
      </c>
      <c r="B839" t="s">
        <v>75</v>
      </c>
      <c r="C839" t="s">
        <v>17</v>
      </c>
      <c r="D839" s="123">
        <v>250</v>
      </c>
      <c r="E839" s="120">
        <v>67.5</v>
      </c>
    </row>
    <row r="840" spans="1:5">
      <c r="A840" t="s">
        <v>71</v>
      </c>
      <c r="B840" t="s">
        <v>75</v>
      </c>
      <c r="C840" t="s">
        <v>20</v>
      </c>
      <c r="D840" s="123">
        <v>20</v>
      </c>
      <c r="E840" s="120">
        <v>0.38</v>
      </c>
    </row>
    <row r="841" spans="1:5">
      <c r="A841" t="s">
        <v>71</v>
      </c>
      <c r="B841" t="s">
        <v>75</v>
      </c>
      <c r="C841" t="s">
        <v>338</v>
      </c>
      <c r="D841" s="123">
        <v>3.85</v>
      </c>
      <c r="E841" s="120">
        <v>0.30415000000000003</v>
      </c>
    </row>
    <row r="842" spans="1:5">
      <c r="A842" t="s">
        <v>71</v>
      </c>
      <c r="B842" t="s">
        <v>75</v>
      </c>
      <c r="C842" t="s">
        <v>332</v>
      </c>
      <c r="D842" s="123">
        <v>2.7</v>
      </c>
      <c r="E842" s="120">
        <v>0.94499999999999995</v>
      </c>
    </row>
    <row r="843" spans="1:5">
      <c r="A843" t="s">
        <v>71</v>
      </c>
      <c r="B843" t="s">
        <v>75</v>
      </c>
      <c r="C843" t="s">
        <v>335</v>
      </c>
      <c r="D843" s="123">
        <v>3.2</v>
      </c>
      <c r="E843" s="120">
        <v>0.96</v>
      </c>
    </row>
    <row r="844" spans="1:5">
      <c r="A844" t="s">
        <v>71</v>
      </c>
      <c r="B844" t="s">
        <v>75</v>
      </c>
      <c r="C844" t="s">
        <v>547</v>
      </c>
      <c r="D844" s="123">
        <v>3.7</v>
      </c>
      <c r="E844" s="120">
        <v>0</v>
      </c>
    </row>
    <row r="845" spans="1:5">
      <c r="A845" t="s">
        <v>71</v>
      </c>
      <c r="B845" t="s">
        <v>75</v>
      </c>
      <c r="C845" t="s">
        <v>9</v>
      </c>
      <c r="D845" s="123">
        <v>2.4500000000000002</v>
      </c>
      <c r="E845" s="120">
        <v>0</v>
      </c>
    </row>
    <row r="846" spans="1:5">
      <c r="A846" t="s">
        <v>71</v>
      </c>
      <c r="B846" t="s">
        <v>75</v>
      </c>
      <c r="C846" t="s">
        <v>347</v>
      </c>
      <c r="D846" s="123">
        <v>2.6</v>
      </c>
      <c r="E846" s="120">
        <v>1.7680000000000002</v>
      </c>
    </row>
    <row r="847" spans="1:5">
      <c r="A847" t="s">
        <v>71</v>
      </c>
      <c r="B847" t="s">
        <v>75</v>
      </c>
      <c r="C847" t="s">
        <v>12</v>
      </c>
      <c r="D847" s="123">
        <v>1.6</v>
      </c>
      <c r="E847" s="120">
        <v>0.1552</v>
      </c>
    </row>
    <row r="848" spans="1:5">
      <c r="A848" t="s">
        <v>71</v>
      </c>
      <c r="B848" t="s">
        <v>75</v>
      </c>
      <c r="C848" t="s">
        <v>24</v>
      </c>
      <c r="D848" s="123">
        <v>30</v>
      </c>
      <c r="E848" s="120">
        <v>2.1</v>
      </c>
    </row>
    <row r="849" spans="1:5">
      <c r="A849" t="s">
        <v>71</v>
      </c>
      <c r="B849" t="s">
        <v>75</v>
      </c>
      <c r="C849" t="s">
        <v>670</v>
      </c>
      <c r="D849" s="123">
        <v>40</v>
      </c>
      <c r="E849" s="120">
        <v>0</v>
      </c>
    </row>
    <row r="850" spans="1:5">
      <c r="A850" t="s">
        <v>71</v>
      </c>
      <c r="B850" t="s">
        <v>75</v>
      </c>
      <c r="C850" t="s">
        <v>2</v>
      </c>
      <c r="D850" s="123">
        <v>0.2</v>
      </c>
      <c r="E850" s="120">
        <v>9.6000000000000002E-2</v>
      </c>
    </row>
    <row r="851" spans="1:5">
      <c r="A851" t="s">
        <v>71</v>
      </c>
      <c r="B851" t="s">
        <v>75</v>
      </c>
      <c r="C851" t="s">
        <v>427</v>
      </c>
      <c r="D851" s="123">
        <v>80</v>
      </c>
      <c r="E851" s="120">
        <v>3.84</v>
      </c>
    </row>
    <row r="852" spans="1:5">
      <c r="A852" t="s">
        <v>71</v>
      </c>
      <c r="B852" t="s">
        <v>75</v>
      </c>
      <c r="C852" t="s">
        <v>27</v>
      </c>
      <c r="D852" s="123">
        <v>5</v>
      </c>
      <c r="E852" s="120">
        <v>0.4</v>
      </c>
    </row>
    <row r="853" spans="1:5">
      <c r="A853" t="s">
        <v>71</v>
      </c>
      <c r="B853" t="s">
        <v>75</v>
      </c>
      <c r="C853" t="s">
        <v>25</v>
      </c>
      <c r="D853" s="123">
        <v>3</v>
      </c>
      <c r="E853" s="120">
        <v>8.4000000000000005E-2</v>
      </c>
    </row>
    <row r="854" spans="1:5">
      <c r="A854" t="s">
        <v>71</v>
      </c>
      <c r="B854" t="s">
        <v>75</v>
      </c>
      <c r="C854" t="s">
        <v>19</v>
      </c>
      <c r="D854" s="123">
        <v>7</v>
      </c>
      <c r="E854" s="120">
        <v>0.112</v>
      </c>
    </row>
    <row r="855" spans="1:5">
      <c r="A855" t="s">
        <v>71</v>
      </c>
      <c r="B855" t="s">
        <v>75</v>
      </c>
      <c r="C855" t="s">
        <v>26</v>
      </c>
      <c r="D855" s="123">
        <v>6.25</v>
      </c>
      <c r="E855" s="120">
        <v>0.73125000000000007</v>
      </c>
    </row>
    <row r="856" spans="1:5">
      <c r="C856" t="s">
        <v>371</v>
      </c>
      <c r="D856" s="123"/>
      <c r="E856" s="120"/>
    </row>
    <row r="857" spans="1:5">
      <c r="A857" t="s">
        <v>71</v>
      </c>
      <c r="B857" t="s">
        <v>76</v>
      </c>
      <c r="C857" t="s">
        <v>4</v>
      </c>
      <c r="D857" s="123">
        <v>65</v>
      </c>
      <c r="E857" s="120">
        <v>13.844999999999999</v>
      </c>
    </row>
    <row r="858" spans="1:5">
      <c r="A858" t="s">
        <v>71</v>
      </c>
      <c r="B858" t="s">
        <v>76</v>
      </c>
      <c r="C858" t="s">
        <v>17</v>
      </c>
      <c r="D858" s="123">
        <v>250</v>
      </c>
      <c r="E858" s="120">
        <v>67.5</v>
      </c>
    </row>
    <row r="859" spans="1:5">
      <c r="A859" t="s">
        <v>71</v>
      </c>
      <c r="B859" t="s">
        <v>76</v>
      </c>
      <c r="C859" t="s">
        <v>20</v>
      </c>
      <c r="D859" s="123">
        <v>20</v>
      </c>
      <c r="E859" s="120">
        <v>0.38</v>
      </c>
    </row>
    <row r="860" spans="1:5">
      <c r="A860" t="s">
        <v>71</v>
      </c>
      <c r="B860" t="s">
        <v>76</v>
      </c>
      <c r="C860" t="s">
        <v>338</v>
      </c>
      <c r="D860" s="123">
        <v>3.85</v>
      </c>
      <c r="E860" s="120">
        <v>0.30415000000000003</v>
      </c>
    </row>
    <row r="861" spans="1:5">
      <c r="A861" t="s">
        <v>71</v>
      </c>
      <c r="B861" t="s">
        <v>76</v>
      </c>
      <c r="C861" t="s">
        <v>332</v>
      </c>
      <c r="D861" s="123">
        <v>2.7</v>
      </c>
      <c r="E861" s="120">
        <v>0.94499999999999995</v>
      </c>
    </row>
    <row r="862" spans="1:5">
      <c r="A862" t="s">
        <v>71</v>
      </c>
      <c r="B862" t="s">
        <v>76</v>
      </c>
      <c r="C862" t="s">
        <v>335</v>
      </c>
      <c r="D862" s="123">
        <v>3.2</v>
      </c>
      <c r="E862" s="120">
        <v>0.96</v>
      </c>
    </row>
    <row r="863" spans="1:5">
      <c r="A863" t="s">
        <v>71</v>
      </c>
      <c r="B863" t="s">
        <v>76</v>
      </c>
      <c r="C863" t="s">
        <v>547</v>
      </c>
      <c r="D863" s="123">
        <v>3.7</v>
      </c>
      <c r="E863" s="120">
        <v>0</v>
      </c>
    </row>
    <row r="864" spans="1:5">
      <c r="A864" t="s">
        <v>71</v>
      </c>
      <c r="B864" t="s">
        <v>76</v>
      </c>
      <c r="C864" t="s">
        <v>9</v>
      </c>
      <c r="D864" s="123">
        <v>2.4500000000000002</v>
      </c>
      <c r="E864" s="120">
        <v>0</v>
      </c>
    </row>
    <row r="865" spans="1:5">
      <c r="A865" t="s">
        <v>71</v>
      </c>
      <c r="B865" t="s">
        <v>76</v>
      </c>
      <c r="C865" t="s">
        <v>347</v>
      </c>
      <c r="D865" s="123">
        <v>2.6</v>
      </c>
      <c r="E865" s="120">
        <v>1.7680000000000002</v>
      </c>
    </row>
    <row r="866" spans="1:5">
      <c r="A866" t="s">
        <v>71</v>
      </c>
      <c r="B866" t="s">
        <v>76</v>
      </c>
      <c r="C866" t="s">
        <v>12</v>
      </c>
      <c r="D866" s="123">
        <v>1.6</v>
      </c>
      <c r="E866" s="120">
        <v>0.1552</v>
      </c>
    </row>
    <row r="867" spans="1:5">
      <c r="A867" t="s">
        <v>71</v>
      </c>
      <c r="B867" t="s">
        <v>76</v>
      </c>
      <c r="C867" t="s">
        <v>24</v>
      </c>
      <c r="D867" s="123">
        <v>30</v>
      </c>
      <c r="E867" s="120">
        <v>2.1</v>
      </c>
    </row>
    <row r="868" spans="1:5">
      <c r="A868" t="s">
        <v>71</v>
      </c>
      <c r="B868" t="s">
        <v>76</v>
      </c>
      <c r="C868" t="s">
        <v>670</v>
      </c>
      <c r="D868" s="123">
        <v>40</v>
      </c>
      <c r="E868" s="120">
        <v>0</v>
      </c>
    </row>
    <row r="869" spans="1:5">
      <c r="A869" t="s">
        <v>71</v>
      </c>
      <c r="B869" t="s">
        <v>76</v>
      </c>
      <c r="C869" t="s">
        <v>2</v>
      </c>
      <c r="D869" s="123">
        <v>0.2</v>
      </c>
      <c r="E869" s="120">
        <v>9.6000000000000002E-2</v>
      </c>
    </row>
    <row r="870" spans="1:5">
      <c r="A870" t="s">
        <v>71</v>
      </c>
      <c r="B870" t="s">
        <v>76</v>
      </c>
      <c r="C870" t="s">
        <v>427</v>
      </c>
      <c r="D870" s="123">
        <v>80</v>
      </c>
      <c r="E870" s="120">
        <v>3.84</v>
      </c>
    </row>
    <row r="871" spans="1:5">
      <c r="A871" t="s">
        <v>71</v>
      </c>
      <c r="B871" t="s">
        <v>76</v>
      </c>
      <c r="C871" t="s">
        <v>27</v>
      </c>
      <c r="D871" s="123">
        <v>5</v>
      </c>
      <c r="E871" s="120">
        <v>0.4</v>
      </c>
    </row>
    <row r="872" spans="1:5">
      <c r="A872" t="s">
        <v>71</v>
      </c>
      <c r="B872" t="s">
        <v>76</v>
      </c>
      <c r="C872" t="s">
        <v>25</v>
      </c>
      <c r="D872" s="123">
        <v>3</v>
      </c>
      <c r="E872" s="120">
        <v>8.4000000000000005E-2</v>
      </c>
    </row>
    <row r="873" spans="1:5">
      <c r="A873" t="s">
        <v>71</v>
      </c>
      <c r="B873" t="s">
        <v>76</v>
      </c>
      <c r="C873" t="s">
        <v>19</v>
      </c>
      <c r="D873" s="123">
        <v>7</v>
      </c>
      <c r="E873" s="120">
        <v>0.112</v>
      </c>
    </row>
    <row r="874" spans="1:5">
      <c r="A874" t="s">
        <v>71</v>
      </c>
      <c r="B874" t="s">
        <v>76</v>
      </c>
      <c r="C874" t="s">
        <v>26</v>
      </c>
      <c r="D874" s="123">
        <v>6.25</v>
      </c>
      <c r="E874" s="120">
        <v>0.73125000000000007</v>
      </c>
    </row>
    <row r="875" spans="1:5">
      <c r="C875" t="s">
        <v>371</v>
      </c>
      <c r="D875" s="123"/>
      <c r="E875" s="120"/>
    </row>
    <row r="876" spans="1:5">
      <c r="A876" t="s">
        <v>71</v>
      </c>
      <c r="B876" t="s">
        <v>77</v>
      </c>
      <c r="C876" t="s">
        <v>29</v>
      </c>
      <c r="D876" s="123">
        <v>2</v>
      </c>
      <c r="E876" s="120">
        <v>10</v>
      </c>
    </row>
    <row r="877" spans="1:5">
      <c r="A877" t="s">
        <v>71</v>
      </c>
      <c r="B877" t="s">
        <v>77</v>
      </c>
      <c r="C877" t="s">
        <v>492</v>
      </c>
      <c r="D877" s="123">
        <v>210</v>
      </c>
      <c r="E877" s="120">
        <v>16.8</v>
      </c>
    </row>
    <row r="878" spans="1:5">
      <c r="A878" t="s">
        <v>71</v>
      </c>
      <c r="B878" t="s">
        <v>77</v>
      </c>
      <c r="C878" t="s">
        <v>20</v>
      </c>
      <c r="D878" s="123">
        <v>20</v>
      </c>
      <c r="E878" s="120">
        <v>0.38</v>
      </c>
    </row>
    <row r="879" spans="1:5">
      <c r="A879" t="s">
        <v>71</v>
      </c>
      <c r="B879" t="s">
        <v>77</v>
      </c>
      <c r="C879" t="s">
        <v>338</v>
      </c>
      <c r="D879" s="123">
        <v>3.85</v>
      </c>
      <c r="E879" s="120">
        <v>0.30415000000000003</v>
      </c>
    </row>
    <row r="880" spans="1:5">
      <c r="A880" t="s">
        <v>71</v>
      </c>
      <c r="B880" t="s">
        <v>77</v>
      </c>
      <c r="C880" t="s">
        <v>332</v>
      </c>
      <c r="D880" s="123">
        <v>2.7</v>
      </c>
      <c r="E880" s="120">
        <v>0.94499999999999995</v>
      </c>
    </row>
    <row r="881" spans="1:5">
      <c r="A881" t="s">
        <v>71</v>
      </c>
      <c r="B881" t="s">
        <v>77</v>
      </c>
      <c r="C881" t="s">
        <v>335</v>
      </c>
      <c r="D881" s="123">
        <v>3.2</v>
      </c>
      <c r="E881" s="120">
        <v>0.96</v>
      </c>
    </row>
    <row r="882" spans="1:5">
      <c r="A882" t="s">
        <v>71</v>
      </c>
      <c r="B882" t="s">
        <v>77</v>
      </c>
      <c r="C882" t="s">
        <v>547</v>
      </c>
      <c r="D882" s="123">
        <v>3.7</v>
      </c>
      <c r="E882" s="120">
        <v>0</v>
      </c>
    </row>
    <row r="883" spans="1:5">
      <c r="A883" t="s">
        <v>71</v>
      </c>
      <c r="B883" t="s">
        <v>77</v>
      </c>
      <c r="C883" t="s">
        <v>9</v>
      </c>
      <c r="D883" s="123">
        <v>2.4500000000000002</v>
      </c>
      <c r="E883" s="120">
        <v>0</v>
      </c>
    </row>
    <row r="884" spans="1:5">
      <c r="A884" t="s">
        <v>71</v>
      </c>
      <c r="B884" t="s">
        <v>77</v>
      </c>
      <c r="C884" t="s">
        <v>347</v>
      </c>
      <c r="D884" s="123">
        <v>2.6</v>
      </c>
      <c r="E884" s="120">
        <v>1.7680000000000002</v>
      </c>
    </row>
    <row r="885" spans="1:5">
      <c r="A885" t="s">
        <v>71</v>
      </c>
      <c r="B885" t="s">
        <v>77</v>
      </c>
      <c r="C885" t="s">
        <v>12</v>
      </c>
      <c r="D885" s="123">
        <v>1.6</v>
      </c>
      <c r="E885" s="120">
        <v>0.1552</v>
      </c>
    </row>
    <row r="886" spans="1:5">
      <c r="A886" t="s">
        <v>71</v>
      </c>
      <c r="B886" t="s">
        <v>77</v>
      </c>
      <c r="C886" t="s">
        <v>24</v>
      </c>
      <c r="D886" s="123">
        <v>30</v>
      </c>
      <c r="E886" s="120">
        <v>2.1</v>
      </c>
    </row>
    <row r="887" spans="1:5">
      <c r="A887" t="s">
        <v>71</v>
      </c>
      <c r="B887" t="s">
        <v>77</v>
      </c>
      <c r="C887" t="s">
        <v>670</v>
      </c>
      <c r="D887" s="123">
        <v>40</v>
      </c>
      <c r="E887" s="120">
        <v>0</v>
      </c>
    </row>
    <row r="888" spans="1:5">
      <c r="A888" t="s">
        <v>71</v>
      </c>
      <c r="B888" t="s">
        <v>77</v>
      </c>
      <c r="C888" t="s">
        <v>2</v>
      </c>
      <c r="D888" s="123">
        <v>0.2</v>
      </c>
      <c r="E888" s="120">
        <v>9.6000000000000002E-2</v>
      </c>
    </row>
    <row r="889" spans="1:5">
      <c r="A889" t="s">
        <v>71</v>
      </c>
      <c r="B889" t="s">
        <v>77</v>
      </c>
      <c r="C889" t="s">
        <v>427</v>
      </c>
      <c r="D889" s="123">
        <v>80</v>
      </c>
      <c r="E889" s="120">
        <v>3.84</v>
      </c>
    </row>
    <row r="890" spans="1:5">
      <c r="A890" t="s">
        <v>71</v>
      </c>
      <c r="B890" t="s">
        <v>77</v>
      </c>
      <c r="C890" t="s">
        <v>27</v>
      </c>
      <c r="D890" s="123">
        <v>5</v>
      </c>
      <c r="E890" s="120">
        <v>0.4</v>
      </c>
    </row>
    <row r="891" spans="1:5">
      <c r="A891" t="s">
        <v>71</v>
      </c>
      <c r="B891" t="s">
        <v>77</v>
      </c>
      <c r="C891" t="s">
        <v>25</v>
      </c>
      <c r="D891" s="123">
        <v>3</v>
      </c>
      <c r="E891" s="120">
        <v>8.4000000000000005E-2</v>
      </c>
    </row>
    <row r="892" spans="1:5">
      <c r="A892" t="s">
        <v>71</v>
      </c>
      <c r="B892" t="s">
        <v>77</v>
      </c>
      <c r="C892" t="s">
        <v>19</v>
      </c>
      <c r="D892" s="123">
        <v>7</v>
      </c>
      <c r="E892" s="120">
        <v>0.112</v>
      </c>
    </row>
    <row r="893" spans="1:5">
      <c r="A893" t="s">
        <v>71</v>
      </c>
      <c r="B893" t="s">
        <v>77</v>
      </c>
      <c r="C893" t="s">
        <v>26</v>
      </c>
      <c r="D893" s="123">
        <v>6.25</v>
      </c>
      <c r="E893" s="120">
        <v>0.73125000000000007</v>
      </c>
    </row>
    <row r="894" spans="1:5">
      <c r="A894" t="s">
        <v>71</v>
      </c>
      <c r="B894" t="s">
        <v>77</v>
      </c>
      <c r="C894" t="s">
        <v>26</v>
      </c>
      <c r="D894" s="123">
        <v>6.25</v>
      </c>
      <c r="E894" s="120">
        <v>0.73125000000000007</v>
      </c>
    </row>
    <row r="895" spans="1:5">
      <c r="A895" t="s">
        <v>71</v>
      </c>
      <c r="B895" t="s">
        <v>77</v>
      </c>
      <c r="C895" t="s">
        <v>4</v>
      </c>
      <c r="D895" s="123">
        <v>65</v>
      </c>
      <c r="E895" s="120">
        <v>13.844999999999999</v>
      </c>
    </row>
    <row r="896" spans="1:5">
      <c r="A896" t="s">
        <v>71</v>
      </c>
      <c r="B896" t="s">
        <v>78</v>
      </c>
      <c r="C896" t="s">
        <v>6</v>
      </c>
      <c r="D896" s="123">
        <v>10</v>
      </c>
      <c r="E896" s="120">
        <v>0</v>
      </c>
    </row>
    <row r="897" spans="1:5">
      <c r="A897" t="s">
        <v>71</v>
      </c>
      <c r="B897" t="s">
        <v>78</v>
      </c>
      <c r="C897" t="s">
        <v>492</v>
      </c>
      <c r="D897" s="123">
        <v>210</v>
      </c>
      <c r="E897" s="120">
        <v>16.8</v>
      </c>
    </row>
    <row r="898" spans="1:5">
      <c r="A898" t="s">
        <v>71</v>
      </c>
      <c r="B898" t="s">
        <v>78</v>
      </c>
      <c r="C898" t="s">
        <v>20</v>
      </c>
      <c r="D898" s="123">
        <v>20</v>
      </c>
      <c r="E898" s="120">
        <v>0.38</v>
      </c>
    </row>
    <row r="899" spans="1:5">
      <c r="A899" t="s">
        <v>71</v>
      </c>
      <c r="B899" t="s">
        <v>78</v>
      </c>
      <c r="C899" t="s">
        <v>338</v>
      </c>
      <c r="D899" s="123">
        <v>3.85</v>
      </c>
      <c r="E899" s="120">
        <v>0.30415000000000003</v>
      </c>
    </row>
    <row r="900" spans="1:5">
      <c r="A900" t="s">
        <v>71</v>
      </c>
      <c r="B900" t="s">
        <v>78</v>
      </c>
      <c r="C900" t="s">
        <v>332</v>
      </c>
      <c r="D900" s="123">
        <v>2.7</v>
      </c>
      <c r="E900" s="120">
        <v>0.94499999999999995</v>
      </c>
    </row>
    <row r="901" spans="1:5">
      <c r="A901" t="s">
        <v>71</v>
      </c>
      <c r="B901" t="s">
        <v>78</v>
      </c>
      <c r="C901" t="s">
        <v>335</v>
      </c>
      <c r="D901" s="123">
        <v>3.2</v>
      </c>
      <c r="E901" s="120">
        <v>0.96</v>
      </c>
    </row>
    <row r="902" spans="1:5">
      <c r="A902" t="s">
        <v>71</v>
      </c>
      <c r="B902" t="s">
        <v>78</v>
      </c>
      <c r="C902" t="s">
        <v>547</v>
      </c>
      <c r="D902" s="123">
        <v>3.7</v>
      </c>
      <c r="E902" s="120">
        <v>0</v>
      </c>
    </row>
    <row r="903" spans="1:5">
      <c r="A903" t="s">
        <v>71</v>
      </c>
      <c r="B903" t="s">
        <v>78</v>
      </c>
      <c r="C903" t="s">
        <v>9</v>
      </c>
      <c r="D903" s="123">
        <v>2.4500000000000002</v>
      </c>
      <c r="E903" s="120">
        <v>0</v>
      </c>
    </row>
    <row r="904" spans="1:5">
      <c r="A904" t="s">
        <v>71</v>
      </c>
      <c r="B904" t="s">
        <v>78</v>
      </c>
      <c r="C904" t="s">
        <v>347</v>
      </c>
      <c r="D904" s="123">
        <v>2.6</v>
      </c>
      <c r="E904" s="120">
        <v>1.7680000000000002</v>
      </c>
    </row>
    <row r="905" spans="1:5">
      <c r="A905" t="s">
        <v>71</v>
      </c>
      <c r="B905" t="s">
        <v>78</v>
      </c>
      <c r="C905" t="s">
        <v>12</v>
      </c>
      <c r="D905" s="123">
        <v>1.6</v>
      </c>
      <c r="E905" s="120">
        <v>0.1552</v>
      </c>
    </row>
    <row r="906" spans="1:5">
      <c r="A906" t="s">
        <v>71</v>
      </c>
      <c r="B906" t="s">
        <v>78</v>
      </c>
      <c r="C906" t="s">
        <v>24</v>
      </c>
      <c r="D906" s="123">
        <v>30</v>
      </c>
      <c r="E906" s="120">
        <v>2.1</v>
      </c>
    </row>
    <row r="907" spans="1:5">
      <c r="A907" t="s">
        <v>71</v>
      </c>
      <c r="B907" t="s">
        <v>78</v>
      </c>
      <c r="C907" t="s">
        <v>670</v>
      </c>
      <c r="D907" s="123">
        <v>40</v>
      </c>
      <c r="E907" s="120">
        <v>0</v>
      </c>
    </row>
    <row r="908" spans="1:5">
      <c r="A908" t="s">
        <v>71</v>
      </c>
      <c r="B908" t="s">
        <v>78</v>
      </c>
      <c r="C908" t="s">
        <v>2</v>
      </c>
      <c r="D908" s="123">
        <v>0.2</v>
      </c>
      <c r="E908" s="120">
        <v>9.6000000000000002E-2</v>
      </c>
    </row>
    <row r="909" spans="1:5">
      <c r="A909" t="s">
        <v>71</v>
      </c>
      <c r="B909" t="s">
        <v>78</v>
      </c>
      <c r="C909" t="s">
        <v>427</v>
      </c>
      <c r="D909" s="123">
        <v>80</v>
      </c>
      <c r="E909" s="120">
        <v>3.84</v>
      </c>
    </row>
    <row r="910" spans="1:5">
      <c r="A910" t="s">
        <v>71</v>
      </c>
      <c r="B910" t="s">
        <v>78</v>
      </c>
      <c r="C910" t="s">
        <v>27</v>
      </c>
      <c r="D910" s="123">
        <v>5</v>
      </c>
      <c r="E910" s="120">
        <v>0.4</v>
      </c>
    </row>
    <row r="911" spans="1:5">
      <c r="A911" t="s">
        <v>71</v>
      </c>
      <c r="B911" t="s">
        <v>78</v>
      </c>
      <c r="C911" t="s">
        <v>25</v>
      </c>
      <c r="D911" s="123">
        <v>3</v>
      </c>
      <c r="E911" s="120">
        <v>8.4000000000000005E-2</v>
      </c>
    </row>
    <row r="912" spans="1:5">
      <c r="A912" t="s">
        <v>71</v>
      </c>
      <c r="B912" t="s">
        <v>78</v>
      </c>
      <c r="C912" t="s">
        <v>19</v>
      </c>
      <c r="D912" s="123">
        <v>7</v>
      </c>
      <c r="E912" s="120">
        <v>0.112</v>
      </c>
    </row>
    <row r="913" spans="1:5">
      <c r="A913" t="s">
        <v>71</v>
      </c>
      <c r="B913" t="s">
        <v>78</v>
      </c>
      <c r="C913" t="s">
        <v>26</v>
      </c>
      <c r="D913" s="123">
        <v>6.25</v>
      </c>
      <c r="E913" s="120">
        <v>0.73125000000000007</v>
      </c>
    </row>
    <row r="914" spans="1:5">
      <c r="C914" t="s">
        <v>371</v>
      </c>
      <c r="D914" s="123"/>
      <c r="E914" s="120"/>
    </row>
    <row r="915" spans="1:5">
      <c r="A915" t="s">
        <v>71</v>
      </c>
      <c r="B915" t="s">
        <v>79</v>
      </c>
      <c r="C915" t="s">
        <v>29</v>
      </c>
      <c r="D915" s="123">
        <v>2</v>
      </c>
      <c r="E915" s="120">
        <v>10</v>
      </c>
    </row>
    <row r="916" spans="1:5">
      <c r="A916" t="s">
        <v>71</v>
      </c>
      <c r="B916" t="s">
        <v>79</v>
      </c>
      <c r="C916" t="s">
        <v>17</v>
      </c>
      <c r="D916" s="123">
        <v>250</v>
      </c>
      <c r="E916" s="120">
        <v>67.5</v>
      </c>
    </row>
    <row r="917" spans="1:5">
      <c r="A917" t="s">
        <v>71</v>
      </c>
      <c r="B917" t="s">
        <v>79</v>
      </c>
      <c r="C917" t="s">
        <v>20</v>
      </c>
      <c r="D917" s="123">
        <v>20</v>
      </c>
      <c r="E917" s="120">
        <v>0.38</v>
      </c>
    </row>
    <row r="918" spans="1:5">
      <c r="A918" t="s">
        <v>71</v>
      </c>
      <c r="B918" t="s">
        <v>79</v>
      </c>
      <c r="C918" t="s">
        <v>338</v>
      </c>
      <c r="D918" s="123">
        <v>3.85</v>
      </c>
      <c r="E918" s="120">
        <v>0.30415000000000003</v>
      </c>
    </row>
    <row r="919" spans="1:5">
      <c r="A919" t="s">
        <v>71</v>
      </c>
      <c r="B919" t="s">
        <v>79</v>
      </c>
      <c r="C919" t="s">
        <v>332</v>
      </c>
      <c r="D919" s="123">
        <v>2.7</v>
      </c>
      <c r="E919" s="120">
        <v>0.94499999999999995</v>
      </c>
    </row>
    <row r="920" spans="1:5">
      <c r="A920" t="s">
        <v>71</v>
      </c>
      <c r="B920" t="s">
        <v>79</v>
      </c>
      <c r="C920" t="s">
        <v>335</v>
      </c>
      <c r="D920" s="123">
        <v>3.2</v>
      </c>
      <c r="E920" s="120">
        <v>0.96</v>
      </c>
    </row>
    <row r="921" spans="1:5">
      <c r="A921" t="s">
        <v>71</v>
      </c>
      <c r="B921" t="s">
        <v>79</v>
      </c>
      <c r="C921" t="s">
        <v>547</v>
      </c>
      <c r="D921" s="123">
        <v>3.7</v>
      </c>
      <c r="E921" s="120">
        <v>0</v>
      </c>
    </row>
    <row r="922" spans="1:5">
      <c r="A922" t="s">
        <v>71</v>
      </c>
      <c r="B922" t="s">
        <v>79</v>
      </c>
      <c r="C922" t="s">
        <v>9</v>
      </c>
      <c r="D922" s="123">
        <v>2.4500000000000002</v>
      </c>
      <c r="E922" s="120">
        <v>0</v>
      </c>
    </row>
    <row r="923" spans="1:5">
      <c r="A923" t="s">
        <v>71</v>
      </c>
      <c r="B923" t="s">
        <v>79</v>
      </c>
      <c r="C923" t="s">
        <v>347</v>
      </c>
      <c r="D923" s="123">
        <v>2.6</v>
      </c>
      <c r="E923" s="120">
        <v>1.7680000000000002</v>
      </c>
    </row>
    <row r="924" spans="1:5">
      <c r="A924" t="s">
        <v>71</v>
      </c>
      <c r="B924" t="s">
        <v>79</v>
      </c>
      <c r="C924" t="s">
        <v>12</v>
      </c>
      <c r="D924" s="123">
        <v>1.6</v>
      </c>
      <c r="E924" s="120">
        <v>0.1552</v>
      </c>
    </row>
    <row r="925" spans="1:5">
      <c r="A925" t="s">
        <v>71</v>
      </c>
      <c r="B925" t="s">
        <v>79</v>
      </c>
      <c r="C925" t="s">
        <v>24</v>
      </c>
      <c r="D925" s="123">
        <v>30</v>
      </c>
      <c r="E925" s="120">
        <v>2.1</v>
      </c>
    </row>
    <row r="926" spans="1:5">
      <c r="A926" t="s">
        <v>71</v>
      </c>
      <c r="B926" t="s">
        <v>79</v>
      </c>
      <c r="C926" t="s">
        <v>670</v>
      </c>
      <c r="D926" s="123">
        <v>40</v>
      </c>
      <c r="E926" s="120">
        <v>0</v>
      </c>
    </row>
    <row r="927" spans="1:5">
      <c r="A927" t="s">
        <v>71</v>
      </c>
      <c r="B927" t="s">
        <v>79</v>
      </c>
      <c r="C927" t="s">
        <v>2</v>
      </c>
      <c r="D927" s="123">
        <v>0.2</v>
      </c>
      <c r="E927" s="120">
        <v>9.6000000000000002E-2</v>
      </c>
    </row>
    <row r="928" spans="1:5">
      <c r="A928" t="s">
        <v>71</v>
      </c>
      <c r="B928" t="s">
        <v>79</v>
      </c>
      <c r="C928" t="s">
        <v>427</v>
      </c>
      <c r="D928" s="123">
        <v>80</v>
      </c>
      <c r="E928" s="120">
        <v>3.84</v>
      </c>
    </row>
    <row r="929" spans="1:5">
      <c r="A929" t="s">
        <v>71</v>
      </c>
      <c r="B929" t="s">
        <v>79</v>
      </c>
      <c r="C929" t="s">
        <v>27</v>
      </c>
      <c r="D929" s="123">
        <v>5</v>
      </c>
      <c r="E929" s="120">
        <v>0.4</v>
      </c>
    </row>
    <row r="930" spans="1:5">
      <c r="A930" t="s">
        <v>71</v>
      </c>
      <c r="B930" t="s">
        <v>79</v>
      </c>
      <c r="C930" t="s">
        <v>25</v>
      </c>
      <c r="D930" s="123">
        <v>3</v>
      </c>
      <c r="E930" s="120">
        <v>8.4000000000000005E-2</v>
      </c>
    </row>
    <row r="931" spans="1:5">
      <c r="A931" t="s">
        <v>71</v>
      </c>
      <c r="B931" t="s">
        <v>79</v>
      </c>
      <c r="C931" t="s">
        <v>19</v>
      </c>
      <c r="D931" s="123">
        <v>7</v>
      </c>
      <c r="E931" s="120">
        <v>0.112</v>
      </c>
    </row>
    <row r="932" spans="1:5">
      <c r="A932" t="s">
        <v>71</v>
      </c>
      <c r="B932" t="s">
        <v>79</v>
      </c>
      <c r="C932" t="s">
        <v>26</v>
      </c>
      <c r="D932" s="123">
        <v>6.25</v>
      </c>
      <c r="E932" s="120">
        <v>0.73125000000000007</v>
      </c>
    </row>
    <row r="933" spans="1:5">
      <c r="C933" t="s">
        <v>371</v>
      </c>
      <c r="D933" s="123"/>
      <c r="E933" s="120"/>
    </row>
    <row r="934" spans="1:5">
      <c r="A934" t="s">
        <v>71</v>
      </c>
      <c r="B934" t="s">
        <v>80</v>
      </c>
      <c r="C934" t="s">
        <v>29</v>
      </c>
      <c r="D934" s="123">
        <v>2</v>
      </c>
      <c r="E934" s="120">
        <v>10</v>
      </c>
    </row>
    <row r="935" spans="1:5">
      <c r="A935" t="s">
        <v>71</v>
      </c>
      <c r="B935" t="s">
        <v>80</v>
      </c>
      <c r="C935" t="s">
        <v>28</v>
      </c>
      <c r="D935" s="123">
        <v>220</v>
      </c>
      <c r="E935" s="120">
        <v>35.200000000000003</v>
      </c>
    </row>
    <row r="936" spans="1:5">
      <c r="A936" t="s">
        <v>71</v>
      </c>
      <c r="B936" t="s">
        <v>80</v>
      </c>
      <c r="C936" t="s">
        <v>20</v>
      </c>
      <c r="D936" s="123">
        <v>20</v>
      </c>
      <c r="E936" s="120">
        <v>0.38</v>
      </c>
    </row>
    <row r="937" spans="1:5">
      <c r="A937" t="s">
        <v>71</v>
      </c>
      <c r="B937" t="s">
        <v>80</v>
      </c>
      <c r="C937" t="s">
        <v>338</v>
      </c>
      <c r="D937" s="123">
        <v>3.85</v>
      </c>
      <c r="E937" s="120">
        <v>0.30415000000000003</v>
      </c>
    </row>
    <row r="938" spans="1:5">
      <c r="A938" t="s">
        <v>71</v>
      </c>
      <c r="B938" t="s">
        <v>80</v>
      </c>
      <c r="C938" t="s">
        <v>332</v>
      </c>
      <c r="D938" s="123">
        <v>2.7</v>
      </c>
      <c r="E938" s="120">
        <v>0.94499999999999995</v>
      </c>
    </row>
    <row r="939" spans="1:5">
      <c r="A939" t="s">
        <v>71</v>
      </c>
      <c r="B939" t="s">
        <v>80</v>
      </c>
      <c r="C939" t="s">
        <v>335</v>
      </c>
      <c r="D939" s="123">
        <v>3.2</v>
      </c>
      <c r="E939" s="120">
        <v>0.96</v>
      </c>
    </row>
    <row r="940" spans="1:5">
      <c r="A940" t="s">
        <v>71</v>
      </c>
      <c r="B940" t="s">
        <v>80</v>
      </c>
      <c r="C940" t="s">
        <v>547</v>
      </c>
      <c r="D940" s="123">
        <v>3.7</v>
      </c>
      <c r="E940" s="120">
        <v>0</v>
      </c>
    </row>
    <row r="941" spans="1:5">
      <c r="A941" t="s">
        <v>71</v>
      </c>
      <c r="B941" t="s">
        <v>80</v>
      </c>
      <c r="C941" t="s">
        <v>9</v>
      </c>
      <c r="D941" s="123">
        <v>2.4500000000000002</v>
      </c>
      <c r="E941" s="120">
        <v>0</v>
      </c>
    </row>
    <row r="942" spans="1:5">
      <c r="A942" t="s">
        <v>71</v>
      </c>
      <c r="B942" t="s">
        <v>80</v>
      </c>
      <c r="C942" t="s">
        <v>347</v>
      </c>
      <c r="D942" s="123">
        <v>2.6</v>
      </c>
      <c r="E942" s="120">
        <v>1.7680000000000002</v>
      </c>
    </row>
    <row r="943" spans="1:5">
      <c r="A943" t="s">
        <v>71</v>
      </c>
      <c r="B943" t="s">
        <v>80</v>
      </c>
      <c r="C943" t="s">
        <v>12</v>
      </c>
      <c r="D943" s="123">
        <v>1.6</v>
      </c>
      <c r="E943" s="120">
        <v>0.1552</v>
      </c>
    </row>
    <row r="944" spans="1:5">
      <c r="A944" t="s">
        <v>71</v>
      </c>
      <c r="B944" t="s">
        <v>80</v>
      </c>
      <c r="C944" t="s">
        <v>24</v>
      </c>
      <c r="D944" s="123">
        <v>30</v>
      </c>
      <c r="E944" s="120">
        <v>2.1</v>
      </c>
    </row>
    <row r="945" spans="1:5">
      <c r="A945" t="s">
        <v>71</v>
      </c>
      <c r="B945" t="s">
        <v>80</v>
      </c>
      <c r="C945" t="s">
        <v>670</v>
      </c>
      <c r="D945" s="123">
        <v>40</v>
      </c>
      <c r="E945" s="120">
        <v>0</v>
      </c>
    </row>
    <row r="946" spans="1:5">
      <c r="A946" t="s">
        <v>71</v>
      </c>
      <c r="B946" t="s">
        <v>80</v>
      </c>
      <c r="C946" t="s">
        <v>2</v>
      </c>
      <c r="D946" s="123">
        <v>0.2</v>
      </c>
      <c r="E946" s="120">
        <v>9.6000000000000002E-2</v>
      </c>
    </row>
    <row r="947" spans="1:5">
      <c r="A947" t="s">
        <v>71</v>
      </c>
      <c r="B947" t="s">
        <v>80</v>
      </c>
      <c r="C947" t="s">
        <v>427</v>
      </c>
      <c r="D947" s="123">
        <v>80</v>
      </c>
      <c r="E947" s="120">
        <v>3.84</v>
      </c>
    </row>
    <row r="948" spans="1:5">
      <c r="A948" t="s">
        <v>71</v>
      </c>
      <c r="B948" t="s">
        <v>80</v>
      </c>
      <c r="C948" t="s">
        <v>27</v>
      </c>
      <c r="D948" s="123">
        <v>5</v>
      </c>
      <c r="E948" s="120">
        <v>0.4</v>
      </c>
    </row>
    <row r="949" spans="1:5">
      <c r="A949" t="s">
        <v>71</v>
      </c>
      <c r="B949" t="s">
        <v>80</v>
      </c>
      <c r="C949" t="s">
        <v>25</v>
      </c>
      <c r="D949" s="123">
        <v>3</v>
      </c>
      <c r="E949" s="120">
        <v>8.4000000000000005E-2</v>
      </c>
    </row>
    <row r="950" spans="1:5">
      <c r="A950" t="s">
        <v>71</v>
      </c>
      <c r="B950" t="s">
        <v>80</v>
      </c>
      <c r="C950" t="s">
        <v>19</v>
      </c>
      <c r="D950" s="123">
        <v>7</v>
      </c>
      <c r="E950" s="120">
        <v>0.112</v>
      </c>
    </row>
    <row r="951" spans="1:5">
      <c r="A951" t="s">
        <v>71</v>
      </c>
      <c r="B951" t="s">
        <v>80</v>
      </c>
      <c r="C951" t="s">
        <v>26</v>
      </c>
      <c r="D951" s="123">
        <v>6.25</v>
      </c>
      <c r="E951" s="120">
        <v>0.73125000000000007</v>
      </c>
    </row>
    <row r="952" spans="1:5">
      <c r="D952" s="123"/>
      <c r="E952" s="120"/>
    </row>
    <row r="953" spans="1:5">
      <c r="A953" t="s">
        <v>71</v>
      </c>
      <c r="B953" t="s">
        <v>81</v>
      </c>
      <c r="C953" t="s">
        <v>492</v>
      </c>
      <c r="D953" s="123">
        <v>210</v>
      </c>
      <c r="E953" s="120">
        <v>16.8</v>
      </c>
    </row>
    <row r="954" spans="1:5">
      <c r="A954" t="s">
        <v>71</v>
      </c>
      <c r="B954" t="s">
        <v>81</v>
      </c>
      <c r="C954" t="s">
        <v>20</v>
      </c>
      <c r="D954" s="123">
        <v>20</v>
      </c>
      <c r="E954" s="120">
        <v>0.38</v>
      </c>
    </row>
    <row r="955" spans="1:5">
      <c r="A955" t="s">
        <v>71</v>
      </c>
      <c r="B955" t="s">
        <v>81</v>
      </c>
      <c r="C955" t="s">
        <v>338</v>
      </c>
      <c r="D955" s="123">
        <v>3.85</v>
      </c>
      <c r="E955" s="120">
        <v>0.30415000000000003</v>
      </c>
    </row>
    <row r="956" spans="1:5">
      <c r="A956" t="s">
        <v>71</v>
      </c>
      <c r="B956" t="s">
        <v>81</v>
      </c>
      <c r="C956" t="s">
        <v>332</v>
      </c>
      <c r="D956" s="123">
        <v>2.7</v>
      </c>
      <c r="E956" s="120">
        <v>0.94499999999999995</v>
      </c>
    </row>
    <row r="957" spans="1:5">
      <c r="A957" t="s">
        <v>71</v>
      </c>
      <c r="B957" t="s">
        <v>81</v>
      </c>
      <c r="C957" t="s">
        <v>335</v>
      </c>
      <c r="D957" s="123">
        <v>3.2</v>
      </c>
      <c r="E957" s="120">
        <v>0.96</v>
      </c>
    </row>
    <row r="958" spans="1:5">
      <c r="A958" t="s">
        <v>71</v>
      </c>
      <c r="B958" t="s">
        <v>81</v>
      </c>
      <c r="C958" t="s">
        <v>547</v>
      </c>
      <c r="D958" s="123">
        <v>3.7</v>
      </c>
      <c r="E958" s="120">
        <v>0</v>
      </c>
    </row>
    <row r="959" spans="1:5">
      <c r="A959" t="s">
        <v>71</v>
      </c>
      <c r="B959" t="s">
        <v>81</v>
      </c>
      <c r="C959" t="s">
        <v>9</v>
      </c>
      <c r="D959" s="123">
        <v>2.4500000000000002</v>
      </c>
      <c r="E959" s="120">
        <v>0</v>
      </c>
    </row>
    <row r="960" spans="1:5">
      <c r="A960" t="s">
        <v>71</v>
      </c>
      <c r="B960" t="s">
        <v>81</v>
      </c>
      <c r="C960" t="s">
        <v>347</v>
      </c>
      <c r="D960" s="123">
        <v>2.6</v>
      </c>
      <c r="E960" s="120">
        <v>1.7680000000000002</v>
      </c>
    </row>
    <row r="961" spans="1:5">
      <c r="A961" t="s">
        <v>71</v>
      </c>
      <c r="B961" t="s">
        <v>81</v>
      </c>
      <c r="C961" t="s">
        <v>12</v>
      </c>
      <c r="D961" s="123">
        <v>1.6</v>
      </c>
      <c r="E961" s="120">
        <v>0.1552</v>
      </c>
    </row>
    <row r="962" spans="1:5">
      <c r="A962" t="s">
        <v>71</v>
      </c>
      <c r="B962" t="s">
        <v>81</v>
      </c>
      <c r="C962" t="s">
        <v>24</v>
      </c>
      <c r="D962" s="123">
        <v>30</v>
      </c>
      <c r="E962" s="120">
        <v>2.1</v>
      </c>
    </row>
    <row r="963" spans="1:5">
      <c r="A963" t="s">
        <v>71</v>
      </c>
      <c r="B963" t="s">
        <v>81</v>
      </c>
      <c r="C963" t="s">
        <v>670</v>
      </c>
      <c r="D963" s="123">
        <v>40</v>
      </c>
      <c r="E963" s="120">
        <v>0</v>
      </c>
    </row>
    <row r="964" spans="1:5">
      <c r="A964" t="s">
        <v>71</v>
      </c>
      <c r="B964" t="s">
        <v>81</v>
      </c>
      <c r="C964" t="s">
        <v>2</v>
      </c>
      <c r="D964" s="123">
        <v>0.2</v>
      </c>
      <c r="E964" s="120">
        <v>9.6000000000000002E-2</v>
      </c>
    </row>
    <row r="965" spans="1:5">
      <c r="A965" t="s">
        <v>71</v>
      </c>
      <c r="B965" t="s">
        <v>81</v>
      </c>
      <c r="C965" t="s">
        <v>427</v>
      </c>
      <c r="D965" s="123">
        <v>80</v>
      </c>
      <c r="E965" s="120">
        <v>3.84</v>
      </c>
    </row>
    <row r="966" spans="1:5">
      <c r="A966" t="s">
        <v>71</v>
      </c>
      <c r="B966" t="s">
        <v>81</v>
      </c>
      <c r="C966" t="s">
        <v>27</v>
      </c>
      <c r="D966" s="123">
        <v>5</v>
      </c>
      <c r="E966" s="120">
        <v>0.4</v>
      </c>
    </row>
    <row r="967" spans="1:5">
      <c r="A967" t="s">
        <v>71</v>
      </c>
      <c r="B967" t="s">
        <v>81</v>
      </c>
      <c r="C967" t="s">
        <v>25</v>
      </c>
      <c r="D967" s="123">
        <v>3</v>
      </c>
      <c r="E967" s="120">
        <v>8.4000000000000005E-2</v>
      </c>
    </row>
    <row r="968" spans="1:5">
      <c r="A968" t="s">
        <v>71</v>
      </c>
      <c r="B968" t="s">
        <v>81</v>
      </c>
      <c r="C968" t="s">
        <v>19</v>
      </c>
      <c r="D968" s="123">
        <v>7</v>
      </c>
      <c r="E968" s="120">
        <v>0.112</v>
      </c>
    </row>
    <row r="969" spans="1:5">
      <c r="A969" t="s">
        <v>71</v>
      </c>
      <c r="B969" t="s">
        <v>81</v>
      </c>
      <c r="C969" t="s">
        <v>26</v>
      </c>
      <c r="D969" s="123">
        <v>6.25</v>
      </c>
      <c r="E969" s="120">
        <v>0.73125000000000007</v>
      </c>
    </row>
    <row r="970" spans="1:5">
      <c r="A970" t="s">
        <v>71</v>
      </c>
      <c r="B970" t="s">
        <v>81</v>
      </c>
      <c r="C970" t="s">
        <v>29</v>
      </c>
      <c r="D970" s="123">
        <v>2</v>
      </c>
      <c r="E970" s="120">
        <v>10</v>
      </c>
    </row>
    <row r="971" spans="1:5">
      <c r="D971" s="123"/>
      <c r="E971" s="120"/>
    </row>
    <row r="972" spans="1:5">
      <c r="A972" t="s">
        <v>71</v>
      </c>
      <c r="B972" t="s">
        <v>559</v>
      </c>
      <c r="C972" t="s">
        <v>74</v>
      </c>
      <c r="D972" s="123">
        <v>144</v>
      </c>
      <c r="E972" s="120">
        <v>16.269327360000002</v>
      </c>
    </row>
    <row r="973" spans="1:5">
      <c r="A973" t="s">
        <v>71</v>
      </c>
      <c r="B973" t="s">
        <v>559</v>
      </c>
      <c r="C973" t="s">
        <v>73</v>
      </c>
      <c r="D973" s="123">
        <v>175</v>
      </c>
      <c r="E973" s="120">
        <v>12.043752</v>
      </c>
    </row>
    <row r="974" spans="1:5">
      <c r="A974" t="s">
        <v>71</v>
      </c>
      <c r="B974" t="s">
        <v>559</v>
      </c>
      <c r="C974" t="s">
        <v>72</v>
      </c>
      <c r="D974" s="123">
        <v>120</v>
      </c>
      <c r="E974" s="120">
        <v>9.5634719999999991</v>
      </c>
    </row>
    <row r="975" spans="1:5">
      <c r="A975" t="s">
        <v>71</v>
      </c>
      <c r="B975" t="s">
        <v>559</v>
      </c>
      <c r="C975" t="s">
        <v>339</v>
      </c>
      <c r="D975" s="123">
        <v>1</v>
      </c>
      <c r="E975" s="120">
        <v>0.67</v>
      </c>
    </row>
    <row r="976" spans="1:5">
      <c r="A976" t="s">
        <v>71</v>
      </c>
      <c r="B976" t="s">
        <v>559</v>
      </c>
      <c r="C976" t="s">
        <v>18</v>
      </c>
      <c r="D976" s="123">
        <v>1</v>
      </c>
      <c r="E976" s="120">
        <v>0.03</v>
      </c>
    </row>
    <row r="977" spans="1:5">
      <c r="A977" t="s">
        <v>71</v>
      </c>
      <c r="B977" t="s">
        <v>559</v>
      </c>
      <c r="C977" t="s">
        <v>149</v>
      </c>
      <c r="D977" s="123">
        <v>5</v>
      </c>
      <c r="E977" s="120">
        <v>0.65</v>
      </c>
    </row>
    <row r="978" spans="1:5">
      <c r="A978" t="s">
        <v>71</v>
      </c>
      <c r="B978" t="s">
        <v>559</v>
      </c>
      <c r="C978" t="s">
        <v>76</v>
      </c>
      <c r="D978" s="123">
        <v>175</v>
      </c>
      <c r="E978" s="120">
        <v>33.442890250000005</v>
      </c>
    </row>
    <row r="979" spans="1:5">
      <c r="D979" s="123"/>
      <c r="E979" s="120"/>
    </row>
    <row r="980" spans="1:5">
      <c r="D980" s="123"/>
      <c r="E980" s="120"/>
    </row>
    <row r="981" spans="1:5">
      <c r="D981" s="123"/>
      <c r="E981" s="120"/>
    </row>
    <row r="982" spans="1:5">
      <c r="A982" t="s">
        <v>572</v>
      </c>
      <c r="B982" t="s">
        <v>312</v>
      </c>
      <c r="C982" t="s">
        <v>279</v>
      </c>
      <c r="D982" s="123">
        <v>40</v>
      </c>
      <c r="E982" s="120">
        <v>40</v>
      </c>
    </row>
    <row r="983" spans="1:5">
      <c r="A983" t="s">
        <v>572</v>
      </c>
      <c r="B983" t="s">
        <v>312</v>
      </c>
      <c r="C983" t="s">
        <v>149</v>
      </c>
      <c r="D983" s="123">
        <v>35</v>
      </c>
      <c r="E983" s="120">
        <v>4.55</v>
      </c>
    </row>
    <row r="984" spans="1:5">
      <c r="A984" t="s">
        <v>572</v>
      </c>
      <c r="B984" t="s">
        <v>312</v>
      </c>
      <c r="C984" t="s">
        <v>338</v>
      </c>
      <c r="D984" s="123">
        <v>3</v>
      </c>
      <c r="E984" s="120">
        <v>0.23699999999999999</v>
      </c>
    </row>
    <row r="985" spans="1:5">
      <c r="A985" t="s">
        <v>572</v>
      </c>
      <c r="B985" t="s">
        <v>312</v>
      </c>
      <c r="C985" t="s">
        <v>146</v>
      </c>
      <c r="D985" s="123">
        <v>1</v>
      </c>
      <c r="E985" s="120">
        <v>6.5000000000000002E-2</v>
      </c>
    </row>
    <row r="986" spans="1:5">
      <c r="A986" t="s">
        <v>572</v>
      </c>
      <c r="B986" t="s">
        <v>312</v>
      </c>
      <c r="C986" t="s">
        <v>531</v>
      </c>
      <c r="D986" s="123">
        <v>250</v>
      </c>
      <c r="E986" s="120">
        <v>9</v>
      </c>
    </row>
    <row r="987" spans="1:5">
      <c r="A987" t="s">
        <v>572</v>
      </c>
      <c r="B987" t="s">
        <v>371</v>
      </c>
      <c r="C987" t="s">
        <v>371</v>
      </c>
      <c r="D987" s="123"/>
      <c r="E987" s="120"/>
    </row>
    <row r="988" spans="1:5">
      <c r="A988" t="s">
        <v>572</v>
      </c>
      <c r="B988" t="s">
        <v>638</v>
      </c>
      <c r="C988" t="s">
        <v>279</v>
      </c>
      <c r="D988" s="123">
        <v>40</v>
      </c>
      <c r="E988" s="120">
        <v>40</v>
      </c>
    </row>
    <row r="989" spans="1:5">
      <c r="A989" t="s">
        <v>572</v>
      </c>
      <c r="B989" t="s">
        <v>638</v>
      </c>
      <c r="C989" t="s">
        <v>149</v>
      </c>
      <c r="D989" s="123">
        <v>35</v>
      </c>
      <c r="E989" s="120">
        <v>4.55</v>
      </c>
    </row>
    <row r="990" spans="1:5">
      <c r="A990" t="s">
        <v>572</v>
      </c>
      <c r="B990" t="s">
        <v>638</v>
      </c>
      <c r="C990" t="s">
        <v>338</v>
      </c>
      <c r="D990" s="123">
        <v>3</v>
      </c>
      <c r="E990" s="120">
        <v>0.23699999999999999</v>
      </c>
    </row>
    <row r="991" spans="1:5">
      <c r="A991" t="s">
        <v>572</v>
      </c>
      <c r="B991" t="s">
        <v>638</v>
      </c>
      <c r="C991" t="s">
        <v>146</v>
      </c>
      <c r="D991" s="123">
        <v>1</v>
      </c>
      <c r="E991" s="120">
        <v>6.5000000000000002E-2</v>
      </c>
    </row>
    <row r="992" spans="1:5">
      <c r="A992" t="s">
        <v>572</v>
      </c>
      <c r="B992" t="s">
        <v>638</v>
      </c>
      <c r="C992" t="s">
        <v>531</v>
      </c>
      <c r="D992" s="123">
        <v>250</v>
      </c>
      <c r="E992" s="120">
        <v>9</v>
      </c>
    </row>
    <row r="993" spans="1:5">
      <c r="A993" t="s">
        <v>572</v>
      </c>
      <c r="B993" t="s">
        <v>371</v>
      </c>
      <c r="C993" t="s">
        <v>371</v>
      </c>
      <c r="D993" s="123"/>
      <c r="E993" s="120"/>
    </row>
    <row r="994" spans="1:5">
      <c r="A994" t="s">
        <v>572</v>
      </c>
      <c r="B994" t="s">
        <v>639</v>
      </c>
      <c r="C994" t="s">
        <v>279</v>
      </c>
      <c r="D994" s="123">
        <v>40</v>
      </c>
      <c r="E994" s="120">
        <v>40</v>
      </c>
    </row>
    <row r="995" spans="1:5">
      <c r="A995" t="s">
        <v>572</v>
      </c>
      <c r="B995" t="s">
        <v>639</v>
      </c>
      <c r="C995" t="s">
        <v>149</v>
      </c>
      <c r="D995" s="123">
        <v>35</v>
      </c>
      <c r="E995" s="120">
        <v>4.55</v>
      </c>
    </row>
    <row r="996" spans="1:5">
      <c r="A996" t="s">
        <v>572</v>
      </c>
      <c r="B996" t="s">
        <v>639</v>
      </c>
      <c r="C996" t="s">
        <v>338</v>
      </c>
      <c r="D996" s="123">
        <v>3</v>
      </c>
      <c r="E996" s="120">
        <v>0.23699999999999999</v>
      </c>
    </row>
    <row r="997" spans="1:5">
      <c r="A997" t="s">
        <v>572</v>
      </c>
      <c r="B997" t="s">
        <v>639</v>
      </c>
      <c r="C997" t="s">
        <v>146</v>
      </c>
      <c r="D997" s="123">
        <v>1</v>
      </c>
      <c r="E997" s="120">
        <v>6.5000000000000002E-2</v>
      </c>
    </row>
    <row r="998" spans="1:5">
      <c r="A998" t="s">
        <v>572</v>
      </c>
      <c r="B998" t="s">
        <v>639</v>
      </c>
      <c r="C998" t="s">
        <v>531</v>
      </c>
      <c r="D998" s="123">
        <v>250</v>
      </c>
      <c r="E998" s="120">
        <v>9</v>
      </c>
    </row>
    <row r="999" spans="1:5">
      <c r="A999" t="s">
        <v>572</v>
      </c>
      <c r="B999" t="s">
        <v>371</v>
      </c>
      <c r="C999" t="s">
        <v>371</v>
      </c>
      <c r="D999" s="123"/>
      <c r="E999" s="120"/>
    </row>
    <row r="1000" spans="1:5">
      <c r="A1000" t="s">
        <v>572</v>
      </c>
      <c r="B1000" t="s">
        <v>640</v>
      </c>
      <c r="C1000" t="s">
        <v>279</v>
      </c>
      <c r="D1000" s="123">
        <v>40</v>
      </c>
      <c r="E1000" s="120">
        <v>40</v>
      </c>
    </row>
    <row r="1001" spans="1:5">
      <c r="A1001" t="s">
        <v>572</v>
      </c>
      <c r="B1001" t="s">
        <v>640</v>
      </c>
      <c r="C1001" t="s">
        <v>149</v>
      </c>
      <c r="D1001" s="123">
        <v>35</v>
      </c>
      <c r="E1001" s="120">
        <v>4.55</v>
      </c>
    </row>
    <row r="1002" spans="1:5">
      <c r="A1002" t="s">
        <v>572</v>
      </c>
      <c r="B1002" t="s">
        <v>640</v>
      </c>
      <c r="C1002" t="s">
        <v>338</v>
      </c>
      <c r="D1002" s="123">
        <v>3</v>
      </c>
      <c r="E1002" s="120">
        <v>0.23699999999999999</v>
      </c>
    </row>
    <row r="1003" spans="1:5">
      <c r="A1003" t="s">
        <v>572</v>
      </c>
      <c r="B1003" t="s">
        <v>640</v>
      </c>
      <c r="C1003" t="s">
        <v>146</v>
      </c>
      <c r="D1003" s="123">
        <v>1</v>
      </c>
      <c r="E1003" s="120">
        <v>6.5000000000000002E-2</v>
      </c>
    </row>
    <row r="1004" spans="1:5">
      <c r="A1004" t="s">
        <v>572</v>
      </c>
      <c r="B1004" t="s">
        <v>640</v>
      </c>
      <c r="C1004" t="s">
        <v>531</v>
      </c>
      <c r="D1004" s="123">
        <v>250</v>
      </c>
      <c r="E1004" s="120">
        <v>9</v>
      </c>
    </row>
    <row r="1005" spans="1:5">
      <c r="A1005" t="s">
        <v>572</v>
      </c>
      <c r="B1005" t="s">
        <v>371</v>
      </c>
      <c r="C1005" t="s">
        <v>371</v>
      </c>
      <c r="D1005" s="123"/>
      <c r="E1005" s="120"/>
    </row>
    <row r="1006" spans="1:5">
      <c r="A1006" t="s">
        <v>572</v>
      </c>
      <c r="B1006" t="s">
        <v>641</v>
      </c>
      <c r="C1006" t="s">
        <v>279</v>
      </c>
      <c r="D1006" s="123">
        <v>40</v>
      </c>
      <c r="E1006" s="120">
        <v>40</v>
      </c>
    </row>
    <row r="1007" spans="1:5">
      <c r="A1007" t="s">
        <v>572</v>
      </c>
      <c r="B1007" t="s">
        <v>641</v>
      </c>
      <c r="C1007" t="s">
        <v>149</v>
      </c>
      <c r="D1007" s="123">
        <v>35</v>
      </c>
      <c r="E1007" s="120">
        <v>4.55</v>
      </c>
    </row>
    <row r="1008" spans="1:5">
      <c r="A1008" t="s">
        <v>572</v>
      </c>
      <c r="B1008" t="s">
        <v>641</v>
      </c>
      <c r="C1008" t="s">
        <v>338</v>
      </c>
      <c r="D1008" s="123">
        <v>3</v>
      </c>
      <c r="E1008" s="120">
        <v>0.23699999999999999</v>
      </c>
    </row>
    <row r="1009" spans="1:5">
      <c r="A1009" t="s">
        <v>572</v>
      </c>
      <c r="B1009" t="s">
        <v>641</v>
      </c>
      <c r="C1009" t="s">
        <v>146</v>
      </c>
      <c r="D1009" s="123">
        <v>1</v>
      </c>
      <c r="E1009" s="120">
        <v>6.5000000000000002E-2</v>
      </c>
    </row>
    <row r="1010" spans="1:5">
      <c r="A1010" t="s">
        <v>572</v>
      </c>
      <c r="B1010" t="s">
        <v>641</v>
      </c>
      <c r="C1010" t="s">
        <v>531</v>
      </c>
      <c r="D1010" s="123">
        <v>250</v>
      </c>
      <c r="E1010" s="120">
        <v>9</v>
      </c>
    </row>
    <row r="1011" spans="1:5">
      <c r="A1011" t="s">
        <v>572</v>
      </c>
      <c r="B1011" t="s">
        <v>371</v>
      </c>
      <c r="C1011" t="s">
        <v>371</v>
      </c>
      <c r="D1011" s="123"/>
      <c r="E1011" s="120"/>
    </row>
    <row r="1012" spans="1:5">
      <c r="A1012" t="s">
        <v>572</v>
      </c>
      <c r="B1012" t="s">
        <v>642</v>
      </c>
      <c r="C1012" t="s">
        <v>279</v>
      </c>
      <c r="D1012" s="123">
        <v>40</v>
      </c>
      <c r="E1012" s="120">
        <v>40</v>
      </c>
    </row>
    <row r="1013" spans="1:5">
      <c r="A1013" t="s">
        <v>572</v>
      </c>
      <c r="B1013" t="s">
        <v>642</v>
      </c>
      <c r="C1013" t="s">
        <v>149</v>
      </c>
      <c r="D1013" s="123">
        <v>35</v>
      </c>
      <c r="E1013" s="120">
        <v>4.55</v>
      </c>
    </row>
    <row r="1014" spans="1:5">
      <c r="A1014" t="s">
        <v>572</v>
      </c>
      <c r="B1014" t="s">
        <v>642</v>
      </c>
      <c r="C1014" t="s">
        <v>338</v>
      </c>
      <c r="D1014" s="123">
        <v>3</v>
      </c>
      <c r="E1014" s="120">
        <v>0.23699999999999999</v>
      </c>
    </row>
    <row r="1015" spans="1:5">
      <c r="A1015" t="s">
        <v>572</v>
      </c>
      <c r="B1015" t="s">
        <v>642</v>
      </c>
      <c r="C1015" t="s">
        <v>146</v>
      </c>
      <c r="D1015" s="123">
        <v>1</v>
      </c>
      <c r="E1015" s="120">
        <v>6.5000000000000002E-2</v>
      </c>
    </row>
    <row r="1016" spans="1:5">
      <c r="A1016" t="s">
        <v>572</v>
      </c>
      <c r="B1016" t="s">
        <v>642</v>
      </c>
      <c r="C1016" t="s">
        <v>531</v>
      </c>
      <c r="D1016" s="123">
        <v>250</v>
      </c>
      <c r="E1016" s="120">
        <v>9</v>
      </c>
    </row>
    <row r="1017" spans="1:5">
      <c r="A1017" t="s">
        <v>572</v>
      </c>
      <c r="B1017" t="s">
        <v>371</v>
      </c>
      <c r="C1017" t="s">
        <v>371</v>
      </c>
      <c r="D1017" s="123"/>
      <c r="E1017" s="120"/>
    </row>
    <row r="1018" spans="1:5">
      <c r="A1018" t="s">
        <v>572</v>
      </c>
      <c r="B1018" t="s">
        <v>371</v>
      </c>
      <c r="C1018" t="s">
        <v>371</v>
      </c>
      <c r="D1018" s="123"/>
      <c r="E1018" s="120"/>
    </row>
    <row r="1019" spans="1:5">
      <c r="A1019" t="s">
        <v>572</v>
      </c>
      <c r="B1019" t="s">
        <v>643</v>
      </c>
      <c r="C1019" t="s">
        <v>517</v>
      </c>
      <c r="D1019" s="123">
        <v>1</v>
      </c>
      <c r="E1019" s="120">
        <v>40</v>
      </c>
    </row>
    <row r="1020" spans="1:5">
      <c r="A1020" t="s">
        <v>572</v>
      </c>
      <c r="B1020" t="s">
        <v>643</v>
      </c>
      <c r="C1020" t="s">
        <v>279</v>
      </c>
      <c r="D1020" s="123">
        <v>40</v>
      </c>
      <c r="E1020" s="120">
        <v>40</v>
      </c>
    </row>
    <row r="1021" spans="1:5">
      <c r="A1021" t="s">
        <v>572</v>
      </c>
      <c r="B1021" t="s">
        <v>643</v>
      </c>
      <c r="C1021" t="s">
        <v>149</v>
      </c>
      <c r="D1021" s="123">
        <v>35</v>
      </c>
      <c r="E1021" s="120">
        <v>4.55</v>
      </c>
    </row>
    <row r="1022" spans="1:5">
      <c r="A1022" t="s">
        <v>572</v>
      </c>
      <c r="B1022" t="s">
        <v>643</v>
      </c>
      <c r="C1022" t="s">
        <v>338</v>
      </c>
      <c r="D1022" s="123">
        <v>3</v>
      </c>
      <c r="E1022" s="120">
        <v>0.23699999999999999</v>
      </c>
    </row>
    <row r="1023" spans="1:5">
      <c r="A1023" t="s">
        <v>572</v>
      </c>
      <c r="B1023" t="s">
        <v>643</v>
      </c>
      <c r="C1023" t="s">
        <v>146</v>
      </c>
      <c r="D1023" s="123">
        <v>1</v>
      </c>
      <c r="E1023" s="120">
        <v>6.5000000000000002E-2</v>
      </c>
    </row>
    <row r="1024" spans="1:5">
      <c r="A1024" t="s">
        <v>572</v>
      </c>
      <c r="B1024" t="s">
        <v>371</v>
      </c>
      <c r="C1024" t="s">
        <v>371</v>
      </c>
      <c r="D1024" s="123"/>
      <c r="E1024" s="120"/>
    </row>
    <row r="1025" spans="1:5">
      <c r="A1025" t="s">
        <v>572</v>
      </c>
      <c r="B1025" t="s">
        <v>563</v>
      </c>
      <c r="C1025" t="s">
        <v>149</v>
      </c>
      <c r="D1025" s="123">
        <v>35</v>
      </c>
      <c r="E1025" s="120">
        <v>4.55</v>
      </c>
    </row>
    <row r="1026" spans="1:5">
      <c r="A1026" t="s">
        <v>572</v>
      </c>
      <c r="B1026" t="s">
        <v>563</v>
      </c>
      <c r="C1026" t="s">
        <v>338</v>
      </c>
      <c r="D1026" s="123">
        <v>3</v>
      </c>
      <c r="E1026" s="120">
        <v>0.23699999999999999</v>
      </c>
    </row>
    <row r="1027" spans="1:5">
      <c r="A1027" t="s">
        <v>572</v>
      </c>
      <c r="B1027" t="s">
        <v>563</v>
      </c>
      <c r="C1027" t="s">
        <v>146</v>
      </c>
      <c r="D1027" s="123">
        <v>1</v>
      </c>
      <c r="E1027" s="120">
        <v>6.5000000000000002E-2</v>
      </c>
    </row>
    <row r="1028" spans="1:5">
      <c r="A1028" t="s">
        <v>572</v>
      </c>
      <c r="B1028" t="s">
        <v>563</v>
      </c>
      <c r="C1028" t="s">
        <v>531</v>
      </c>
      <c r="D1028" s="123">
        <v>250</v>
      </c>
      <c r="E1028" s="120">
        <v>9</v>
      </c>
    </row>
    <row r="1029" spans="1:5">
      <c r="A1029" t="s">
        <v>572</v>
      </c>
      <c r="B1029" t="s">
        <v>371</v>
      </c>
      <c r="D1029" s="123"/>
      <c r="E1029" s="120"/>
    </row>
    <row r="1030" spans="1:5">
      <c r="A1030" t="s">
        <v>572</v>
      </c>
      <c r="B1030" t="s">
        <v>565</v>
      </c>
      <c r="C1030" t="s">
        <v>149</v>
      </c>
      <c r="D1030" s="123">
        <v>35</v>
      </c>
      <c r="E1030" s="120">
        <v>4.55</v>
      </c>
    </row>
    <row r="1031" spans="1:5">
      <c r="A1031" t="s">
        <v>572</v>
      </c>
      <c r="B1031" t="s">
        <v>565</v>
      </c>
      <c r="C1031" t="s">
        <v>338</v>
      </c>
      <c r="D1031" s="123">
        <v>3</v>
      </c>
      <c r="E1031" s="120">
        <v>0.23699999999999999</v>
      </c>
    </row>
    <row r="1032" spans="1:5">
      <c r="A1032" t="s">
        <v>572</v>
      </c>
      <c r="B1032" t="s">
        <v>565</v>
      </c>
      <c r="C1032" t="s">
        <v>146</v>
      </c>
      <c r="D1032" s="123">
        <v>1</v>
      </c>
      <c r="E1032" s="120">
        <v>6.5000000000000002E-2</v>
      </c>
    </row>
    <row r="1033" spans="1:5">
      <c r="A1033" t="s">
        <v>572</v>
      </c>
      <c r="B1033" t="s">
        <v>565</v>
      </c>
      <c r="C1033" t="s">
        <v>564</v>
      </c>
      <c r="D1033" s="123">
        <v>1</v>
      </c>
      <c r="E1033" s="120">
        <v>40</v>
      </c>
    </row>
    <row r="1034" spans="1:5">
      <c r="A1034" t="s">
        <v>572</v>
      </c>
      <c r="B1034" t="s">
        <v>371</v>
      </c>
      <c r="D1034" s="123"/>
      <c r="E1034" s="120"/>
    </row>
    <row r="1035" spans="1:5">
      <c r="A1035" t="s">
        <v>572</v>
      </c>
      <c r="B1035" t="s">
        <v>566</v>
      </c>
      <c r="C1035" t="s">
        <v>149</v>
      </c>
      <c r="D1035" s="123">
        <v>35</v>
      </c>
      <c r="E1035" s="120">
        <v>4.55</v>
      </c>
    </row>
    <row r="1036" spans="1:5">
      <c r="A1036" t="s">
        <v>572</v>
      </c>
      <c r="B1036" t="s">
        <v>566</v>
      </c>
      <c r="C1036" t="s">
        <v>101</v>
      </c>
      <c r="D1036" s="123"/>
      <c r="E1036" s="120">
        <v>10</v>
      </c>
    </row>
    <row r="1037" spans="1:5">
      <c r="A1037" t="s">
        <v>572</v>
      </c>
      <c r="B1037" t="s">
        <v>371</v>
      </c>
      <c r="D1037" s="123"/>
      <c r="E1037" s="120"/>
    </row>
    <row r="1038" spans="1:5">
      <c r="A1038" t="s">
        <v>572</v>
      </c>
      <c r="B1038" t="s">
        <v>644</v>
      </c>
      <c r="C1038" t="s">
        <v>422</v>
      </c>
      <c r="D1038" s="123">
        <v>200</v>
      </c>
      <c r="E1038" s="120">
        <v>14.000000000000002</v>
      </c>
    </row>
    <row r="1039" spans="1:5">
      <c r="A1039" t="s">
        <v>572</v>
      </c>
      <c r="B1039" t="s">
        <v>644</v>
      </c>
      <c r="C1039" t="s">
        <v>382</v>
      </c>
      <c r="D1039" s="123">
        <v>100</v>
      </c>
      <c r="E1039" s="120">
        <v>4</v>
      </c>
    </row>
    <row r="1040" spans="1:5">
      <c r="A1040" t="s">
        <v>572</v>
      </c>
      <c r="B1040" t="s">
        <v>644</v>
      </c>
      <c r="C1040" t="s">
        <v>555</v>
      </c>
      <c r="D1040" s="123" t="s">
        <v>313</v>
      </c>
      <c r="E1040" s="120">
        <v>0</v>
      </c>
    </row>
    <row r="1041" spans="1:5">
      <c r="A1041" t="s">
        <v>572</v>
      </c>
      <c r="B1041" t="s">
        <v>371</v>
      </c>
      <c r="C1041" t="s">
        <v>371</v>
      </c>
      <c r="D1041" s="123"/>
      <c r="E1041" s="120"/>
    </row>
    <row r="1042" spans="1:5">
      <c r="A1042" t="s">
        <v>572</v>
      </c>
      <c r="B1042" t="s">
        <v>646</v>
      </c>
      <c r="C1042" t="s">
        <v>500</v>
      </c>
      <c r="D1042" s="123">
        <v>0.25</v>
      </c>
      <c r="E1042" s="120">
        <v>0.02</v>
      </c>
    </row>
    <row r="1043" spans="1:5">
      <c r="A1043" t="s">
        <v>572</v>
      </c>
      <c r="B1043" t="s">
        <v>646</v>
      </c>
      <c r="C1043" t="s">
        <v>352</v>
      </c>
      <c r="D1043" s="123">
        <v>0.9</v>
      </c>
      <c r="E1043" s="120">
        <v>1.4400000000000002</v>
      </c>
    </row>
    <row r="1044" spans="1:5">
      <c r="A1044" t="s">
        <v>572</v>
      </c>
      <c r="B1044" t="s">
        <v>646</v>
      </c>
      <c r="C1044" t="s">
        <v>420</v>
      </c>
      <c r="D1044" s="123">
        <v>250</v>
      </c>
      <c r="E1044" s="120">
        <v>16.5</v>
      </c>
    </row>
    <row r="1045" spans="1:5">
      <c r="A1045" t="s">
        <v>572</v>
      </c>
      <c r="B1045" t="s">
        <v>646</v>
      </c>
      <c r="C1045" t="s">
        <v>411</v>
      </c>
      <c r="D1045" s="123">
        <v>2.5000000000000001E-2</v>
      </c>
      <c r="E1045" s="120">
        <v>2.625</v>
      </c>
    </row>
    <row r="1046" spans="1:5">
      <c r="A1046" t="s">
        <v>572</v>
      </c>
      <c r="B1046" t="s">
        <v>646</v>
      </c>
      <c r="C1046" t="s">
        <v>533</v>
      </c>
      <c r="D1046" s="123">
        <v>10</v>
      </c>
      <c r="E1046" s="120">
        <v>0</v>
      </c>
    </row>
    <row r="1047" spans="1:5">
      <c r="A1047" t="s">
        <v>572</v>
      </c>
      <c r="B1047" t="s">
        <v>646</v>
      </c>
      <c r="C1047" t="s">
        <v>103</v>
      </c>
      <c r="D1047" s="123">
        <v>10</v>
      </c>
      <c r="E1047" s="120">
        <v>18</v>
      </c>
    </row>
    <row r="1048" spans="1:5">
      <c r="A1048" t="s">
        <v>572</v>
      </c>
      <c r="B1048" t="s">
        <v>646</v>
      </c>
      <c r="C1048" t="s">
        <v>511</v>
      </c>
      <c r="D1048" s="123">
        <v>12.5</v>
      </c>
      <c r="E1048" s="120">
        <v>0.5</v>
      </c>
    </row>
    <row r="1049" spans="1:5">
      <c r="A1049" t="s">
        <v>572</v>
      </c>
      <c r="B1049" t="s">
        <v>371</v>
      </c>
      <c r="D1049" s="123"/>
      <c r="E1049" s="120"/>
    </row>
    <row r="1050" spans="1:5">
      <c r="A1050" t="s">
        <v>572</v>
      </c>
      <c r="B1050" t="s">
        <v>371</v>
      </c>
      <c r="D1050" s="123"/>
      <c r="E1050" s="120"/>
    </row>
    <row r="1051" spans="1:5">
      <c r="A1051" t="s">
        <v>64</v>
      </c>
      <c r="B1051" t="s">
        <v>119</v>
      </c>
      <c r="C1051" t="s">
        <v>538</v>
      </c>
      <c r="D1051" s="123">
        <v>125</v>
      </c>
      <c r="E1051" s="120">
        <v>6.7166666666666668</v>
      </c>
    </row>
    <row r="1052" spans="1:5">
      <c r="A1052" t="s">
        <v>64</v>
      </c>
      <c r="B1052" t="s">
        <v>119</v>
      </c>
      <c r="C1052" t="s">
        <v>546</v>
      </c>
      <c r="D1052" s="123">
        <v>43</v>
      </c>
      <c r="E1052" s="120">
        <v>11.54077</v>
      </c>
    </row>
    <row r="1053" spans="1:5">
      <c r="A1053" t="s">
        <v>64</v>
      </c>
      <c r="B1053" t="s">
        <v>119</v>
      </c>
      <c r="C1053" t="s">
        <v>120</v>
      </c>
      <c r="D1053" s="123">
        <v>53</v>
      </c>
      <c r="E1053" s="120">
        <v>1.4121623074166967</v>
      </c>
    </row>
    <row r="1054" spans="1:5">
      <c r="A1054" t="s">
        <v>64</v>
      </c>
      <c r="B1054" t="s">
        <v>119</v>
      </c>
      <c r="C1054" t="s">
        <v>539</v>
      </c>
      <c r="D1054" s="123">
        <v>165</v>
      </c>
      <c r="E1054" s="120">
        <v>7.593055555555555</v>
      </c>
    </row>
    <row r="1055" spans="1:5">
      <c r="A1055" t="s">
        <v>64</v>
      </c>
      <c r="B1055" t="s">
        <v>119</v>
      </c>
      <c r="C1055" t="s">
        <v>16</v>
      </c>
      <c r="D1055" s="123">
        <v>161</v>
      </c>
      <c r="E1055" s="120">
        <v>5.9096288461538462</v>
      </c>
    </row>
    <row r="1056" spans="1:5">
      <c r="B1056" t="s">
        <v>371</v>
      </c>
      <c r="C1056" t="s">
        <v>371</v>
      </c>
      <c r="D1056" s="123"/>
      <c r="E1056" s="120"/>
    </row>
    <row r="1057" spans="1:5">
      <c r="A1057" t="s">
        <v>64</v>
      </c>
      <c r="B1057" t="s">
        <v>65</v>
      </c>
      <c r="C1057" t="s">
        <v>16</v>
      </c>
      <c r="D1057" s="123">
        <v>161</v>
      </c>
      <c r="E1057" s="120">
        <v>5.9096288461538462</v>
      </c>
    </row>
    <row r="1058" spans="1:5">
      <c r="A1058" t="s">
        <v>64</v>
      </c>
      <c r="B1058" t="s">
        <v>65</v>
      </c>
      <c r="C1058" t="s">
        <v>538</v>
      </c>
      <c r="D1058" s="123">
        <v>125</v>
      </c>
      <c r="E1058" s="120">
        <v>6.7166666666666668</v>
      </c>
    </row>
    <row r="1059" spans="1:5">
      <c r="A1059" t="s">
        <v>64</v>
      </c>
      <c r="B1059" t="s">
        <v>65</v>
      </c>
      <c r="C1059" t="s">
        <v>323</v>
      </c>
      <c r="D1059" s="123">
        <v>4</v>
      </c>
      <c r="E1059" s="120">
        <v>0.14000000000000001</v>
      </c>
    </row>
    <row r="1060" spans="1:5">
      <c r="A1060" t="s">
        <v>64</v>
      </c>
      <c r="B1060" t="s">
        <v>65</v>
      </c>
      <c r="C1060" t="s">
        <v>17</v>
      </c>
      <c r="D1060" s="123">
        <v>100</v>
      </c>
      <c r="E1060" s="120">
        <v>27</v>
      </c>
    </row>
    <row r="1061" spans="1:5">
      <c r="A1061" t="s">
        <v>64</v>
      </c>
      <c r="B1061" t="s">
        <v>65</v>
      </c>
      <c r="C1061" t="s">
        <v>18</v>
      </c>
      <c r="D1061" s="123">
        <v>4</v>
      </c>
      <c r="E1061" s="120">
        <v>0.12</v>
      </c>
    </row>
    <row r="1062" spans="1:5">
      <c r="A1062" t="s">
        <v>64</v>
      </c>
      <c r="B1062" t="s">
        <v>65</v>
      </c>
      <c r="C1062" t="s">
        <v>19</v>
      </c>
      <c r="D1062" s="123">
        <v>40</v>
      </c>
      <c r="E1062" s="120">
        <v>0.64</v>
      </c>
    </row>
    <row r="1063" spans="1:5">
      <c r="A1063" t="s">
        <v>64</v>
      </c>
      <c r="B1063" t="s">
        <v>65</v>
      </c>
      <c r="C1063" t="s">
        <v>20</v>
      </c>
      <c r="D1063" s="123">
        <v>27</v>
      </c>
      <c r="E1063" s="120">
        <v>0.51300000000000001</v>
      </c>
    </row>
    <row r="1064" spans="1:5">
      <c r="A1064" t="s">
        <v>64</v>
      </c>
      <c r="B1064" t="s">
        <v>65</v>
      </c>
      <c r="C1064" t="s">
        <v>12</v>
      </c>
      <c r="D1064" s="123">
        <v>6</v>
      </c>
      <c r="E1064" s="120">
        <v>0.58200000000000007</v>
      </c>
    </row>
    <row r="1065" spans="1:5">
      <c r="A1065" t="s">
        <v>64</v>
      </c>
      <c r="B1065" t="s">
        <v>65</v>
      </c>
      <c r="C1065" t="s">
        <v>347</v>
      </c>
      <c r="D1065" s="123">
        <v>6</v>
      </c>
      <c r="E1065" s="120">
        <v>4.08</v>
      </c>
    </row>
    <row r="1066" spans="1:5">
      <c r="A1066" t="s">
        <v>64</v>
      </c>
      <c r="B1066" t="s">
        <v>65</v>
      </c>
      <c r="C1066" t="s">
        <v>336</v>
      </c>
      <c r="D1066" s="123">
        <v>3</v>
      </c>
      <c r="E1066" s="120">
        <v>0.79800000000000004</v>
      </c>
    </row>
    <row r="1067" spans="1:5">
      <c r="A1067" t="s">
        <v>64</v>
      </c>
      <c r="B1067" t="s">
        <v>65</v>
      </c>
      <c r="C1067" t="s">
        <v>381</v>
      </c>
      <c r="D1067" s="123">
        <v>23</v>
      </c>
      <c r="E1067" s="120">
        <v>4.37</v>
      </c>
    </row>
    <row r="1068" spans="1:5">
      <c r="A1068" t="s">
        <v>64</v>
      </c>
      <c r="B1068" t="s">
        <v>65</v>
      </c>
      <c r="C1068" t="s">
        <v>546</v>
      </c>
      <c r="D1068" s="123">
        <v>43</v>
      </c>
      <c r="E1068" s="120">
        <v>11.54077</v>
      </c>
    </row>
    <row r="1069" spans="1:5">
      <c r="A1069" t="s">
        <v>64</v>
      </c>
      <c r="B1069" t="s">
        <v>65</v>
      </c>
      <c r="C1069" t="s">
        <v>120</v>
      </c>
      <c r="D1069" s="123">
        <v>53</v>
      </c>
      <c r="E1069" s="120">
        <v>1.4121623074166967</v>
      </c>
    </row>
    <row r="1070" spans="1:5">
      <c r="B1070" t="s">
        <v>371</v>
      </c>
      <c r="C1070" t="s">
        <v>371</v>
      </c>
      <c r="D1070" s="123"/>
      <c r="E1070" s="120"/>
    </row>
    <row r="1071" spans="1:5">
      <c r="A1071" t="s">
        <v>64</v>
      </c>
      <c r="B1071" t="s">
        <v>66</v>
      </c>
      <c r="C1071" t="s">
        <v>538</v>
      </c>
      <c r="D1071" s="123">
        <v>125</v>
      </c>
      <c r="E1071" s="120">
        <v>6.7166666666666668</v>
      </c>
    </row>
    <row r="1072" spans="1:5">
      <c r="A1072" t="s">
        <v>64</v>
      </c>
      <c r="B1072" t="s">
        <v>66</v>
      </c>
      <c r="C1072" t="s">
        <v>546</v>
      </c>
      <c r="D1072" s="123">
        <v>43</v>
      </c>
      <c r="E1072" s="120">
        <v>11.54077</v>
      </c>
    </row>
    <row r="1073" spans="1:5">
      <c r="A1073" t="s">
        <v>64</v>
      </c>
      <c r="B1073" t="s">
        <v>66</v>
      </c>
      <c r="C1073" t="s">
        <v>16</v>
      </c>
      <c r="D1073" s="123">
        <v>161</v>
      </c>
      <c r="E1073" s="120">
        <v>5.9096288461538462</v>
      </c>
    </row>
    <row r="1074" spans="1:5">
      <c r="A1074" t="s">
        <v>64</v>
      </c>
      <c r="B1074" t="s">
        <v>66</v>
      </c>
      <c r="C1074" t="s">
        <v>120</v>
      </c>
      <c r="D1074" s="123">
        <v>53</v>
      </c>
      <c r="E1074" s="120">
        <v>1.4121623074166967</v>
      </c>
    </row>
    <row r="1075" spans="1:5">
      <c r="B1075" t="s">
        <v>371</v>
      </c>
      <c r="C1075" t="s">
        <v>371</v>
      </c>
      <c r="D1075" s="123"/>
      <c r="E1075" s="120"/>
    </row>
    <row r="1076" spans="1:5">
      <c r="A1076" t="s">
        <v>64</v>
      </c>
      <c r="B1076" t="s">
        <v>67</v>
      </c>
      <c r="C1076" t="s">
        <v>22</v>
      </c>
      <c r="D1076" s="123">
        <v>2</v>
      </c>
      <c r="E1076" s="120">
        <v>10.992136751979999</v>
      </c>
    </row>
    <row r="1077" spans="1:5">
      <c r="A1077" t="s">
        <v>64</v>
      </c>
      <c r="B1077" t="s">
        <v>67</v>
      </c>
      <c r="C1077" t="s">
        <v>546</v>
      </c>
      <c r="D1077" s="123">
        <v>43</v>
      </c>
      <c r="E1077" s="120">
        <v>11.54077</v>
      </c>
    </row>
    <row r="1078" spans="1:5">
      <c r="A1078" t="s">
        <v>64</v>
      </c>
      <c r="B1078" t="s">
        <v>67</v>
      </c>
      <c r="C1078" t="s">
        <v>120</v>
      </c>
      <c r="D1078" s="123">
        <v>53</v>
      </c>
      <c r="E1078" s="120">
        <v>1.4121623074166967</v>
      </c>
    </row>
    <row r="1079" spans="1:5">
      <c r="A1079" t="s">
        <v>64</v>
      </c>
      <c r="B1079" t="s">
        <v>67</v>
      </c>
      <c r="C1079" t="s">
        <v>16</v>
      </c>
      <c r="D1079" s="123">
        <v>161</v>
      </c>
      <c r="E1079" s="120">
        <v>5.9096288461538462</v>
      </c>
    </row>
    <row r="1080" spans="1:5">
      <c r="B1080" t="s">
        <v>371</v>
      </c>
      <c r="C1080" t="s">
        <v>371</v>
      </c>
      <c r="D1080" s="123"/>
      <c r="E1080" s="120"/>
    </row>
    <row r="1081" spans="1:5">
      <c r="A1081" t="s">
        <v>64</v>
      </c>
      <c r="B1081" t="s">
        <v>68</v>
      </c>
      <c r="C1081" t="s">
        <v>539</v>
      </c>
      <c r="D1081" s="123">
        <v>165</v>
      </c>
      <c r="E1081" s="120">
        <v>7.593055555555555</v>
      </c>
    </row>
    <row r="1082" spans="1:5">
      <c r="A1082" t="s">
        <v>64</v>
      </c>
      <c r="B1082" t="s">
        <v>68</v>
      </c>
      <c r="C1082" t="s">
        <v>540</v>
      </c>
      <c r="D1082" s="123">
        <v>102</v>
      </c>
      <c r="E1082" s="120">
        <v>6.1731794870195991</v>
      </c>
    </row>
    <row r="1083" spans="1:5">
      <c r="A1083" t="s">
        <v>64</v>
      </c>
      <c r="B1083" t="s">
        <v>68</v>
      </c>
      <c r="C1083" t="s">
        <v>538</v>
      </c>
      <c r="D1083" s="123">
        <v>125</v>
      </c>
      <c r="E1083" s="120">
        <v>6.7166666666666668</v>
      </c>
    </row>
    <row r="1084" spans="1:5">
      <c r="A1084" t="s">
        <v>64</v>
      </c>
      <c r="B1084" t="s">
        <v>68</v>
      </c>
      <c r="C1084" t="s">
        <v>546</v>
      </c>
      <c r="D1084" s="123">
        <v>43</v>
      </c>
      <c r="E1084" s="120">
        <v>11.54077</v>
      </c>
    </row>
    <row r="1085" spans="1:5">
      <c r="A1085" t="s">
        <v>64</v>
      </c>
      <c r="B1085" t="s">
        <v>68</v>
      </c>
      <c r="C1085" t="s">
        <v>16</v>
      </c>
      <c r="D1085" s="123">
        <v>161</v>
      </c>
      <c r="E1085" s="120">
        <v>5.9096288461538462</v>
      </c>
    </row>
    <row r="1086" spans="1:5">
      <c r="A1086" t="s">
        <v>64</v>
      </c>
      <c r="B1086" t="s">
        <v>68</v>
      </c>
      <c r="C1086" t="s">
        <v>120</v>
      </c>
      <c r="D1086" s="123">
        <v>53</v>
      </c>
      <c r="E1086" s="120">
        <v>1.4121623074166967</v>
      </c>
    </row>
    <row r="1087" spans="1:5">
      <c r="B1087" t="s">
        <v>371</v>
      </c>
      <c r="C1087" t="s">
        <v>371</v>
      </c>
      <c r="D1087" s="123"/>
      <c r="E1087" s="120"/>
    </row>
    <row r="1088" spans="1:5">
      <c r="A1088" t="s">
        <v>64</v>
      </c>
      <c r="B1088" t="s">
        <v>124</v>
      </c>
      <c r="C1088" t="s">
        <v>282</v>
      </c>
      <c r="D1088" s="123">
        <v>2</v>
      </c>
      <c r="E1088" s="120">
        <v>24.649777778189598</v>
      </c>
    </row>
    <row r="1089" spans="1:5">
      <c r="A1089" t="s">
        <v>64</v>
      </c>
      <c r="B1089" t="s">
        <v>124</v>
      </c>
      <c r="C1089" t="s">
        <v>546</v>
      </c>
      <c r="D1089" s="123">
        <v>43</v>
      </c>
      <c r="E1089" s="120">
        <v>11.54077</v>
      </c>
    </row>
    <row r="1090" spans="1:5">
      <c r="A1090" t="s">
        <v>64</v>
      </c>
      <c r="B1090" t="s">
        <v>124</v>
      </c>
      <c r="C1090" t="s">
        <v>16</v>
      </c>
      <c r="D1090" s="123">
        <v>161</v>
      </c>
      <c r="E1090" s="120">
        <v>5.9096288461538462</v>
      </c>
    </row>
    <row r="1091" spans="1:5">
      <c r="A1091" t="s">
        <v>64</v>
      </c>
      <c r="B1091" t="s">
        <v>124</v>
      </c>
      <c r="C1091" t="s">
        <v>120</v>
      </c>
      <c r="D1091" s="123">
        <v>53</v>
      </c>
      <c r="E1091" s="120">
        <v>1.4121623074166967</v>
      </c>
    </row>
    <row r="1092" spans="1:5">
      <c r="B1092" t="s">
        <v>371</v>
      </c>
      <c r="D1092" s="123"/>
      <c r="E1092" s="120"/>
    </row>
    <row r="1093" spans="1:5">
      <c r="A1093" t="s">
        <v>64</v>
      </c>
      <c r="B1093" t="s">
        <v>567</v>
      </c>
      <c r="C1093" t="s">
        <v>282</v>
      </c>
      <c r="D1093" s="123">
        <v>1</v>
      </c>
      <c r="E1093" s="120">
        <v>12.324888889094799</v>
      </c>
    </row>
    <row r="1094" spans="1:5">
      <c r="A1094" t="s">
        <v>64</v>
      </c>
      <c r="B1094" t="s">
        <v>567</v>
      </c>
      <c r="C1094" t="s">
        <v>546</v>
      </c>
      <c r="D1094" s="123">
        <v>43</v>
      </c>
      <c r="E1094" s="120">
        <v>11.54077</v>
      </c>
    </row>
    <row r="1095" spans="1:5">
      <c r="A1095" t="s">
        <v>64</v>
      </c>
      <c r="B1095" t="s">
        <v>567</v>
      </c>
      <c r="C1095" t="s">
        <v>16</v>
      </c>
      <c r="D1095" s="123">
        <v>161</v>
      </c>
      <c r="E1095" s="120">
        <v>5.9096288461538462</v>
      </c>
    </row>
    <row r="1096" spans="1:5">
      <c r="A1096" t="s">
        <v>64</v>
      </c>
      <c r="B1096" t="s">
        <v>567</v>
      </c>
      <c r="C1096" t="s">
        <v>120</v>
      </c>
      <c r="D1096" s="123">
        <v>53</v>
      </c>
      <c r="E1096" s="120">
        <v>1.4121623074166967</v>
      </c>
    </row>
    <row r="1097" spans="1:5">
      <c r="A1097" t="s">
        <v>64</v>
      </c>
      <c r="B1097" t="s">
        <v>567</v>
      </c>
      <c r="C1097" t="s">
        <v>22</v>
      </c>
      <c r="D1097" s="123">
        <v>1</v>
      </c>
      <c r="E1097" s="120">
        <v>5.4960683759899993</v>
      </c>
    </row>
    <row r="1098" spans="1:5">
      <c r="B1098" t="s">
        <v>371</v>
      </c>
      <c r="D1098" s="123"/>
      <c r="E1098" s="120"/>
    </row>
    <row r="1099" spans="1:5">
      <c r="A1099" t="s">
        <v>64</v>
      </c>
      <c r="B1099" t="s">
        <v>69</v>
      </c>
      <c r="C1099" t="s">
        <v>538</v>
      </c>
      <c r="D1099" s="123">
        <v>125</v>
      </c>
      <c r="E1099" s="120">
        <v>6.7166666666666668</v>
      </c>
    </row>
    <row r="1100" spans="1:5">
      <c r="A1100" t="s">
        <v>64</v>
      </c>
      <c r="B1100" t="s">
        <v>69</v>
      </c>
      <c r="C1100" t="s">
        <v>546</v>
      </c>
      <c r="D1100" s="123">
        <v>43</v>
      </c>
      <c r="E1100" s="120">
        <v>11.54077</v>
      </c>
    </row>
    <row r="1101" spans="1:5">
      <c r="A1101" t="s">
        <v>64</v>
      </c>
      <c r="B1101" t="s">
        <v>69</v>
      </c>
      <c r="C1101" t="s">
        <v>120</v>
      </c>
      <c r="D1101" s="123">
        <v>90</v>
      </c>
      <c r="E1101" s="120">
        <v>2.3980114654245792</v>
      </c>
    </row>
    <row r="1102" spans="1:5">
      <c r="A1102" t="s">
        <v>64</v>
      </c>
      <c r="B1102" t="s">
        <v>69</v>
      </c>
      <c r="C1102" t="s">
        <v>546</v>
      </c>
      <c r="D1102" s="123">
        <v>52</v>
      </c>
      <c r="E1102" s="120">
        <v>13.956280000000001</v>
      </c>
    </row>
    <row r="1103" spans="1:5">
      <c r="A1103" t="s">
        <v>64</v>
      </c>
      <c r="B1103" t="s">
        <v>69</v>
      </c>
      <c r="C1103" t="s">
        <v>120</v>
      </c>
      <c r="D1103" s="123">
        <v>36</v>
      </c>
      <c r="E1103" s="120">
        <v>0.95920458616983173</v>
      </c>
    </row>
    <row r="1104" spans="1:5">
      <c r="A1104" t="s">
        <v>64</v>
      </c>
      <c r="B1104" t="s">
        <v>69</v>
      </c>
      <c r="C1104" t="s">
        <v>16</v>
      </c>
      <c r="D1104" s="123">
        <v>161</v>
      </c>
      <c r="E1104" s="120">
        <v>5.9096288461538462</v>
      </c>
    </row>
    <row r="1105" spans="1:5">
      <c r="A1105" t="s">
        <v>64</v>
      </c>
      <c r="B1105" t="s">
        <v>69</v>
      </c>
      <c r="C1105" t="s">
        <v>539</v>
      </c>
      <c r="D1105" s="123">
        <v>165</v>
      </c>
      <c r="E1105" s="120">
        <v>7.593055555555555</v>
      </c>
    </row>
    <row r="1106" spans="1:5">
      <c r="B1106" t="s">
        <v>371</v>
      </c>
      <c r="C1106" t="s">
        <v>371</v>
      </c>
      <c r="D1106" s="123"/>
      <c r="E1106" s="120"/>
    </row>
    <row r="1107" spans="1:5">
      <c r="A1107" t="s">
        <v>64</v>
      </c>
      <c r="B1107" t="s">
        <v>70</v>
      </c>
      <c r="C1107" t="s">
        <v>17</v>
      </c>
      <c r="D1107" s="123">
        <v>14</v>
      </c>
      <c r="E1107" s="120">
        <v>3.7800000000000002</v>
      </c>
    </row>
    <row r="1108" spans="1:5">
      <c r="A1108" t="s">
        <v>64</v>
      </c>
      <c r="B1108" t="s">
        <v>70</v>
      </c>
      <c r="C1108" t="s">
        <v>538</v>
      </c>
      <c r="D1108" s="123">
        <v>136</v>
      </c>
      <c r="E1108" s="120">
        <v>7.3077333333333332</v>
      </c>
    </row>
    <row r="1109" spans="1:5">
      <c r="A1109" t="s">
        <v>64</v>
      </c>
      <c r="B1109" t="s">
        <v>70</v>
      </c>
      <c r="C1109" t="s">
        <v>34</v>
      </c>
      <c r="D1109" s="123">
        <v>6</v>
      </c>
      <c r="E1109" s="120">
        <v>0.54</v>
      </c>
    </row>
    <row r="1110" spans="1:5">
      <c r="A1110" t="s">
        <v>64</v>
      </c>
      <c r="B1110" t="s">
        <v>70</v>
      </c>
      <c r="C1110" t="s">
        <v>32</v>
      </c>
      <c r="D1110" s="123">
        <v>6</v>
      </c>
      <c r="E1110" s="120">
        <v>0.21000000000000002</v>
      </c>
    </row>
    <row r="1111" spans="1:5">
      <c r="A1111" t="s">
        <v>64</v>
      </c>
      <c r="B1111" t="s">
        <v>70</v>
      </c>
      <c r="C1111" t="s">
        <v>16</v>
      </c>
      <c r="D1111" s="123">
        <v>161</v>
      </c>
      <c r="E1111" s="120">
        <v>5.9096288461538462</v>
      </c>
    </row>
    <row r="1112" spans="1:5">
      <c r="A1112" t="s">
        <v>64</v>
      </c>
      <c r="B1112" t="s">
        <v>70</v>
      </c>
      <c r="C1112" t="s">
        <v>31</v>
      </c>
      <c r="D1112" s="123">
        <v>48</v>
      </c>
      <c r="E1112" s="120">
        <v>0.76800000000000002</v>
      </c>
    </row>
    <row r="1113" spans="1:5">
      <c r="A1113" t="s">
        <v>64</v>
      </c>
      <c r="B1113" t="s">
        <v>70</v>
      </c>
      <c r="C1113" t="s">
        <v>546</v>
      </c>
      <c r="D1113" s="123">
        <v>43</v>
      </c>
      <c r="E1113" s="120">
        <v>11.54077</v>
      </c>
    </row>
    <row r="1114" spans="1:5">
      <c r="A1114" t="s">
        <v>64</v>
      </c>
      <c r="B1114" t="s">
        <v>70</v>
      </c>
      <c r="C1114" t="s">
        <v>120</v>
      </c>
      <c r="D1114" s="123">
        <v>53</v>
      </c>
      <c r="E1114" s="120">
        <v>1.4121623074166967</v>
      </c>
    </row>
    <row r="1115" spans="1:5">
      <c r="D1115" s="123"/>
      <c r="E1115" s="120"/>
    </row>
    <row r="1116" spans="1:5">
      <c r="A1116" t="s">
        <v>64</v>
      </c>
      <c r="B1116" t="s">
        <v>109</v>
      </c>
      <c r="C1116" t="s">
        <v>20</v>
      </c>
      <c r="D1116" s="123">
        <v>80</v>
      </c>
      <c r="E1116" s="120">
        <v>1.52</v>
      </c>
    </row>
    <row r="1117" spans="1:5">
      <c r="A1117" t="s">
        <v>64</v>
      </c>
      <c r="B1117" t="s">
        <v>109</v>
      </c>
      <c r="C1117" t="s">
        <v>23</v>
      </c>
      <c r="D1117" s="123">
        <v>4</v>
      </c>
      <c r="E1117" s="120">
        <v>0.58399999999999996</v>
      </c>
    </row>
    <row r="1118" spans="1:5">
      <c r="A1118" t="s">
        <v>64</v>
      </c>
      <c r="B1118" t="s">
        <v>109</v>
      </c>
      <c r="C1118" t="s">
        <v>114</v>
      </c>
      <c r="D1118" s="123">
        <v>3</v>
      </c>
      <c r="E1118" s="120">
        <v>8.4000000000000005E-2</v>
      </c>
    </row>
    <row r="1119" spans="1:5">
      <c r="A1119" t="s">
        <v>64</v>
      </c>
      <c r="B1119" t="s">
        <v>109</v>
      </c>
      <c r="C1119" t="s">
        <v>12</v>
      </c>
      <c r="D1119" s="123">
        <v>3</v>
      </c>
      <c r="E1119" s="120">
        <v>0.29100000000000004</v>
      </c>
    </row>
    <row r="1120" spans="1:5">
      <c r="A1120" t="s">
        <v>64</v>
      </c>
      <c r="B1120" t="s">
        <v>109</v>
      </c>
      <c r="C1120" t="s">
        <v>347</v>
      </c>
      <c r="D1120" s="123">
        <v>3</v>
      </c>
      <c r="E1120" s="120">
        <v>2.04</v>
      </c>
    </row>
    <row r="1121" spans="1:5">
      <c r="A1121" t="s">
        <v>64</v>
      </c>
      <c r="B1121" t="s">
        <v>109</v>
      </c>
      <c r="C1121" t="s">
        <v>19</v>
      </c>
      <c r="D1121" s="123">
        <v>40</v>
      </c>
      <c r="E1121" s="120">
        <v>0.64</v>
      </c>
    </row>
    <row r="1122" spans="1:5">
      <c r="A1122" t="s">
        <v>64</v>
      </c>
      <c r="B1122" t="s">
        <v>109</v>
      </c>
      <c r="C1122" t="s">
        <v>538</v>
      </c>
      <c r="D1122" s="123">
        <v>160</v>
      </c>
      <c r="E1122" s="120">
        <v>8.5973333333333333</v>
      </c>
    </row>
    <row r="1123" spans="1:5">
      <c r="A1123" t="s">
        <v>64</v>
      </c>
      <c r="B1123" t="s">
        <v>109</v>
      </c>
      <c r="C1123" t="s">
        <v>546</v>
      </c>
      <c r="D1123" s="123">
        <v>43</v>
      </c>
      <c r="E1123" s="120">
        <v>11.54077</v>
      </c>
    </row>
    <row r="1124" spans="1:5">
      <c r="A1124" t="s">
        <v>64</v>
      </c>
      <c r="B1124" t="s">
        <v>109</v>
      </c>
      <c r="C1124" t="s">
        <v>120</v>
      </c>
      <c r="D1124" s="123">
        <v>53</v>
      </c>
      <c r="E1124" s="120">
        <v>1.4121623074166967</v>
      </c>
    </row>
    <row r="1125" spans="1:5">
      <c r="A1125" t="s">
        <v>64</v>
      </c>
      <c r="B1125" t="s">
        <v>109</v>
      </c>
      <c r="C1125" t="s">
        <v>16</v>
      </c>
      <c r="D1125" s="123">
        <v>161</v>
      </c>
      <c r="E1125" s="120">
        <v>5.9096288461538462</v>
      </c>
    </row>
    <row r="1126" spans="1:5">
      <c r="B1126" t="s">
        <v>371</v>
      </c>
      <c r="D1126" s="123"/>
      <c r="E1126" s="120"/>
    </row>
    <row r="1127" spans="1:5">
      <c r="A1127" t="s">
        <v>64</v>
      </c>
      <c r="B1127" t="s">
        <v>129</v>
      </c>
      <c r="C1127" t="s">
        <v>568</v>
      </c>
      <c r="D1127" s="123">
        <v>1</v>
      </c>
      <c r="E1127" s="120">
        <v>5.5636666666666663</v>
      </c>
    </row>
    <row r="1128" spans="1:5">
      <c r="A1128" t="s">
        <v>64</v>
      </c>
      <c r="B1128" t="s">
        <v>129</v>
      </c>
      <c r="C1128" t="s">
        <v>285</v>
      </c>
      <c r="D1128" s="123">
        <v>1</v>
      </c>
      <c r="E1128" s="120">
        <v>6.0542740740740744</v>
      </c>
    </row>
    <row r="1129" spans="1:5">
      <c r="A1129" t="s">
        <v>64</v>
      </c>
      <c r="B1129" t="s">
        <v>129</v>
      </c>
      <c r="C1129" t="s">
        <v>22</v>
      </c>
      <c r="D1129" s="123">
        <v>1</v>
      </c>
      <c r="E1129" s="120">
        <v>5.4960683759899993</v>
      </c>
    </row>
    <row r="1130" spans="1:5">
      <c r="A1130" t="s">
        <v>64</v>
      </c>
      <c r="B1130" t="s">
        <v>129</v>
      </c>
      <c r="C1130" t="s">
        <v>282</v>
      </c>
      <c r="D1130" s="123">
        <v>1</v>
      </c>
      <c r="E1130" s="120">
        <v>12.324888889094799</v>
      </c>
    </row>
    <row r="1131" spans="1:5">
      <c r="A1131" t="s">
        <v>64</v>
      </c>
      <c r="B1131" t="s">
        <v>129</v>
      </c>
      <c r="C1131" t="s">
        <v>16</v>
      </c>
      <c r="D1131" s="123">
        <v>175</v>
      </c>
      <c r="E1131" s="120">
        <v>6.4235096153846154</v>
      </c>
    </row>
    <row r="1132" spans="1:5">
      <c r="A1132" t="s">
        <v>64</v>
      </c>
      <c r="B1132" t="s">
        <v>129</v>
      </c>
      <c r="C1132" t="s">
        <v>546</v>
      </c>
      <c r="D1132" s="123">
        <v>53</v>
      </c>
      <c r="E1132" s="120">
        <v>14.224670000000001</v>
      </c>
    </row>
    <row r="1133" spans="1:5">
      <c r="A1133" t="s">
        <v>64</v>
      </c>
      <c r="B1133" t="s">
        <v>129</v>
      </c>
      <c r="C1133" t="s">
        <v>120</v>
      </c>
      <c r="D1133" s="123">
        <v>53</v>
      </c>
      <c r="E1133" s="120">
        <v>1.4121623074166967</v>
      </c>
    </row>
    <row r="1134" spans="1:5">
      <c r="A1134" t="s">
        <v>58</v>
      </c>
      <c r="B1134" t="s">
        <v>647</v>
      </c>
      <c r="C1134" t="s">
        <v>412</v>
      </c>
      <c r="D1134" s="123">
        <v>500</v>
      </c>
      <c r="E1134" s="120">
        <v>370</v>
      </c>
    </row>
    <row r="1135" spans="1:5">
      <c r="A1135" t="s">
        <v>58</v>
      </c>
      <c r="B1135" t="s">
        <v>647</v>
      </c>
      <c r="C1135" t="s">
        <v>383</v>
      </c>
      <c r="D1135" s="123">
        <v>150</v>
      </c>
      <c r="E1135" s="120">
        <v>10.500000000000002</v>
      </c>
    </row>
    <row r="1136" spans="1:5">
      <c r="A1136" t="s">
        <v>58</v>
      </c>
      <c r="B1136" t="s">
        <v>647</v>
      </c>
      <c r="C1136" t="s">
        <v>10</v>
      </c>
      <c r="D1136" s="123">
        <v>125</v>
      </c>
      <c r="E1136" s="120">
        <v>2.25</v>
      </c>
    </row>
    <row r="1137" spans="1:5">
      <c r="A1137" t="s">
        <v>58</v>
      </c>
      <c r="B1137" t="s">
        <v>647</v>
      </c>
      <c r="C1137" t="s">
        <v>533</v>
      </c>
      <c r="D1137" s="123">
        <v>50</v>
      </c>
      <c r="E1137" s="120">
        <v>0</v>
      </c>
    </row>
    <row r="1138" spans="1:5">
      <c r="A1138" t="s">
        <v>58</v>
      </c>
      <c r="B1138" t="s">
        <v>647</v>
      </c>
      <c r="C1138" t="s">
        <v>103</v>
      </c>
      <c r="D1138" s="123">
        <v>50</v>
      </c>
      <c r="E1138" s="120">
        <v>90</v>
      </c>
    </row>
    <row r="1139" spans="1:5">
      <c r="A1139" t="s">
        <v>58</v>
      </c>
      <c r="B1139" t="s">
        <v>647</v>
      </c>
      <c r="C1139" t="s">
        <v>341</v>
      </c>
      <c r="D1139" s="123">
        <v>100</v>
      </c>
      <c r="E1139" s="120">
        <v>38</v>
      </c>
    </row>
    <row r="1140" spans="1:5">
      <c r="A1140" t="s">
        <v>58</v>
      </c>
      <c r="B1140" t="s">
        <v>647</v>
      </c>
      <c r="C1140" t="s">
        <v>12</v>
      </c>
      <c r="D1140" s="123">
        <v>3</v>
      </c>
      <c r="E1140" s="120">
        <v>0.29100000000000004</v>
      </c>
    </row>
    <row r="1141" spans="1:5">
      <c r="A1141" t="s">
        <v>58</v>
      </c>
      <c r="B1141" t="s">
        <v>647</v>
      </c>
      <c r="C1141" t="s">
        <v>339</v>
      </c>
      <c r="D1141" s="123">
        <v>6</v>
      </c>
      <c r="E1141" s="120">
        <v>4.0200000000000005</v>
      </c>
    </row>
    <row r="1142" spans="1:5">
      <c r="A1142" t="s">
        <v>58</v>
      </c>
      <c r="B1142" t="s">
        <v>647</v>
      </c>
      <c r="C1142" t="s">
        <v>114</v>
      </c>
      <c r="D1142" s="123">
        <v>15</v>
      </c>
      <c r="E1142" s="120">
        <v>0.42</v>
      </c>
    </row>
    <row r="1143" spans="1:5">
      <c r="A1143" t="s">
        <v>58</v>
      </c>
      <c r="B1143" t="s">
        <v>647</v>
      </c>
      <c r="C1143" t="s">
        <v>338</v>
      </c>
      <c r="D1143" s="123">
        <v>10</v>
      </c>
      <c r="E1143" s="120">
        <v>0.79</v>
      </c>
    </row>
    <row r="1144" spans="1:5">
      <c r="A1144" t="s">
        <v>58</v>
      </c>
      <c r="B1144" t="s">
        <v>647</v>
      </c>
      <c r="C1144" t="s">
        <v>9</v>
      </c>
      <c r="D1144" s="123">
        <v>10</v>
      </c>
      <c r="E1144" s="120">
        <v>0</v>
      </c>
    </row>
    <row r="1145" spans="1:5">
      <c r="A1145" t="s">
        <v>58</v>
      </c>
      <c r="B1145" t="s">
        <v>647</v>
      </c>
      <c r="C1145" t="s">
        <v>380</v>
      </c>
      <c r="D1145" s="123">
        <v>100</v>
      </c>
      <c r="E1145" s="120">
        <v>53.333000000000006</v>
      </c>
    </row>
    <row r="1146" spans="1:5">
      <c r="B1146" t="s">
        <v>371</v>
      </c>
      <c r="C1146" t="s">
        <v>371</v>
      </c>
      <c r="D1146" s="123"/>
      <c r="E1146" s="120"/>
    </row>
    <row r="1147" spans="1:5">
      <c r="A1147" t="s">
        <v>58</v>
      </c>
      <c r="B1147" t="s">
        <v>648</v>
      </c>
      <c r="C1147" t="s">
        <v>412</v>
      </c>
      <c r="D1147" s="123">
        <v>769.23076920000005</v>
      </c>
      <c r="E1147" s="120">
        <v>569.23076920800008</v>
      </c>
    </row>
    <row r="1148" spans="1:5">
      <c r="A1148" t="s">
        <v>58</v>
      </c>
      <c r="B1148" t="s">
        <v>648</v>
      </c>
      <c r="C1148" t="s">
        <v>3</v>
      </c>
      <c r="D1148" s="123">
        <v>230.7692308</v>
      </c>
      <c r="E1148" s="120">
        <v>96.923076936000001</v>
      </c>
    </row>
    <row r="1149" spans="1:5">
      <c r="A1149" t="s">
        <v>58</v>
      </c>
      <c r="B1149" t="s">
        <v>648</v>
      </c>
      <c r="C1149" t="s">
        <v>380</v>
      </c>
      <c r="D1149" s="123">
        <v>153.8461538</v>
      </c>
      <c r="E1149" s="120">
        <v>82.050769206154015</v>
      </c>
    </row>
    <row r="1150" spans="1:5">
      <c r="B1150" t="s">
        <v>371</v>
      </c>
      <c r="C1150" t="s">
        <v>371</v>
      </c>
      <c r="D1150" s="123"/>
      <c r="E1150" s="120"/>
    </row>
    <row r="1151" spans="1:5">
      <c r="A1151" t="s">
        <v>58</v>
      </c>
      <c r="B1151" t="s">
        <v>649</v>
      </c>
      <c r="C1151" t="s">
        <v>533</v>
      </c>
      <c r="D1151" s="123">
        <v>909.09090909999998</v>
      </c>
      <c r="E1151" s="120">
        <v>0</v>
      </c>
    </row>
    <row r="1152" spans="1:5">
      <c r="A1152" t="s">
        <v>58</v>
      </c>
      <c r="B1152" t="s">
        <v>649</v>
      </c>
      <c r="C1152" t="s">
        <v>114</v>
      </c>
      <c r="D1152" s="123">
        <v>27.272727270000001</v>
      </c>
      <c r="E1152" s="120">
        <v>0.76363636356000009</v>
      </c>
    </row>
    <row r="1153" spans="1:5">
      <c r="A1153" t="s">
        <v>58</v>
      </c>
      <c r="B1153" t="s">
        <v>649</v>
      </c>
      <c r="C1153" t="s">
        <v>380</v>
      </c>
      <c r="D1153" s="123">
        <v>181.81818179999999</v>
      </c>
      <c r="E1153" s="120">
        <v>96.969090899394004</v>
      </c>
    </row>
    <row r="1154" spans="1:5">
      <c r="B1154" t="s">
        <v>371</v>
      </c>
      <c r="C1154" t="s">
        <v>371</v>
      </c>
      <c r="D1154" s="123"/>
      <c r="E1154" s="120"/>
    </row>
    <row r="1155" spans="1:5">
      <c r="A1155" t="s">
        <v>58</v>
      </c>
      <c r="B1155" t="s">
        <v>650</v>
      </c>
      <c r="C1155" t="s">
        <v>533</v>
      </c>
      <c r="D1155" s="123">
        <v>909.09090909999998</v>
      </c>
      <c r="E1155" s="120">
        <v>0</v>
      </c>
    </row>
    <row r="1156" spans="1:5">
      <c r="A1156" t="s">
        <v>58</v>
      </c>
      <c r="B1156" t="s">
        <v>650</v>
      </c>
      <c r="C1156" t="s">
        <v>3</v>
      </c>
      <c r="D1156" s="123">
        <v>27.272727270000001</v>
      </c>
      <c r="E1156" s="120">
        <v>11.4545454534</v>
      </c>
    </row>
    <row r="1157" spans="1:5">
      <c r="A1157" t="s">
        <v>58</v>
      </c>
      <c r="B1157" t="s">
        <v>650</v>
      </c>
      <c r="C1157" t="s">
        <v>380</v>
      </c>
      <c r="D1157" s="123">
        <v>181.81818179999999</v>
      </c>
      <c r="E1157" s="120">
        <v>96.969090899394004</v>
      </c>
    </row>
    <row r="1158" spans="1:5">
      <c r="B1158" t="s">
        <v>371</v>
      </c>
      <c r="C1158" t="s">
        <v>371</v>
      </c>
      <c r="D1158" s="123"/>
      <c r="E1158" s="120"/>
    </row>
    <row r="1159" spans="1:5">
      <c r="A1159" t="s">
        <v>58</v>
      </c>
      <c r="B1159" t="s">
        <v>651</v>
      </c>
      <c r="C1159" t="s">
        <v>412</v>
      </c>
      <c r="D1159" s="123">
        <v>909.09090909999998</v>
      </c>
      <c r="E1159" s="120">
        <v>672.72727273399994</v>
      </c>
    </row>
    <row r="1160" spans="1:5">
      <c r="A1160" t="s">
        <v>58</v>
      </c>
      <c r="B1160" t="s">
        <v>651</v>
      </c>
      <c r="C1160" t="s">
        <v>114</v>
      </c>
      <c r="D1160" s="123">
        <v>27.272727270000001</v>
      </c>
      <c r="E1160" s="120">
        <v>0.76363636356000009</v>
      </c>
    </row>
    <row r="1161" spans="1:5">
      <c r="A1161" t="s">
        <v>58</v>
      </c>
      <c r="B1161" t="s">
        <v>651</v>
      </c>
      <c r="C1161" t="s">
        <v>380</v>
      </c>
      <c r="D1161" s="123">
        <v>181.81818179999999</v>
      </c>
      <c r="E1161" s="120">
        <v>96.969090899394004</v>
      </c>
    </row>
    <row r="1162" spans="1:5">
      <c r="B1162" t="s">
        <v>371</v>
      </c>
      <c r="C1162" t="s">
        <v>371</v>
      </c>
      <c r="D1162" s="123"/>
      <c r="E1162" s="120"/>
    </row>
    <row r="1163" spans="1:5">
      <c r="A1163" t="s">
        <v>58</v>
      </c>
      <c r="B1163" t="s">
        <v>652</v>
      </c>
      <c r="C1163" t="s">
        <v>393</v>
      </c>
      <c r="D1163" s="123">
        <v>200</v>
      </c>
      <c r="E1163" s="120">
        <v>20</v>
      </c>
    </row>
    <row r="1164" spans="1:5">
      <c r="A1164" t="s">
        <v>58</v>
      </c>
      <c r="B1164" t="s">
        <v>652</v>
      </c>
      <c r="C1164" t="s">
        <v>383</v>
      </c>
      <c r="D1164" s="123">
        <v>200</v>
      </c>
      <c r="E1164" s="120">
        <v>14.000000000000002</v>
      </c>
    </row>
    <row r="1165" spans="1:5">
      <c r="A1165" t="s">
        <v>58</v>
      </c>
      <c r="B1165" t="s">
        <v>652</v>
      </c>
      <c r="C1165" t="s">
        <v>11</v>
      </c>
      <c r="D1165" s="123">
        <v>200</v>
      </c>
      <c r="E1165" s="120">
        <v>142</v>
      </c>
    </row>
    <row r="1166" spans="1:5">
      <c r="A1166" t="s">
        <v>58</v>
      </c>
      <c r="B1166" t="s">
        <v>652</v>
      </c>
      <c r="C1166" t="s">
        <v>414</v>
      </c>
      <c r="D1166" s="123">
        <v>200</v>
      </c>
      <c r="E1166" s="120">
        <v>102</v>
      </c>
    </row>
    <row r="1167" spans="1:5">
      <c r="A1167" t="s">
        <v>58</v>
      </c>
      <c r="B1167" t="s">
        <v>652</v>
      </c>
      <c r="C1167" t="s">
        <v>340</v>
      </c>
      <c r="D1167" s="123">
        <v>1</v>
      </c>
      <c r="E1167" s="120">
        <v>5</v>
      </c>
    </row>
    <row r="1168" spans="1:5">
      <c r="A1168" t="s">
        <v>58</v>
      </c>
      <c r="B1168" t="s">
        <v>652</v>
      </c>
      <c r="C1168" t="s">
        <v>534</v>
      </c>
      <c r="D1168" s="123">
        <v>0.4</v>
      </c>
      <c r="E1168" s="120">
        <v>0.32000000000000006</v>
      </c>
    </row>
    <row r="1169" spans="1:5">
      <c r="A1169" t="s">
        <v>58</v>
      </c>
      <c r="B1169" t="s">
        <v>652</v>
      </c>
      <c r="C1169" t="s">
        <v>12</v>
      </c>
      <c r="D1169" s="123">
        <v>20</v>
      </c>
      <c r="E1169" s="120">
        <v>1.94</v>
      </c>
    </row>
    <row r="1170" spans="1:5">
      <c r="A1170" t="s">
        <v>58</v>
      </c>
      <c r="B1170" t="s">
        <v>652</v>
      </c>
      <c r="C1170" t="s">
        <v>3</v>
      </c>
      <c r="D1170" s="123">
        <v>40</v>
      </c>
      <c r="E1170" s="120">
        <v>16.8</v>
      </c>
    </row>
    <row r="1171" spans="1:5">
      <c r="A1171" t="s">
        <v>58</v>
      </c>
      <c r="B1171" t="s">
        <v>652</v>
      </c>
      <c r="C1171" t="s">
        <v>341</v>
      </c>
      <c r="D1171" s="123">
        <v>10</v>
      </c>
      <c r="E1171" s="120">
        <v>3.8</v>
      </c>
    </row>
    <row r="1172" spans="1:5">
      <c r="A1172" t="s">
        <v>58</v>
      </c>
      <c r="B1172" t="s">
        <v>652</v>
      </c>
      <c r="C1172" t="s">
        <v>114</v>
      </c>
      <c r="D1172" s="123">
        <v>4</v>
      </c>
      <c r="E1172" s="120">
        <v>0.112</v>
      </c>
    </row>
    <row r="1173" spans="1:5">
      <c r="A1173" t="s">
        <v>58</v>
      </c>
      <c r="B1173" t="s">
        <v>652</v>
      </c>
      <c r="C1173" t="s">
        <v>338</v>
      </c>
      <c r="D1173" s="123">
        <v>4</v>
      </c>
      <c r="E1173" s="120">
        <v>0.316</v>
      </c>
    </row>
    <row r="1174" spans="1:5">
      <c r="A1174" t="s">
        <v>58</v>
      </c>
      <c r="B1174" t="s">
        <v>652</v>
      </c>
      <c r="C1174" t="s">
        <v>380</v>
      </c>
      <c r="D1174" s="123">
        <v>160</v>
      </c>
      <c r="E1174" s="120">
        <v>85.33280000000002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A80C-C18A-4455-8570-AFCE22A0C9FB}">
  <dimension ref="A1:F142"/>
  <sheetViews>
    <sheetView topLeftCell="A28" workbookViewId="0">
      <selection activeCell="B41" sqref="B41"/>
    </sheetView>
  </sheetViews>
  <sheetFormatPr defaultRowHeight="12.75"/>
  <cols>
    <col min="1" max="1" width="29.85546875" bestFit="1" customWidth="1"/>
    <col min="2" max="2" width="18.42578125" bestFit="1" customWidth="1"/>
    <col min="3" max="3" width="11.85546875" bestFit="1" customWidth="1"/>
  </cols>
  <sheetData>
    <row r="1" spans="1:6">
      <c r="A1" s="246" t="s">
        <v>126</v>
      </c>
      <c r="B1" s="247" t="s">
        <v>302</v>
      </c>
      <c r="C1" s="247" t="s">
        <v>303</v>
      </c>
      <c r="D1" s="248" t="s">
        <v>128</v>
      </c>
      <c r="F1" s="251" t="s">
        <v>214</v>
      </c>
    </row>
    <row r="2" spans="1:6" ht="15">
      <c r="A2" s="238" t="s">
        <v>55</v>
      </c>
      <c r="B2" s="225" t="s">
        <v>214</v>
      </c>
      <c r="C2" s="226">
        <v>5</v>
      </c>
      <c r="D2" s="229">
        <v>0</v>
      </c>
      <c r="F2" s="3" t="s">
        <v>533</v>
      </c>
    </row>
    <row r="3" spans="1:6" ht="15">
      <c r="A3" s="232" t="s">
        <v>661</v>
      </c>
      <c r="B3" s="221" t="s">
        <v>214</v>
      </c>
      <c r="C3" s="222">
        <v>35.714285714285715</v>
      </c>
      <c r="D3" s="227">
        <v>0</v>
      </c>
      <c r="F3" s="212" t="s">
        <v>355</v>
      </c>
    </row>
    <row r="4" spans="1:6">
      <c r="A4" s="243" t="s">
        <v>42</v>
      </c>
      <c r="B4" s="240" t="s">
        <v>214</v>
      </c>
      <c r="C4" s="244">
        <v>0.5</v>
      </c>
      <c r="D4" s="241">
        <v>0</v>
      </c>
      <c r="F4" s="253" t="s">
        <v>356</v>
      </c>
    </row>
    <row r="5" spans="1:6">
      <c r="A5" s="217" t="s">
        <v>646</v>
      </c>
      <c r="B5" s="212" t="s">
        <v>533</v>
      </c>
      <c r="C5" s="218">
        <v>10</v>
      </c>
      <c r="D5" s="219">
        <v>0</v>
      </c>
      <c r="F5" s="221" t="s">
        <v>276</v>
      </c>
    </row>
    <row r="6" spans="1:6">
      <c r="A6" s="214" t="s">
        <v>647</v>
      </c>
      <c r="B6" s="213" t="s">
        <v>533</v>
      </c>
      <c r="C6" s="215">
        <v>50</v>
      </c>
      <c r="D6" s="216">
        <v>0</v>
      </c>
      <c r="F6" s="251" t="s">
        <v>562</v>
      </c>
    </row>
    <row r="7" spans="1:6">
      <c r="A7" s="214" t="s">
        <v>649</v>
      </c>
      <c r="B7" s="213" t="s">
        <v>533</v>
      </c>
      <c r="C7" s="215">
        <v>909.09090909999998</v>
      </c>
      <c r="D7" s="216">
        <v>0</v>
      </c>
      <c r="F7" s="253" t="s">
        <v>518</v>
      </c>
    </row>
    <row r="8" spans="1:6">
      <c r="A8" s="217" t="s">
        <v>650</v>
      </c>
      <c r="B8" s="212" t="s">
        <v>533</v>
      </c>
      <c r="C8" s="218">
        <v>909.09090909999998</v>
      </c>
      <c r="D8" s="219">
        <v>0</v>
      </c>
      <c r="F8" s="251" t="s">
        <v>218</v>
      </c>
    </row>
    <row r="9" spans="1:6">
      <c r="A9" s="217" t="s">
        <v>105</v>
      </c>
      <c r="B9" s="212" t="s">
        <v>355</v>
      </c>
      <c r="C9" s="218">
        <v>2.4390243902439025E-2</v>
      </c>
      <c r="D9" s="219">
        <v>3.9024390243902443E-3</v>
      </c>
      <c r="F9" s="213" t="s">
        <v>553</v>
      </c>
    </row>
    <row r="10" spans="1:6">
      <c r="A10" s="214" t="s">
        <v>105</v>
      </c>
      <c r="B10" s="213" t="s">
        <v>356</v>
      </c>
      <c r="C10" s="215">
        <v>4.0650406504065036E-3</v>
      </c>
      <c r="D10" s="216">
        <v>5.2845528455284553E-4</v>
      </c>
      <c r="F10" s="221" t="s">
        <v>669</v>
      </c>
    </row>
    <row r="11" spans="1:6">
      <c r="A11" s="217" t="s">
        <v>106</v>
      </c>
      <c r="B11" s="212" t="s">
        <v>356</v>
      </c>
      <c r="C11" s="218">
        <v>4.807692307692308E-3</v>
      </c>
      <c r="D11" s="219">
        <v>6.2500000000000001E-4</v>
      </c>
      <c r="F11" s="251" t="s">
        <v>277</v>
      </c>
    </row>
    <row r="12" spans="1:6">
      <c r="A12" s="214" t="s">
        <v>107</v>
      </c>
      <c r="B12" s="213" t="s">
        <v>356</v>
      </c>
      <c r="C12" s="215">
        <v>5.6910569105691053E-3</v>
      </c>
      <c r="D12" s="216">
        <v>7.3983739837398367E-4</v>
      </c>
      <c r="F12" s="251" t="s">
        <v>671</v>
      </c>
    </row>
    <row r="13" spans="1:6">
      <c r="A13" s="220" t="s">
        <v>287</v>
      </c>
      <c r="B13" s="221" t="s">
        <v>276</v>
      </c>
      <c r="C13" s="230">
        <v>24.271844660194173</v>
      </c>
      <c r="D13" s="227">
        <v>0</v>
      </c>
      <c r="F13" s="221" t="s">
        <v>541</v>
      </c>
    </row>
    <row r="14" spans="1:6">
      <c r="A14" s="220" t="s">
        <v>561</v>
      </c>
      <c r="B14" s="221" t="s">
        <v>562</v>
      </c>
      <c r="C14" s="230">
        <v>27</v>
      </c>
      <c r="D14" s="227">
        <v>0</v>
      </c>
      <c r="F14" s="1" t="s">
        <v>535</v>
      </c>
    </row>
    <row r="15" spans="1:6">
      <c r="A15" s="214" t="s">
        <v>618</v>
      </c>
      <c r="B15" s="213" t="s">
        <v>518</v>
      </c>
      <c r="C15" s="215">
        <v>80</v>
      </c>
      <c r="D15" s="216">
        <v>0</v>
      </c>
      <c r="F15" s="1" t="s">
        <v>547</v>
      </c>
    </row>
    <row r="16" spans="1:6">
      <c r="A16" s="214" t="s">
        <v>87</v>
      </c>
      <c r="B16" s="213" t="s">
        <v>518</v>
      </c>
      <c r="C16" s="215">
        <v>80</v>
      </c>
      <c r="D16" s="216">
        <v>0</v>
      </c>
      <c r="F16" s="251" t="s">
        <v>522</v>
      </c>
    </row>
    <row r="17" spans="1:6">
      <c r="A17" s="217" t="s">
        <v>619</v>
      </c>
      <c r="B17" s="212" t="s">
        <v>518</v>
      </c>
      <c r="C17" s="218">
        <v>10</v>
      </c>
      <c r="D17" s="219">
        <v>0</v>
      </c>
      <c r="F17" s="253" t="s">
        <v>58</v>
      </c>
    </row>
    <row r="18" spans="1:6">
      <c r="A18" s="217" t="s">
        <v>620</v>
      </c>
      <c r="B18" s="212" t="s">
        <v>518</v>
      </c>
      <c r="C18" s="218">
        <v>20</v>
      </c>
      <c r="D18" s="219">
        <v>0</v>
      </c>
      <c r="F18" s="251" t="s">
        <v>525</v>
      </c>
    </row>
    <row r="19" spans="1:6">
      <c r="A19" s="214" t="s">
        <v>620</v>
      </c>
      <c r="B19" s="213" t="s">
        <v>518</v>
      </c>
      <c r="C19" s="215">
        <v>10</v>
      </c>
      <c r="D19" s="216">
        <v>0</v>
      </c>
      <c r="F19" s="3" t="s">
        <v>6</v>
      </c>
    </row>
    <row r="20" spans="1:6">
      <c r="A20" s="214" t="s">
        <v>622</v>
      </c>
      <c r="B20" s="213" t="s">
        <v>518</v>
      </c>
      <c r="C20" s="215">
        <v>20</v>
      </c>
      <c r="D20" s="216">
        <v>0</v>
      </c>
      <c r="F20" s="225" t="s">
        <v>527</v>
      </c>
    </row>
    <row r="21" spans="1:6" ht="25.5">
      <c r="A21" s="220" t="s">
        <v>281</v>
      </c>
      <c r="B21" s="221" t="s">
        <v>518</v>
      </c>
      <c r="C21" s="222">
        <v>1</v>
      </c>
      <c r="D21" s="227">
        <v>0</v>
      </c>
      <c r="F21" s="250" t="s">
        <v>662</v>
      </c>
    </row>
    <row r="22" spans="1:6">
      <c r="A22" s="220" t="s">
        <v>15</v>
      </c>
      <c r="B22" s="221" t="s">
        <v>218</v>
      </c>
      <c r="C22" s="222">
        <v>0.53744177714080976</v>
      </c>
      <c r="D22" s="227">
        <v>0</v>
      </c>
      <c r="F22" s="221" t="s">
        <v>679</v>
      </c>
    </row>
    <row r="23" spans="1:6">
      <c r="A23" s="224" t="s">
        <v>46</v>
      </c>
      <c r="B23" s="225" t="s">
        <v>674</v>
      </c>
      <c r="C23" s="231"/>
      <c r="D23" s="229">
        <v>0</v>
      </c>
      <c r="F23" s="251" t="s">
        <v>670</v>
      </c>
    </row>
    <row r="24" spans="1:6">
      <c r="A24" s="224" t="s">
        <v>45</v>
      </c>
      <c r="B24" s="225" t="s">
        <v>674</v>
      </c>
      <c r="C24" s="228"/>
      <c r="D24" s="229">
        <v>0</v>
      </c>
      <c r="F24" s="251" t="s">
        <v>7</v>
      </c>
    </row>
    <row r="25" spans="1:6">
      <c r="A25" s="224" t="s">
        <v>298</v>
      </c>
      <c r="B25" s="225" t="s">
        <v>674</v>
      </c>
      <c r="C25" s="231"/>
      <c r="D25" s="229">
        <v>0</v>
      </c>
    </row>
    <row r="26" spans="1:6">
      <c r="A26" s="220" t="s">
        <v>42</v>
      </c>
      <c r="B26" s="221" t="s">
        <v>674</v>
      </c>
      <c r="C26" s="231"/>
      <c r="D26" s="242">
        <v>0</v>
      </c>
    </row>
    <row r="27" spans="1:6">
      <c r="A27" s="214" t="s">
        <v>88</v>
      </c>
      <c r="B27" s="213" t="s">
        <v>553</v>
      </c>
      <c r="C27" s="215">
        <v>270</v>
      </c>
      <c r="D27" s="216">
        <v>0</v>
      </c>
    </row>
    <row r="28" spans="1:6">
      <c r="A28" s="220" t="s">
        <v>16</v>
      </c>
      <c r="B28" s="221" t="s">
        <v>669</v>
      </c>
      <c r="C28" s="222">
        <v>19.23076923076923</v>
      </c>
      <c r="D28" s="227">
        <v>0</v>
      </c>
    </row>
    <row r="29" spans="1:6">
      <c r="A29" s="217" t="s">
        <v>612</v>
      </c>
      <c r="B29" s="212" t="s">
        <v>558</v>
      </c>
      <c r="C29" s="218">
        <v>20</v>
      </c>
      <c r="D29" s="219">
        <v>0</v>
      </c>
      <c r="F29" s="252"/>
    </row>
    <row r="30" spans="1:6">
      <c r="A30" s="220" t="s">
        <v>21</v>
      </c>
      <c r="B30" s="221" t="s">
        <v>277</v>
      </c>
      <c r="C30" s="222">
        <v>50</v>
      </c>
      <c r="D30" s="227">
        <v>0</v>
      </c>
    </row>
    <row r="31" spans="1:6">
      <c r="A31" s="224" t="s">
        <v>1</v>
      </c>
      <c r="B31" s="225" t="s">
        <v>277</v>
      </c>
      <c r="C31" s="226">
        <v>20.576131687242796</v>
      </c>
      <c r="D31" s="229">
        <v>0</v>
      </c>
    </row>
    <row r="32" spans="1:6" ht="12.6" customHeight="1">
      <c r="A32" s="238" t="s">
        <v>293</v>
      </c>
      <c r="B32" s="225" t="s">
        <v>671</v>
      </c>
      <c r="C32" s="239">
        <v>2</v>
      </c>
      <c r="D32" s="229">
        <v>0</v>
      </c>
    </row>
    <row r="33" spans="1:6" ht="12.6" customHeight="1">
      <c r="A33" s="238" t="s">
        <v>55</v>
      </c>
      <c r="B33" s="225" t="s">
        <v>671</v>
      </c>
      <c r="C33" s="226">
        <v>5</v>
      </c>
      <c r="D33" s="229">
        <v>0</v>
      </c>
    </row>
    <row r="34" spans="1:6">
      <c r="A34" s="224" t="s">
        <v>51</v>
      </c>
      <c r="B34" s="225" t="s">
        <v>675</v>
      </c>
      <c r="C34" s="228"/>
      <c r="D34" s="229">
        <v>0</v>
      </c>
      <c r="F34" s="252"/>
    </row>
    <row r="35" spans="1:6">
      <c r="A35" s="220" t="s">
        <v>288</v>
      </c>
      <c r="B35" s="221" t="s">
        <v>675</v>
      </c>
      <c r="C35" s="228"/>
      <c r="D35" s="227">
        <v>0</v>
      </c>
    </row>
    <row r="36" spans="1:6" ht="12.6" customHeight="1">
      <c r="A36" s="232" t="s">
        <v>293</v>
      </c>
      <c r="B36" s="221" t="s">
        <v>675</v>
      </c>
      <c r="C36" s="237"/>
      <c r="D36" s="227">
        <v>0</v>
      </c>
    </row>
    <row r="37" spans="1:6" ht="12.6" customHeight="1">
      <c r="A37" s="232" t="s">
        <v>55</v>
      </c>
      <c r="B37" s="221" t="s">
        <v>675</v>
      </c>
      <c r="C37" s="228"/>
      <c r="D37" s="227">
        <v>0</v>
      </c>
    </row>
    <row r="38" spans="1:6">
      <c r="A38" s="245" t="s">
        <v>676</v>
      </c>
      <c r="B38" s="221" t="s">
        <v>675</v>
      </c>
      <c r="C38" s="231"/>
      <c r="D38" s="242">
        <v>0</v>
      </c>
    </row>
    <row r="39" spans="1:6">
      <c r="A39" s="214" t="s">
        <v>644</v>
      </c>
      <c r="B39" s="213" t="s">
        <v>555</v>
      </c>
      <c r="C39" s="215" t="s">
        <v>313</v>
      </c>
      <c r="D39" s="216">
        <v>0</v>
      </c>
      <c r="F39" s="251"/>
    </row>
    <row r="40" spans="1:6">
      <c r="A40" s="224" t="s">
        <v>16</v>
      </c>
      <c r="B40" s="225" t="s">
        <v>541</v>
      </c>
      <c r="C40" s="226">
        <v>19.23076923076923</v>
      </c>
      <c r="D40" s="229">
        <v>0</v>
      </c>
    </row>
    <row r="41" spans="1:6">
      <c r="A41" s="224" t="s">
        <v>15</v>
      </c>
      <c r="B41" s="225" t="s">
        <v>535</v>
      </c>
      <c r="C41" s="226">
        <v>17.914725904693661</v>
      </c>
      <c r="D41" s="229">
        <v>0</v>
      </c>
    </row>
    <row r="42" spans="1:6">
      <c r="A42" s="217" t="s">
        <v>72</v>
      </c>
      <c r="B42" s="212" t="s">
        <v>547</v>
      </c>
      <c r="C42" s="218">
        <v>3.7</v>
      </c>
      <c r="D42" s="219">
        <v>0</v>
      </c>
    </row>
    <row r="43" spans="1:6">
      <c r="A43" s="217" t="s">
        <v>73</v>
      </c>
      <c r="B43" s="212" t="s">
        <v>547</v>
      </c>
      <c r="C43" s="218">
        <v>3.7</v>
      </c>
      <c r="D43" s="219">
        <v>0</v>
      </c>
    </row>
    <row r="44" spans="1:6">
      <c r="A44" s="217" t="s">
        <v>74</v>
      </c>
      <c r="B44" s="212" t="s">
        <v>547</v>
      </c>
      <c r="C44" s="218">
        <v>3.7</v>
      </c>
      <c r="D44" s="219">
        <v>0</v>
      </c>
    </row>
    <row r="45" spans="1:6">
      <c r="A45" s="217" t="s">
        <v>75</v>
      </c>
      <c r="B45" s="212" t="s">
        <v>547</v>
      </c>
      <c r="C45" s="218">
        <v>3.7</v>
      </c>
      <c r="D45" s="219">
        <v>0</v>
      </c>
    </row>
    <row r="46" spans="1:6">
      <c r="A46" s="217" t="s">
        <v>76</v>
      </c>
      <c r="B46" s="212" t="s">
        <v>547</v>
      </c>
      <c r="C46" s="218">
        <v>3.7</v>
      </c>
      <c r="D46" s="219">
        <v>0</v>
      </c>
    </row>
    <row r="47" spans="1:6">
      <c r="A47" s="217" t="s">
        <v>77</v>
      </c>
      <c r="B47" s="212" t="s">
        <v>547</v>
      </c>
      <c r="C47" s="218">
        <v>3.7</v>
      </c>
      <c r="D47" s="219">
        <v>0</v>
      </c>
    </row>
    <row r="48" spans="1:6">
      <c r="A48" s="214" t="s">
        <v>78</v>
      </c>
      <c r="B48" s="213" t="s">
        <v>547</v>
      </c>
      <c r="C48" s="215">
        <v>3.7</v>
      </c>
      <c r="D48" s="216">
        <v>0</v>
      </c>
    </row>
    <row r="49" spans="1:6" ht="14.45" customHeight="1">
      <c r="A49" s="214" t="s">
        <v>79</v>
      </c>
      <c r="B49" s="213" t="s">
        <v>547</v>
      </c>
      <c r="C49" s="215">
        <v>3.7</v>
      </c>
      <c r="D49" s="216">
        <v>0</v>
      </c>
    </row>
    <row r="50" spans="1:6" ht="14.45" customHeight="1">
      <c r="A50" s="214" t="s">
        <v>80</v>
      </c>
      <c r="B50" s="213" t="s">
        <v>547</v>
      </c>
      <c r="C50" s="215">
        <v>3.7</v>
      </c>
      <c r="D50" s="216">
        <v>0</v>
      </c>
    </row>
    <row r="51" spans="1:6">
      <c r="A51" s="214" t="s">
        <v>81</v>
      </c>
      <c r="B51" s="213" t="s">
        <v>547</v>
      </c>
      <c r="C51" s="215">
        <v>3.7</v>
      </c>
      <c r="D51" s="216">
        <v>0</v>
      </c>
    </row>
    <row r="52" spans="1:6">
      <c r="A52" s="224" t="s">
        <v>72</v>
      </c>
      <c r="B52" s="225" t="s">
        <v>547</v>
      </c>
      <c r="C52" s="226">
        <v>3.7</v>
      </c>
      <c r="D52" s="229">
        <v>0</v>
      </c>
    </row>
    <row r="53" spans="1:6">
      <c r="A53" s="224" t="s">
        <v>73</v>
      </c>
      <c r="B53" s="225" t="s">
        <v>547</v>
      </c>
      <c r="C53" s="226">
        <v>8.8800000000000008</v>
      </c>
      <c r="D53" s="229">
        <v>0</v>
      </c>
    </row>
    <row r="54" spans="1:6">
      <c r="A54" s="224" t="s">
        <v>74</v>
      </c>
      <c r="B54" s="225" t="s">
        <v>547</v>
      </c>
      <c r="C54" s="226">
        <v>8.8800000000000008</v>
      </c>
      <c r="D54" s="229">
        <v>0</v>
      </c>
    </row>
    <row r="55" spans="1:6">
      <c r="A55" s="224" t="s">
        <v>76</v>
      </c>
      <c r="B55" s="225" t="s">
        <v>547</v>
      </c>
      <c r="C55" s="226">
        <v>7.585</v>
      </c>
      <c r="D55" s="229">
        <v>0</v>
      </c>
    </row>
    <row r="56" spans="1:6">
      <c r="A56" s="220" t="s">
        <v>660</v>
      </c>
      <c r="B56" s="221" t="s">
        <v>522</v>
      </c>
      <c r="C56" s="213">
        <v>850</v>
      </c>
      <c r="D56" s="242">
        <v>0</v>
      </c>
    </row>
    <row r="57" spans="1:6">
      <c r="A57" s="224" t="s">
        <v>283</v>
      </c>
      <c r="B57" s="225" t="s">
        <v>436</v>
      </c>
      <c r="C57" s="226">
        <v>26.709401710000002</v>
      </c>
      <c r="D57" s="229">
        <v>0</v>
      </c>
    </row>
    <row r="58" spans="1:6">
      <c r="A58" s="220" t="s">
        <v>284</v>
      </c>
      <c r="B58" s="221" t="s">
        <v>537</v>
      </c>
      <c r="C58" s="222">
        <v>31</v>
      </c>
      <c r="D58" s="227">
        <v>0</v>
      </c>
    </row>
    <row r="59" spans="1:6" ht="14.45" customHeight="1">
      <c r="A59" s="214" t="s">
        <v>98</v>
      </c>
      <c r="B59" s="213" t="s">
        <v>58</v>
      </c>
      <c r="C59" s="215">
        <v>31</v>
      </c>
      <c r="D59" s="216">
        <v>0</v>
      </c>
    </row>
    <row r="60" spans="1:6">
      <c r="A60" s="217" t="s">
        <v>99</v>
      </c>
      <c r="B60" s="212" t="s">
        <v>58</v>
      </c>
      <c r="C60" s="218">
        <v>68</v>
      </c>
      <c r="D60" s="219">
        <v>0</v>
      </c>
      <c r="F60" s="252"/>
    </row>
    <row r="61" spans="1:6">
      <c r="A61" s="220" t="s">
        <v>13</v>
      </c>
      <c r="B61" s="221" t="s">
        <v>525</v>
      </c>
      <c r="C61" s="222">
        <v>22.222222222222221</v>
      </c>
      <c r="D61" s="227">
        <v>0</v>
      </c>
    </row>
    <row r="62" spans="1:6">
      <c r="A62" s="214" t="s">
        <v>614</v>
      </c>
      <c r="B62" s="213" t="s">
        <v>6</v>
      </c>
      <c r="C62" s="215">
        <v>20</v>
      </c>
      <c r="D62" s="216">
        <v>0</v>
      </c>
      <c r="F62" s="252"/>
    </row>
    <row r="63" spans="1:6">
      <c r="A63" s="217" t="s">
        <v>615</v>
      </c>
      <c r="B63" s="212" t="s">
        <v>6</v>
      </c>
      <c r="C63" s="218">
        <v>20</v>
      </c>
      <c r="D63" s="219">
        <v>0</v>
      </c>
    </row>
    <row r="64" spans="1:6" ht="14.45" customHeight="1">
      <c r="A64" s="214" t="s">
        <v>616</v>
      </c>
      <c r="B64" s="213" t="s">
        <v>6</v>
      </c>
      <c r="C64" s="215">
        <v>20</v>
      </c>
      <c r="D64" s="216">
        <v>0</v>
      </c>
      <c r="F64" s="252"/>
    </row>
    <row r="65" spans="1:6" ht="14.45" customHeight="1">
      <c r="A65" s="217" t="s">
        <v>95</v>
      </c>
      <c r="B65" s="212" t="s">
        <v>6</v>
      </c>
      <c r="C65" s="218">
        <v>20</v>
      </c>
      <c r="D65" s="219">
        <v>0</v>
      </c>
    </row>
    <row r="66" spans="1:6">
      <c r="A66" s="217" t="s">
        <v>78</v>
      </c>
      <c r="B66" s="212" t="s">
        <v>6</v>
      </c>
      <c r="C66" s="218">
        <v>10</v>
      </c>
      <c r="D66" s="219">
        <v>0</v>
      </c>
    </row>
    <row r="67" spans="1:6">
      <c r="A67" s="220" t="s">
        <v>283</v>
      </c>
      <c r="B67" s="221" t="s">
        <v>536</v>
      </c>
      <c r="C67" s="222">
        <v>320.51282049999998</v>
      </c>
      <c r="D67" s="227">
        <v>0</v>
      </c>
    </row>
    <row r="68" spans="1:6" ht="14.45" customHeight="1">
      <c r="A68" s="224" t="s">
        <v>15</v>
      </c>
      <c r="B68" s="225" t="s">
        <v>527</v>
      </c>
      <c r="C68" s="226">
        <v>1.9706198495163021</v>
      </c>
      <c r="D68" s="229">
        <v>0</v>
      </c>
    </row>
    <row r="69" spans="1:6" ht="14.45" customHeight="1">
      <c r="A69" s="224" t="s">
        <v>21</v>
      </c>
      <c r="B69" s="225" t="s">
        <v>527</v>
      </c>
      <c r="C69" s="226">
        <v>11</v>
      </c>
      <c r="D69" s="229">
        <v>0</v>
      </c>
    </row>
    <row r="70" spans="1:6" ht="12.6" customHeight="1">
      <c r="A70" s="232" t="s">
        <v>294</v>
      </c>
      <c r="B70" s="221" t="s">
        <v>215</v>
      </c>
      <c r="C70" s="234">
        <v>3.7439161360000002</v>
      </c>
      <c r="D70" s="227">
        <v>0</v>
      </c>
    </row>
    <row r="71" spans="1:6" ht="12.6" customHeight="1">
      <c r="A71" s="238" t="s">
        <v>661</v>
      </c>
      <c r="B71" s="240" t="s">
        <v>662</v>
      </c>
      <c r="C71" s="226">
        <v>35.714285714285715</v>
      </c>
      <c r="D71" s="229">
        <v>0</v>
      </c>
    </row>
    <row r="72" spans="1:6">
      <c r="A72" s="217" t="s">
        <v>82</v>
      </c>
      <c r="B72" s="212" t="s">
        <v>670</v>
      </c>
      <c r="C72" s="218">
        <v>10</v>
      </c>
      <c r="D72" s="219">
        <v>0</v>
      </c>
      <c r="F72" s="252"/>
    </row>
    <row r="73" spans="1:6">
      <c r="A73" s="214" t="s">
        <v>83</v>
      </c>
      <c r="B73" s="213" t="s">
        <v>670</v>
      </c>
      <c r="C73" s="215">
        <v>10</v>
      </c>
      <c r="D73" s="216">
        <v>0</v>
      </c>
      <c r="F73" s="252"/>
    </row>
    <row r="74" spans="1:6">
      <c r="A74" s="217" t="s">
        <v>84</v>
      </c>
      <c r="B74" s="212" t="s">
        <v>670</v>
      </c>
      <c r="C74" s="218">
        <v>10</v>
      </c>
      <c r="D74" s="219">
        <v>0</v>
      </c>
    </row>
    <row r="75" spans="1:6">
      <c r="A75" s="217" t="s">
        <v>85</v>
      </c>
      <c r="B75" s="212" t="s">
        <v>670</v>
      </c>
      <c r="C75" s="218">
        <v>10</v>
      </c>
      <c r="D75" s="219">
        <v>0</v>
      </c>
    </row>
    <row r="76" spans="1:6">
      <c r="A76" s="217" t="s">
        <v>86</v>
      </c>
      <c r="B76" s="212" t="s">
        <v>670</v>
      </c>
      <c r="C76" s="218">
        <v>10</v>
      </c>
      <c r="D76" s="219">
        <v>0</v>
      </c>
    </row>
    <row r="77" spans="1:6">
      <c r="A77" s="217" t="s">
        <v>618</v>
      </c>
      <c r="B77" s="212" t="s">
        <v>670</v>
      </c>
      <c r="C77" s="218">
        <v>8</v>
      </c>
      <c r="D77" s="219">
        <v>0</v>
      </c>
    </row>
    <row r="78" spans="1:6">
      <c r="A78" s="217" t="s">
        <v>87</v>
      </c>
      <c r="B78" s="212" t="s">
        <v>670</v>
      </c>
      <c r="C78" s="218">
        <v>8</v>
      </c>
      <c r="D78" s="219">
        <v>0</v>
      </c>
    </row>
    <row r="79" spans="1:6">
      <c r="A79" s="217" t="s">
        <v>621</v>
      </c>
      <c r="B79" s="212" t="s">
        <v>670</v>
      </c>
      <c r="C79" s="218">
        <v>9</v>
      </c>
      <c r="D79" s="219">
        <v>0</v>
      </c>
    </row>
    <row r="80" spans="1:6">
      <c r="A80" s="217" t="s">
        <v>83</v>
      </c>
      <c r="B80" s="212" t="s">
        <v>670</v>
      </c>
      <c r="C80" s="218">
        <v>10</v>
      </c>
      <c r="D80" s="219">
        <v>0</v>
      </c>
    </row>
    <row r="81" spans="1:6">
      <c r="A81" s="214" t="s">
        <v>550</v>
      </c>
      <c r="B81" s="213" t="s">
        <v>670</v>
      </c>
      <c r="C81" s="215">
        <v>3</v>
      </c>
      <c r="D81" s="216">
        <v>0</v>
      </c>
    </row>
    <row r="82" spans="1:6">
      <c r="A82" s="217" t="s">
        <v>623</v>
      </c>
      <c r="B82" s="212" t="s">
        <v>670</v>
      </c>
      <c r="C82" s="218">
        <v>2</v>
      </c>
      <c r="D82" s="219">
        <v>0</v>
      </c>
    </row>
    <row r="83" spans="1:6">
      <c r="A83" s="214" t="s">
        <v>624</v>
      </c>
      <c r="B83" s="213" t="s">
        <v>670</v>
      </c>
      <c r="C83" s="215">
        <v>6.8</v>
      </c>
      <c r="D83" s="216">
        <v>0</v>
      </c>
    </row>
    <row r="84" spans="1:6">
      <c r="A84" s="217" t="s">
        <v>625</v>
      </c>
      <c r="B84" s="212" t="s">
        <v>670</v>
      </c>
      <c r="C84" s="218">
        <v>3</v>
      </c>
      <c r="D84" s="219">
        <v>0</v>
      </c>
    </row>
    <row r="85" spans="1:6">
      <c r="A85" s="214" t="s">
        <v>626</v>
      </c>
      <c r="B85" s="213" t="s">
        <v>670</v>
      </c>
      <c r="C85" s="215">
        <v>6.8</v>
      </c>
      <c r="D85" s="216">
        <v>0</v>
      </c>
      <c r="F85" s="252"/>
    </row>
    <row r="86" spans="1:6">
      <c r="A86" s="217" t="s">
        <v>628</v>
      </c>
      <c r="B86" s="212" t="s">
        <v>670</v>
      </c>
      <c r="C86" s="218">
        <v>3</v>
      </c>
      <c r="D86" s="219">
        <v>0</v>
      </c>
    </row>
    <row r="87" spans="1:6">
      <c r="A87" s="214" t="s">
        <v>630</v>
      </c>
      <c r="B87" s="213" t="s">
        <v>670</v>
      </c>
      <c r="C87" s="215">
        <v>2</v>
      </c>
      <c r="D87" s="216">
        <v>0</v>
      </c>
    </row>
    <row r="88" spans="1:6">
      <c r="A88" s="217" t="s">
        <v>631</v>
      </c>
      <c r="B88" s="212" t="s">
        <v>670</v>
      </c>
      <c r="C88" s="218">
        <v>6.8</v>
      </c>
      <c r="D88" s="219">
        <v>0</v>
      </c>
      <c r="F88" s="252"/>
    </row>
    <row r="89" spans="1:6">
      <c r="A89" s="220" t="s">
        <v>121</v>
      </c>
      <c r="B89" s="221" t="s">
        <v>670</v>
      </c>
      <c r="C89" s="222">
        <v>37.037037037037038</v>
      </c>
      <c r="D89" s="223">
        <v>0</v>
      </c>
    </row>
    <row r="90" spans="1:6">
      <c r="A90" s="224" t="s">
        <v>30</v>
      </c>
      <c r="B90" s="225" t="s">
        <v>670</v>
      </c>
      <c r="C90" s="226">
        <v>136.36363636363637</v>
      </c>
      <c r="D90" s="223">
        <v>0</v>
      </c>
    </row>
    <row r="91" spans="1:6">
      <c r="A91" s="224" t="s">
        <v>282</v>
      </c>
      <c r="B91" s="225" t="s">
        <v>670</v>
      </c>
      <c r="C91" s="228"/>
      <c r="D91" s="229">
        <v>0</v>
      </c>
      <c r="F91" s="252"/>
    </row>
    <row r="92" spans="1:6">
      <c r="A92" s="224" t="s">
        <v>38</v>
      </c>
      <c r="B92" s="225" t="s">
        <v>670</v>
      </c>
      <c r="C92" s="226">
        <v>275</v>
      </c>
      <c r="D92" s="223">
        <v>0</v>
      </c>
    </row>
    <row r="93" spans="1:6">
      <c r="A93" s="220" t="s">
        <v>110</v>
      </c>
      <c r="B93" s="221" t="s">
        <v>670</v>
      </c>
      <c r="C93" s="221">
        <v>3</v>
      </c>
      <c r="D93" s="242">
        <v>0</v>
      </c>
      <c r="F93" s="252"/>
    </row>
    <row r="94" spans="1:6">
      <c r="A94" s="217" t="s">
        <v>618</v>
      </c>
      <c r="B94" s="212" t="s">
        <v>672</v>
      </c>
      <c r="C94" s="218"/>
      <c r="D94" s="219">
        <v>0</v>
      </c>
    </row>
    <row r="95" spans="1:6">
      <c r="A95" s="217" t="s">
        <v>87</v>
      </c>
      <c r="B95" s="212" t="s">
        <v>672</v>
      </c>
      <c r="C95" s="218"/>
      <c r="D95" s="219">
        <v>0</v>
      </c>
      <c r="F95" s="252"/>
    </row>
    <row r="96" spans="1:6">
      <c r="A96" s="214" t="s">
        <v>116</v>
      </c>
      <c r="B96" s="213" t="s">
        <v>672</v>
      </c>
      <c r="C96" s="215"/>
      <c r="D96" s="216">
        <v>0</v>
      </c>
    </row>
    <row r="97" spans="1:6">
      <c r="A97" s="217" t="s">
        <v>88</v>
      </c>
      <c r="B97" s="212" t="s">
        <v>672</v>
      </c>
      <c r="C97" s="218"/>
      <c r="D97" s="219">
        <v>0</v>
      </c>
    </row>
    <row r="98" spans="1:6">
      <c r="A98" s="214" t="s">
        <v>619</v>
      </c>
      <c r="B98" s="213" t="s">
        <v>672</v>
      </c>
      <c r="C98" s="215"/>
      <c r="D98" s="216">
        <v>0</v>
      </c>
    </row>
    <row r="99" spans="1:6">
      <c r="A99" s="217" t="s">
        <v>620</v>
      </c>
      <c r="B99" s="212" t="s">
        <v>672</v>
      </c>
      <c r="C99" s="218"/>
      <c r="D99" s="219">
        <v>0</v>
      </c>
    </row>
    <row r="100" spans="1:6">
      <c r="A100" s="214" t="s">
        <v>621</v>
      </c>
      <c r="B100" s="213" t="s">
        <v>672</v>
      </c>
      <c r="C100" s="215"/>
      <c r="D100" s="216">
        <v>0</v>
      </c>
    </row>
    <row r="101" spans="1:6">
      <c r="A101" s="217" t="s">
        <v>622</v>
      </c>
      <c r="B101" s="212" t="s">
        <v>672</v>
      </c>
      <c r="C101" s="218"/>
      <c r="D101" s="219">
        <v>0</v>
      </c>
    </row>
    <row r="102" spans="1:6" ht="12.6" customHeight="1">
      <c r="A102" s="232" t="s">
        <v>296</v>
      </c>
      <c r="B102" s="221" t="s">
        <v>7</v>
      </c>
      <c r="C102" s="222">
        <v>1.25E-3</v>
      </c>
      <c r="D102" s="227">
        <v>0</v>
      </c>
    </row>
    <row r="103" spans="1:6">
      <c r="A103" s="214"/>
      <c r="B103" s="213"/>
      <c r="C103" s="215"/>
      <c r="D103" s="216"/>
    </row>
    <row r="104" spans="1:6">
      <c r="A104" s="214"/>
      <c r="B104" s="213"/>
      <c r="C104" s="215"/>
      <c r="D104" s="216"/>
    </row>
    <row r="105" spans="1:6">
      <c r="A105" s="214"/>
      <c r="B105" s="213"/>
      <c r="C105" s="215"/>
      <c r="D105" s="216"/>
      <c r="F105" s="252"/>
    </row>
    <row r="106" spans="1:6">
      <c r="A106" s="214"/>
      <c r="B106" s="213"/>
      <c r="C106" s="215"/>
      <c r="D106" s="216"/>
    </row>
    <row r="107" spans="1:6" ht="14.45" customHeight="1">
      <c r="A107" s="217"/>
      <c r="B107" s="212"/>
      <c r="C107" s="218"/>
      <c r="D107" s="219"/>
      <c r="F107" s="252"/>
    </row>
    <row r="108" spans="1:6" ht="26.1" customHeight="1">
      <c r="A108" s="214"/>
      <c r="B108" s="213"/>
      <c r="C108" s="215"/>
      <c r="D108" s="216"/>
      <c r="F108" s="252"/>
    </row>
    <row r="109" spans="1:6">
      <c r="A109" s="220"/>
      <c r="B109" s="221"/>
      <c r="C109" s="222"/>
      <c r="D109" s="227"/>
    </row>
    <row r="110" spans="1:6">
      <c r="A110" s="214"/>
      <c r="B110" s="213"/>
      <c r="C110" s="215"/>
      <c r="D110" s="216"/>
    </row>
    <row r="111" spans="1:6">
      <c r="A111" s="217"/>
      <c r="B111" s="212"/>
      <c r="C111" s="218"/>
      <c r="D111" s="219"/>
    </row>
    <row r="112" spans="1:6">
      <c r="A112" s="214"/>
      <c r="B112" s="213"/>
      <c r="C112" s="215"/>
      <c r="D112" s="216"/>
    </row>
    <row r="113" spans="1:4">
      <c r="A113" s="214"/>
      <c r="B113" s="213"/>
      <c r="C113" s="215"/>
      <c r="D113" s="216"/>
    </row>
    <row r="114" spans="1:4">
      <c r="A114" s="214"/>
      <c r="B114" s="213"/>
      <c r="C114" s="215"/>
      <c r="D114" s="216"/>
    </row>
    <row r="115" spans="1:4">
      <c r="A115" s="214"/>
      <c r="B115" s="213"/>
      <c r="C115" s="215"/>
      <c r="D115" s="216"/>
    </row>
    <row r="116" spans="1:4">
      <c r="A116" s="214"/>
      <c r="B116" s="213"/>
      <c r="C116" s="215"/>
      <c r="D116" s="216"/>
    </row>
    <row r="117" spans="1:4">
      <c r="A117" s="214"/>
      <c r="B117" s="213"/>
      <c r="C117" s="215"/>
      <c r="D117" s="216"/>
    </row>
    <row r="118" spans="1:4">
      <c r="A118" s="214"/>
      <c r="B118" s="213"/>
      <c r="C118" s="215"/>
      <c r="D118" s="216"/>
    </row>
    <row r="119" spans="1:4">
      <c r="A119" s="217"/>
      <c r="B119" s="212"/>
      <c r="C119" s="218"/>
      <c r="D119" s="219"/>
    </row>
    <row r="120" spans="1:4">
      <c r="A120" s="217"/>
      <c r="B120" s="212"/>
      <c r="C120" s="218"/>
      <c r="D120" s="219"/>
    </row>
    <row r="121" spans="1:4">
      <c r="A121" s="217"/>
      <c r="B121" s="212"/>
      <c r="C121" s="218"/>
      <c r="D121" s="219"/>
    </row>
    <row r="122" spans="1:4">
      <c r="A122" s="217"/>
      <c r="B122" s="212"/>
      <c r="C122" s="218"/>
      <c r="D122" s="219"/>
    </row>
    <row r="123" spans="1:4">
      <c r="A123" s="217"/>
      <c r="B123" s="212"/>
      <c r="C123" s="218"/>
      <c r="D123" s="219"/>
    </row>
    <row r="124" spans="1:4" ht="12.6" customHeight="1">
      <c r="A124" s="232"/>
      <c r="B124" s="233"/>
      <c r="C124" s="234"/>
      <c r="D124" s="227"/>
    </row>
    <row r="125" spans="1:4" ht="12.6" customHeight="1">
      <c r="A125" s="224"/>
      <c r="B125" s="235"/>
      <c r="C125" s="236"/>
      <c r="D125" s="229"/>
    </row>
    <row r="126" spans="1:4">
      <c r="A126" s="220"/>
      <c r="B126" s="221"/>
      <c r="C126" s="222"/>
      <c r="D126" s="227"/>
    </row>
    <row r="127" spans="1:4">
      <c r="A127" s="220"/>
      <c r="B127" s="221"/>
      <c r="C127" s="222"/>
      <c r="D127" s="227"/>
    </row>
    <row r="128" spans="1:4">
      <c r="A128" s="220"/>
      <c r="B128" s="221"/>
      <c r="C128" s="222"/>
      <c r="D128" s="227"/>
    </row>
    <row r="129" spans="1:6">
      <c r="A129" s="220"/>
      <c r="B129" s="221"/>
      <c r="C129" s="222"/>
      <c r="D129" s="227"/>
    </row>
    <row r="130" spans="1:6">
      <c r="A130" s="224"/>
      <c r="B130" s="225"/>
      <c r="C130" s="225"/>
      <c r="D130" s="241"/>
      <c r="F130" s="252"/>
    </row>
    <row r="131" spans="1:6">
      <c r="A131" s="224"/>
      <c r="B131" s="225"/>
      <c r="C131" s="212"/>
      <c r="D131" s="241"/>
    </row>
    <row r="132" spans="1:6">
      <c r="A132" s="243"/>
      <c r="B132" s="240"/>
      <c r="C132" s="240"/>
      <c r="D132" s="241"/>
    </row>
    <row r="133" spans="1:6">
      <c r="A133" s="214"/>
      <c r="B133" s="213"/>
      <c r="C133" s="215"/>
      <c r="D133" s="216"/>
    </row>
    <row r="134" spans="1:6" ht="12.6" customHeight="1">
      <c r="A134" s="232"/>
      <c r="B134" s="233"/>
      <c r="C134" s="234"/>
      <c r="D134" s="227"/>
    </row>
    <row r="135" spans="1:6">
      <c r="A135" s="214"/>
      <c r="B135" s="213"/>
      <c r="C135" s="215"/>
      <c r="D135" s="216"/>
    </row>
    <row r="136" spans="1:6">
      <c r="A136" s="217"/>
      <c r="B136" s="212"/>
      <c r="C136" s="218"/>
      <c r="D136" s="219"/>
    </row>
    <row r="137" spans="1:6">
      <c r="A137" s="214"/>
      <c r="B137" s="213"/>
      <c r="C137" s="215"/>
      <c r="D137" s="216"/>
    </row>
    <row r="138" spans="1:6">
      <c r="A138" s="217"/>
      <c r="B138" s="212"/>
      <c r="C138" s="218"/>
      <c r="D138" s="219"/>
    </row>
    <row r="139" spans="1:6" ht="14.45" customHeight="1">
      <c r="A139" s="214"/>
      <c r="B139" s="213"/>
      <c r="C139" s="215"/>
      <c r="D139" s="216"/>
    </row>
    <row r="140" spans="1:6" ht="15">
      <c r="A140" s="232"/>
      <c r="B140" s="233"/>
      <c r="C140" s="233"/>
      <c r="D140" s="227"/>
      <c r="F140" s="252"/>
    </row>
    <row r="141" spans="1:6">
      <c r="A141" s="224"/>
      <c r="B141" s="225"/>
      <c r="C141" s="226"/>
      <c r="D141" s="229"/>
      <c r="F141" s="225"/>
    </row>
    <row r="142" spans="1:6">
      <c r="A142" s="214"/>
      <c r="B142" s="213"/>
      <c r="C142" s="215"/>
      <c r="D142" s="216"/>
    </row>
  </sheetData>
  <sortState xmlns:xlrd2="http://schemas.microsoft.com/office/spreadsheetml/2017/richdata2" ref="F1:F1048576">
    <sortCondition ref="F96:F1048576"/>
  </sortState>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xr:uid="{3ECC93AE-AB23-4CB7-8801-1B2BE32A91FA}">
          <x14:formula1>
            <xm:f>'ITEM LIST'!$B$2:$B$479</xm:f>
          </x14:formula1>
          <xm:sqref>B88:B109 F130 F107:F108 F105 F95 F93 F91 F88 B123:B136 B115:B116</xm:sqref>
        </x14:dataValidation>
        <x14:dataValidation type="list" allowBlank="1" xr:uid="{1C44FB6F-C609-4F58-9BF5-CB86973990B9}">
          <x14:formula1>
            <xm:f>'ITEM LIST'!$B$2:$B$493</xm:f>
          </x14:formula1>
          <xm:sqref>B111:B114 B122 B117:B119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0FAB4-F491-4846-9B4B-A27E185454AC}">
  <sheetPr codeName="Sheet4">
    <tabColor rgb="FFFE375F"/>
  </sheetPr>
  <dimension ref="C1:S27"/>
  <sheetViews>
    <sheetView showGridLines="0" topLeftCell="B1" zoomScale="60" zoomScaleNormal="10" workbookViewId="0">
      <selection activeCell="D12" sqref="D12"/>
    </sheetView>
  </sheetViews>
  <sheetFormatPr defaultColWidth="8.7109375" defaultRowHeight="12.75"/>
  <cols>
    <col min="1" max="1" width="8.7109375" style="187"/>
    <col min="2" max="2" width="20.42578125" style="187" customWidth="1"/>
    <col min="3" max="3" width="23.42578125" style="184" customWidth="1"/>
    <col min="4" max="4" width="8.42578125" style="185" customWidth="1"/>
    <col min="5" max="5" width="10.140625" style="185" customWidth="1"/>
    <col min="6" max="6" width="16.5703125" style="187" bestFit="1" customWidth="1"/>
    <col min="7" max="7" width="11.5703125" style="187" bestFit="1" customWidth="1"/>
    <col min="8" max="8" width="12" style="187" bestFit="1" customWidth="1"/>
    <col min="9" max="9" width="8.7109375" style="187" customWidth="1"/>
    <col min="10" max="11" width="8.7109375" style="187"/>
    <col min="12" max="12" width="0.5703125" style="187" customWidth="1"/>
    <col min="13" max="13" width="12.5703125" style="187" customWidth="1"/>
    <col min="14" max="17" width="8.7109375" style="187"/>
    <col min="18" max="18" width="5.28515625" style="187" bestFit="1" customWidth="1"/>
    <col min="19" max="19" width="25.5703125" style="187" customWidth="1"/>
    <col min="20" max="16384" width="8.7109375" style="187"/>
  </cols>
  <sheetData>
    <row r="1" spans="3:19" s="186" customFormat="1" ht="40.5" customHeight="1">
      <c r="C1" s="182"/>
      <c r="D1" s="183"/>
      <c r="E1" s="183"/>
    </row>
    <row r="3" spans="3:19">
      <c r="R3" s="110" t="s">
        <v>126</v>
      </c>
      <c r="S3" t="s">
        <v>609</v>
      </c>
    </row>
    <row r="4" spans="3:19">
      <c r="F4" s="188"/>
      <c r="G4" s="188"/>
      <c r="H4" s="188"/>
      <c r="I4" s="188"/>
      <c r="J4" s="188"/>
      <c r="K4" s="188"/>
      <c r="L4" s="188"/>
      <c r="M4" s="188"/>
      <c r="N4" s="188"/>
      <c r="O4" s="188"/>
      <c r="P4" s="188"/>
      <c r="Q4" s="188"/>
    </row>
    <row r="5" spans="3:19">
      <c r="C5" s="203" t="s">
        <v>318</v>
      </c>
      <c r="D5" s="204" t="s">
        <v>127</v>
      </c>
      <c r="E5" s="204" t="s">
        <v>319</v>
      </c>
      <c r="F5" s="188"/>
      <c r="G5" s="188"/>
      <c r="H5" s="188"/>
      <c r="I5" s="188"/>
      <c r="J5" s="188"/>
      <c r="K5" s="188"/>
      <c r="L5" s="188"/>
      <c r="M5" s="188"/>
      <c r="N5" s="188"/>
      <c r="O5" s="188"/>
      <c r="P5" s="188"/>
      <c r="Q5" s="188"/>
    </row>
    <row r="6" spans="3:19">
      <c r="C6" s="205" t="s">
        <v>295</v>
      </c>
      <c r="D6" s="206">
        <v>78</v>
      </c>
      <c r="E6" s="207">
        <v>9.6164889599999999</v>
      </c>
      <c r="F6" s="188"/>
      <c r="G6" s="188"/>
      <c r="H6" s="188"/>
      <c r="I6" s="188"/>
      <c r="J6" s="188"/>
      <c r="K6" s="188"/>
      <c r="L6" s="188"/>
      <c r="M6" s="188"/>
      <c r="N6" s="188"/>
      <c r="O6" s="188"/>
      <c r="P6" s="188"/>
      <c r="Q6" s="188"/>
    </row>
    <row r="7" spans="3:19">
      <c r="C7" s="205" t="s">
        <v>32</v>
      </c>
      <c r="D7" s="206">
        <v>18</v>
      </c>
      <c r="E7" s="207">
        <v>0.63000000000000012</v>
      </c>
      <c r="F7" s="188"/>
      <c r="G7" s="188"/>
      <c r="H7" s="188"/>
      <c r="I7" s="188"/>
      <c r="J7" s="188"/>
      <c r="K7" s="188"/>
      <c r="L7" s="188"/>
      <c r="M7" s="188"/>
      <c r="N7" s="188"/>
      <c r="O7" s="188"/>
      <c r="P7" s="188"/>
      <c r="Q7" s="188"/>
    </row>
    <row r="8" spans="3:19">
      <c r="C8" s="208" t="s">
        <v>427</v>
      </c>
      <c r="D8" s="206">
        <v>250</v>
      </c>
      <c r="E8" s="207">
        <v>12</v>
      </c>
      <c r="F8" s="188"/>
      <c r="G8" s="188"/>
      <c r="H8" s="188"/>
      <c r="I8" s="188"/>
      <c r="J8" s="188"/>
      <c r="K8" s="188"/>
      <c r="L8" s="188"/>
      <c r="M8" s="188"/>
      <c r="N8" s="188"/>
      <c r="O8" s="188"/>
      <c r="P8" s="188"/>
      <c r="Q8" s="188"/>
    </row>
    <row r="9" spans="3:19">
      <c r="C9" s="205" t="s">
        <v>43</v>
      </c>
      <c r="D9" s="206">
        <v>30</v>
      </c>
      <c r="E9" s="207">
        <v>3.9057749999999998</v>
      </c>
      <c r="F9" s="188"/>
      <c r="G9" s="188"/>
      <c r="H9" s="188"/>
      <c r="I9" s="188"/>
      <c r="J9" s="188"/>
      <c r="K9" s="188"/>
      <c r="L9" s="188"/>
      <c r="M9" s="188"/>
      <c r="N9" s="188"/>
      <c r="O9" s="188"/>
      <c r="P9" s="188"/>
      <c r="Q9" s="188"/>
    </row>
    <row r="10" spans="3:19">
      <c r="C10" s="205" t="s">
        <v>52</v>
      </c>
      <c r="D10" s="206">
        <v>6</v>
      </c>
      <c r="E10" s="207">
        <v>3.9000000000000004</v>
      </c>
      <c r="F10" s="188"/>
      <c r="G10" s="188"/>
      <c r="H10" s="188"/>
      <c r="I10" s="188"/>
      <c r="J10" s="188"/>
      <c r="K10" s="188"/>
      <c r="L10" s="188"/>
      <c r="M10" s="188"/>
      <c r="N10" s="188"/>
      <c r="O10" s="188"/>
      <c r="P10" s="188"/>
      <c r="Q10" s="188"/>
    </row>
    <row r="11" spans="3:19">
      <c r="C11" s="205" t="s">
        <v>557</v>
      </c>
      <c r="D11" s="206">
        <v>118</v>
      </c>
      <c r="E11" s="207">
        <v>13.722856607556107</v>
      </c>
      <c r="F11" s="188"/>
      <c r="G11" s="188"/>
      <c r="H11" s="188"/>
      <c r="I11" s="188"/>
      <c r="J11" s="188"/>
      <c r="K11" s="188"/>
      <c r="L11" s="188"/>
      <c r="M11" s="188"/>
      <c r="N11" s="188"/>
      <c r="O11" s="188"/>
      <c r="P11" s="188"/>
      <c r="Q11" s="188"/>
    </row>
    <row r="12" spans="3:19">
      <c r="C12" s="205" t="s">
        <v>55</v>
      </c>
      <c r="D12" s="206">
        <v>91</v>
      </c>
      <c r="E12" s="207">
        <v>1.4523599999999999</v>
      </c>
      <c r="F12" s="188"/>
      <c r="G12" s="188"/>
      <c r="H12" s="188"/>
      <c r="I12" s="188"/>
      <c r="J12" s="188"/>
      <c r="K12" s="188"/>
      <c r="L12" s="188"/>
      <c r="M12" s="188"/>
      <c r="N12" s="188"/>
      <c r="O12" s="188"/>
      <c r="P12" s="188"/>
      <c r="Q12" s="188"/>
    </row>
    <row r="13" spans="3:19">
      <c r="C13" s="205" t="s">
        <v>54</v>
      </c>
      <c r="D13" s="206">
        <v>10</v>
      </c>
      <c r="E13" s="207">
        <v>1.4000000000000001</v>
      </c>
      <c r="F13" s="188"/>
      <c r="G13" s="188"/>
      <c r="H13" s="188"/>
      <c r="I13" s="188"/>
      <c r="J13" s="188"/>
      <c r="K13" s="188"/>
      <c r="L13" s="188"/>
      <c r="M13" s="188"/>
      <c r="N13" s="188"/>
      <c r="O13" s="188"/>
      <c r="P13" s="188"/>
      <c r="Q13" s="188"/>
    </row>
    <row r="14" spans="3:19">
      <c r="C14" s="205" t="s">
        <v>114</v>
      </c>
      <c r="D14" s="206">
        <v>5</v>
      </c>
      <c r="E14" s="207">
        <v>0.14000000000000001</v>
      </c>
      <c r="F14" s="188"/>
      <c r="G14" s="188"/>
      <c r="H14" s="188"/>
      <c r="I14" s="188"/>
      <c r="J14" s="188"/>
      <c r="K14" s="188"/>
      <c r="L14" s="188"/>
      <c r="M14" s="188"/>
      <c r="N14" s="188"/>
      <c r="O14" s="188"/>
      <c r="P14" s="188"/>
      <c r="Q14" s="188"/>
    </row>
    <row r="15" spans="3:19">
      <c r="C15" s="205" t="s">
        <v>53</v>
      </c>
      <c r="D15" s="206">
        <v>3</v>
      </c>
      <c r="E15" s="207">
        <v>1.7999999999999998</v>
      </c>
      <c r="F15" s="188"/>
      <c r="G15" s="188"/>
      <c r="H15" s="188"/>
      <c r="I15" s="188"/>
      <c r="J15" s="188"/>
      <c r="K15" s="188"/>
      <c r="L15" s="188"/>
      <c r="M15" s="188"/>
      <c r="N15" s="188"/>
      <c r="O15" s="188"/>
      <c r="P15" s="188"/>
      <c r="Q15" s="188"/>
    </row>
    <row r="16" spans="3:19">
      <c r="C16" s="205" t="s">
        <v>660</v>
      </c>
      <c r="D16" s="206">
        <v>30</v>
      </c>
      <c r="E16" s="207">
        <v>2.6009999999999995</v>
      </c>
      <c r="F16" s="188"/>
      <c r="G16" s="188"/>
      <c r="H16" s="188"/>
      <c r="I16" s="188"/>
      <c r="J16" s="188"/>
      <c r="K16" s="188"/>
      <c r="L16" s="188"/>
      <c r="M16" s="188"/>
      <c r="N16" s="188"/>
      <c r="O16" s="188"/>
      <c r="P16" s="188"/>
      <c r="Q16" s="188"/>
    </row>
    <row r="17" spans="3:17">
      <c r="C17" s="208" t="s">
        <v>315</v>
      </c>
      <c r="D17" s="206">
        <v>639</v>
      </c>
      <c r="E17" s="207">
        <v>51.168480567556095</v>
      </c>
      <c r="F17" s="188"/>
      <c r="G17" s="188"/>
      <c r="H17" s="188"/>
      <c r="I17" s="188"/>
      <c r="J17" s="188"/>
      <c r="K17" s="188"/>
      <c r="L17" s="188"/>
      <c r="M17" s="188"/>
      <c r="N17" s="188"/>
      <c r="O17" s="188"/>
      <c r="P17" s="188"/>
      <c r="Q17" s="188"/>
    </row>
    <row r="18" spans="3:17">
      <c r="C18"/>
      <c r="D18"/>
      <c r="E18"/>
      <c r="F18" s="188"/>
      <c r="G18" s="188"/>
      <c r="H18" s="188"/>
      <c r="I18" s="188"/>
      <c r="J18" s="188"/>
      <c r="K18" s="188"/>
      <c r="L18" s="188"/>
      <c r="M18" s="188"/>
      <c r="N18" s="188"/>
      <c r="O18" s="188"/>
      <c r="P18" s="188"/>
      <c r="Q18" s="188"/>
    </row>
    <row r="19" spans="3:17">
      <c r="C19"/>
      <c r="D19"/>
      <c r="E19"/>
      <c r="F19" s="188"/>
      <c r="G19" s="188"/>
      <c r="H19" s="188"/>
      <c r="I19" s="188"/>
      <c r="J19" s="188"/>
      <c r="K19" s="188"/>
      <c r="L19" s="188"/>
      <c r="M19" s="188"/>
      <c r="N19" s="188"/>
      <c r="O19" s="188"/>
      <c r="P19" s="188"/>
      <c r="Q19" s="188"/>
    </row>
    <row r="20" spans="3:17">
      <c r="C20"/>
      <c r="D20"/>
      <c r="E20"/>
      <c r="F20" s="188"/>
      <c r="G20" s="188"/>
      <c r="H20" s="188"/>
      <c r="I20" s="188"/>
      <c r="J20" s="188"/>
      <c r="K20" s="188"/>
      <c r="L20" s="188"/>
      <c r="M20" s="188"/>
      <c r="N20" s="188"/>
      <c r="O20" s="188"/>
      <c r="P20" s="188"/>
      <c r="Q20" s="188"/>
    </row>
    <row r="21" spans="3:17">
      <c r="C21"/>
      <c r="D21"/>
      <c r="E21"/>
      <c r="F21" s="188"/>
      <c r="G21" s="188"/>
      <c r="H21" s="188"/>
      <c r="I21" s="188"/>
      <c r="J21" s="188"/>
      <c r="K21" s="188"/>
      <c r="L21" s="188"/>
      <c r="M21" s="188"/>
      <c r="N21" s="188"/>
      <c r="O21" s="188"/>
      <c r="P21" s="188"/>
      <c r="Q21" s="188"/>
    </row>
    <row r="22" spans="3:17">
      <c r="C22"/>
      <c r="D22"/>
      <c r="E22"/>
      <c r="F22" s="188"/>
      <c r="G22" s="188"/>
      <c r="H22" s="188"/>
      <c r="I22" s="188"/>
      <c r="J22" s="188"/>
      <c r="K22" s="188"/>
      <c r="L22" s="188"/>
      <c r="M22" s="188"/>
      <c r="N22" s="188"/>
      <c r="O22" s="188"/>
      <c r="P22" s="188"/>
      <c r="Q22" s="188"/>
    </row>
    <row r="23" spans="3:17">
      <c r="C23"/>
      <c r="D23"/>
      <c r="E23"/>
      <c r="F23" s="188"/>
      <c r="G23" s="188"/>
      <c r="H23" s="188"/>
      <c r="I23" s="188"/>
      <c r="J23" s="188"/>
      <c r="K23" s="188"/>
      <c r="L23" s="188"/>
      <c r="M23" s="188"/>
      <c r="N23" s="188"/>
      <c r="O23" s="188"/>
      <c r="P23" s="188"/>
      <c r="Q23" s="188"/>
    </row>
    <row r="24" spans="3:17">
      <c r="C24"/>
      <c r="D24"/>
      <c r="E24"/>
      <c r="F24" s="188"/>
      <c r="G24" s="188"/>
      <c r="H24" s="188"/>
      <c r="I24" s="188"/>
      <c r="J24" s="188"/>
      <c r="K24" s="188"/>
      <c r="L24" s="188"/>
      <c r="M24" s="188"/>
      <c r="N24" s="188"/>
      <c r="O24" s="188"/>
      <c r="P24" s="188"/>
      <c r="Q24" s="188"/>
    </row>
    <row r="25" spans="3:17">
      <c r="C25"/>
      <c r="D25"/>
      <c r="E25"/>
      <c r="F25" s="188"/>
      <c r="G25" s="188"/>
      <c r="H25" s="188"/>
      <c r="I25" s="188"/>
      <c r="J25" s="188"/>
      <c r="K25" s="188"/>
      <c r="L25" s="188"/>
      <c r="M25" s="188"/>
      <c r="N25" s="188"/>
      <c r="O25" s="188"/>
      <c r="P25" s="188"/>
      <c r="Q25" s="188"/>
    </row>
    <row r="26" spans="3:17">
      <c r="F26" s="188"/>
      <c r="G26" s="188"/>
      <c r="H26" s="188"/>
      <c r="I26" s="188"/>
      <c r="J26" s="188"/>
      <c r="K26" s="188"/>
      <c r="L26" s="188"/>
      <c r="M26" s="188"/>
      <c r="N26" s="188"/>
      <c r="O26" s="188"/>
      <c r="P26" s="188"/>
      <c r="Q26" s="188"/>
    </row>
    <row r="27" spans="3:17">
      <c r="F27" s="188"/>
      <c r="G27" s="188"/>
      <c r="H27" s="188"/>
      <c r="I27" s="188"/>
      <c r="J27" s="188"/>
      <c r="K27" s="188"/>
      <c r="L27" s="188"/>
      <c r="M27" s="188"/>
      <c r="N27" s="188"/>
      <c r="O27" s="188"/>
      <c r="P27" s="188"/>
      <c r="Q27" s="188"/>
    </row>
  </sheetData>
  <sheetProtection formatCells="0" formatColumns="0" formatRows="0" insertColumns="0" insertRows="0" insertHyperlinks="0" deleteColumns="0" deleteRows="0" selectLockedCells="1" sort="0" autoFilter="0" pivotTables="0"/>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outlinePr summaryBelow="0" summaryRight="0"/>
  </sheetPr>
  <dimension ref="A1:R962"/>
  <sheetViews>
    <sheetView workbookViewId="0">
      <selection activeCell="A11" sqref="A11"/>
    </sheetView>
  </sheetViews>
  <sheetFormatPr defaultColWidth="12.5703125" defaultRowHeight="15.75" customHeight="1"/>
  <cols>
    <col min="1" max="1" width="30" style="109" customWidth="1"/>
    <col min="2" max="2" width="27.7109375" customWidth="1"/>
    <col min="3" max="3" width="21" style="143" customWidth="1"/>
  </cols>
  <sheetData>
    <row r="1" spans="1:4" ht="20.25">
      <c r="A1" s="263" t="s">
        <v>654</v>
      </c>
      <c r="B1" s="263"/>
      <c r="C1" s="263"/>
    </row>
    <row r="2" spans="1:4" s="172" customFormat="1" ht="18" customHeight="1">
      <c r="A2" s="257" t="s">
        <v>126</v>
      </c>
      <c r="B2" s="257" t="s">
        <v>125</v>
      </c>
      <c r="C2" s="258" t="s">
        <v>573</v>
      </c>
    </row>
    <row r="3" spans="1:4" ht="14.25">
      <c r="A3" s="192" t="s">
        <v>593</v>
      </c>
      <c r="B3" s="195" t="s">
        <v>100</v>
      </c>
      <c r="C3" s="255">
        <v>21</v>
      </c>
    </row>
    <row r="4" spans="1:4" ht="14.25">
      <c r="A4" s="192" t="s">
        <v>42</v>
      </c>
      <c r="B4" s="195" t="s">
        <v>96</v>
      </c>
      <c r="C4" s="255">
        <v>28</v>
      </c>
    </row>
    <row r="5" spans="1:4" ht="14.25">
      <c r="A5" s="192" t="s">
        <v>623</v>
      </c>
      <c r="B5" s="195" t="s">
        <v>108</v>
      </c>
      <c r="C5" s="255">
        <v>30</v>
      </c>
    </row>
    <row r="6" spans="1:4" ht="14.25">
      <c r="A6" s="192" t="s">
        <v>105</v>
      </c>
      <c r="B6" s="195" t="s">
        <v>100</v>
      </c>
      <c r="C6" s="255">
        <v>35</v>
      </c>
    </row>
    <row r="7" spans="1:4" ht="14.25">
      <c r="A7" s="192" t="s">
        <v>595</v>
      </c>
      <c r="B7" s="195" t="s">
        <v>100</v>
      </c>
      <c r="C7" s="255">
        <v>35</v>
      </c>
    </row>
    <row r="8" spans="1:4" ht="14.25">
      <c r="A8" s="192" t="s">
        <v>630</v>
      </c>
      <c r="B8" s="195" t="s">
        <v>108</v>
      </c>
      <c r="C8" s="255">
        <v>40</v>
      </c>
      <c r="D8" t="s">
        <v>680</v>
      </c>
    </row>
    <row r="9" spans="1:4" ht="14.25">
      <c r="A9" s="192" t="s">
        <v>94</v>
      </c>
      <c r="B9" s="195" t="s">
        <v>96</v>
      </c>
      <c r="C9" s="255">
        <v>50</v>
      </c>
      <c r="D9" t="s">
        <v>680</v>
      </c>
    </row>
    <row r="10" spans="1:4" ht="14.25">
      <c r="A10" s="192" t="s">
        <v>624</v>
      </c>
      <c r="B10" s="195" t="s">
        <v>108</v>
      </c>
      <c r="C10" s="255">
        <v>60</v>
      </c>
      <c r="D10" t="s">
        <v>680</v>
      </c>
    </row>
    <row r="11" spans="1:4" ht="14.25">
      <c r="A11" s="192" t="s">
        <v>612</v>
      </c>
      <c r="B11" s="195" t="s">
        <v>96</v>
      </c>
      <c r="C11" s="255">
        <v>65</v>
      </c>
      <c r="D11" t="s">
        <v>680</v>
      </c>
    </row>
    <row r="12" spans="1:4" ht="14.25">
      <c r="A12" s="192" t="s">
        <v>550</v>
      </c>
      <c r="B12" s="195" t="s">
        <v>108</v>
      </c>
      <c r="C12" s="255">
        <v>70</v>
      </c>
      <c r="D12" t="s">
        <v>680</v>
      </c>
    </row>
    <row r="13" spans="1:4" ht="14.25">
      <c r="A13" s="192" t="s">
        <v>625</v>
      </c>
      <c r="B13" s="195" t="s">
        <v>108</v>
      </c>
      <c r="C13" s="255">
        <v>70</v>
      </c>
      <c r="D13" t="s">
        <v>680</v>
      </c>
    </row>
    <row r="14" spans="1:4" ht="14.25">
      <c r="A14" s="192" t="s">
        <v>628</v>
      </c>
      <c r="B14" s="195" t="s">
        <v>108</v>
      </c>
      <c r="C14" s="255">
        <v>70</v>
      </c>
    </row>
    <row r="15" spans="1:4" ht="14.25">
      <c r="A15" s="192" t="s">
        <v>631</v>
      </c>
      <c r="B15" s="195" t="s">
        <v>108</v>
      </c>
      <c r="C15" s="255">
        <v>70</v>
      </c>
      <c r="D15" t="s">
        <v>680</v>
      </c>
    </row>
    <row r="16" spans="1:4" ht="14.25">
      <c r="A16" s="192" t="s">
        <v>123</v>
      </c>
      <c r="B16" s="195" t="s">
        <v>96</v>
      </c>
      <c r="C16" s="255">
        <v>80</v>
      </c>
    </row>
    <row r="17" spans="1:4" ht="16.5" customHeight="1">
      <c r="A17" s="192" t="s">
        <v>626</v>
      </c>
      <c r="B17" s="195" t="s">
        <v>108</v>
      </c>
      <c r="C17" s="255">
        <v>80</v>
      </c>
    </row>
    <row r="18" spans="1:4" ht="14.25">
      <c r="A18" s="192" t="s">
        <v>644</v>
      </c>
      <c r="B18" s="192" t="s">
        <v>655</v>
      </c>
      <c r="C18" s="255">
        <v>80</v>
      </c>
    </row>
    <row r="19" spans="1:4" ht="14.25">
      <c r="A19" s="192" t="s">
        <v>627</v>
      </c>
      <c r="B19" s="195" t="s">
        <v>108</v>
      </c>
      <c r="C19" s="255">
        <v>90</v>
      </c>
      <c r="D19" t="s">
        <v>680</v>
      </c>
    </row>
    <row r="20" spans="1:4" ht="14.25">
      <c r="A20" s="193" t="s">
        <v>563</v>
      </c>
      <c r="B20" s="195" t="s">
        <v>655</v>
      </c>
      <c r="C20" s="256">
        <v>90</v>
      </c>
    </row>
    <row r="21" spans="1:4" ht="14.25">
      <c r="A21" s="193" t="s">
        <v>566</v>
      </c>
      <c r="B21" s="195" t="s">
        <v>655</v>
      </c>
      <c r="C21" s="256">
        <v>90</v>
      </c>
    </row>
    <row r="22" spans="1:4" ht="14.25">
      <c r="A22" s="192" t="s">
        <v>629</v>
      </c>
      <c r="B22" s="195" t="s">
        <v>108</v>
      </c>
      <c r="C22" s="255">
        <v>100</v>
      </c>
      <c r="D22" t="s">
        <v>680</v>
      </c>
    </row>
    <row r="23" spans="1:4" ht="14.25">
      <c r="A23" s="192" t="s">
        <v>646</v>
      </c>
      <c r="B23" s="192" t="s">
        <v>655</v>
      </c>
      <c r="C23" s="255">
        <v>100</v>
      </c>
      <c r="D23" t="s">
        <v>680</v>
      </c>
    </row>
    <row r="24" spans="1:4" ht="14.25">
      <c r="A24" s="193" t="s">
        <v>565</v>
      </c>
      <c r="B24" s="195" t="s">
        <v>655</v>
      </c>
      <c r="C24" s="256">
        <v>100</v>
      </c>
      <c r="D24" t="s">
        <v>680</v>
      </c>
    </row>
    <row r="25" spans="1:4" ht="14.25">
      <c r="A25" s="192" t="s">
        <v>67</v>
      </c>
      <c r="B25" s="192" t="s">
        <v>64</v>
      </c>
      <c r="C25" s="255">
        <v>110</v>
      </c>
    </row>
    <row r="26" spans="1:4" ht="14.25">
      <c r="A26" s="192" t="s">
        <v>567</v>
      </c>
      <c r="B26" s="192" t="s">
        <v>64</v>
      </c>
      <c r="C26" s="255">
        <v>110</v>
      </c>
      <c r="D26" t="s">
        <v>680</v>
      </c>
    </row>
    <row r="27" spans="1:4" ht="14.25">
      <c r="A27" s="192" t="s">
        <v>124</v>
      </c>
      <c r="B27" s="192" t="s">
        <v>64</v>
      </c>
      <c r="C27" s="255">
        <v>110</v>
      </c>
    </row>
    <row r="28" spans="1:4" ht="14.25">
      <c r="A28" s="192" t="s">
        <v>95</v>
      </c>
      <c r="B28" s="195" t="s">
        <v>96</v>
      </c>
      <c r="C28" s="255">
        <v>120</v>
      </c>
      <c r="D28" t="s">
        <v>680</v>
      </c>
    </row>
    <row r="29" spans="1:4" ht="14.25">
      <c r="A29" s="192" t="s">
        <v>88</v>
      </c>
      <c r="B29" s="195" t="s">
        <v>310</v>
      </c>
      <c r="C29" s="255">
        <v>120</v>
      </c>
      <c r="D29" t="s">
        <v>680</v>
      </c>
    </row>
    <row r="30" spans="1:4" ht="14.25">
      <c r="A30" s="192" t="s">
        <v>607</v>
      </c>
      <c r="B30" s="195" t="s">
        <v>96</v>
      </c>
      <c r="C30" s="255">
        <v>140</v>
      </c>
    </row>
    <row r="31" spans="1:4" ht="14.25">
      <c r="A31" s="192" t="s">
        <v>608</v>
      </c>
      <c r="B31" s="195" t="s">
        <v>96</v>
      </c>
      <c r="C31" s="255">
        <v>140</v>
      </c>
    </row>
    <row r="32" spans="1:4" ht="14.25">
      <c r="A32" s="192" t="s">
        <v>609</v>
      </c>
      <c r="B32" s="195" t="s">
        <v>96</v>
      </c>
      <c r="C32" s="255">
        <v>140</v>
      </c>
    </row>
    <row r="33" spans="1:18" ht="14.25">
      <c r="A33" s="192" t="s">
        <v>97</v>
      </c>
      <c r="B33" s="195" t="s">
        <v>96</v>
      </c>
      <c r="C33" s="255">
        <v>140</v>
      </c>
    </row>
    <row r="34" spans="1:18" ht="14.25">
      <c r="A34" s="192" t="s">
        <v>98</v>
      </c>
      <c r="B34" s="195" t="s">
        <v>96</v>
      </c>
      <c r="C34" s="255">
        <v>140</v>
      </c>
    </row>
    <row r="35" spans="1:18" ht="14.25">
      <c r="A35" s="192" t="s">
        <v>99</v>
      </c>
      <c r="B35" s="195" t="s">
        <v>96</v>
      </c>
      <c r="C35" s="255">
        <v>140</v>
      </c>
    </row>
    <row r="36" spans="1:18" ht="15.75" customHeight="1">
      <c r="A36" s="192" t="s">
        <v>613</v>
      </c>
      <c r="B36" s="195" t="s">
        <v>96</v>
      </c>
      <c r="C36" s="255">
        <v>140</v>
      </c>
    </row>
    <row r="37" spans="1:18" ht="15.75" customHeight="1">
      <c r="A37" s="192" t="s">
        <v>66</v>
      </c>
      <c r="B37" s="192" t="s">
        <v>64</v>
      </c>
      <c r="C37" s="255">
        <v>140</v>
      </c>
    </row>
    <row r="38" spans="1:18" ht="15.75" customHeight="1">
      <c r="A38" s="192" t="s">
        <v>610</v>
      </c>
      <c r="B38" s="195" t="s">
        <v>96</v>
      </c>
      <c r="C38" s="255">
        <v>150</v>
      </c>
    </row>
    <row r="39" spans="1:18" ht="15.75" customHeight="1">
      <c r="A39" s="192" t="s">
        <v>615</v>
      </c>
      <c r="B39" s="195" t="s">
        <v>96</v>
      </c>
      <c r="C39" s="255">
        <v>150</v>
      </c>
    </row>
    <row r="40" spans="1:18" ht="15.75" customHeight="1">
      <c r="A40" s="192" t="s">
        <v>667</v>
      </c>
      <c r="B40" s="195" t="s">
        <v>104</v>
      </c>
      <c r="C40" s="255">
        <v>160</v>
      </c>
    </row>
    <row r="41" spans="1:18" ht="14.25">
      <c r="A41" s="192" t="s">
        <v>664</v>
      </c>
      <c r="B41" s="195" t="s">
        <v>104</v>
      </c>
      <c r="C41" s="255">
        <v>160</v>
      </c>
      <c r="E41" s="3"/>
      <c r="F41" s="3"/>
      <c r="G41" s="3"/>
      <c r="H41" s="3"/>
      <c r="I41" s="3"/>
      <c r="J41" s="3"/>
      <c r="K41" s="3"/>
      <c r="L41" s="3"/>
      <c r="M41" s="3"/>
      <c r="N41" s="3"/>
      <c r="O41" s="3"/>
      <c r="P41" s="3"/>
      <c r="Q41" s="3"/>
      <c r="R41" s="3"/>
    </row>
    <row r="42" spans="1:18" ht="14.25">
      <c r="A42" s="192" t="s">
        <v>583</v>
      </c>
      <c r="B42" s="195" t="s">
        <v>104</v>
      </c>
      <c r="C42" s="255">
        <v>160</v>
      </c>
      <c r="D42" s="3"/>
    </row>
    <row r="43" spans="1:18" ht="14.25">
      <c r="A43" s="192" t="s">
        <v>611</v>
      </c>
      <c r="B43" s="195" t="s">
        <v>96</v>
      </c>
      <c r="C43" s="255">
        <v>160</v>
      </c>
    </row>
    <row r="44" spans="1:18" ht="14.25">
      <c r="A44" s="192" t="s">
        <v>614</v>
      </c>
      <c r="B44" s="195" t="s">
        <v>96</v>
      </c>
      <c r="C44" s="255">
        <v>160</v>
      </c>
    </row>
    <row r="45" spans="1:18" ht="14.25">
      <c r="A45" s="192" t="s">
        <v>82</v>
      </c>
      <c r="B45" s="195" t="s">
        <v>310</v>
      </c>
      <c r="C45" s="255">
        <v>160</v>
      </c>
    </row>
    <row r="46" spans="1:18" ht="14.25">
      <c r="A46" s="192" t="s">
        <v>83</v>
      </c>
      <c r="B46" s="195" t="s">
        <v>310</v>
      </c>
      <c r="C46" s="255">
        <v>160</v>
      </c>
    </row>
    <row r="47" spans="1:18" ht="14.25">
      <c r="A47" s="192" t="s">
        <v>618</v>
      </c>
      <c r="B47" s="195" t="s">
        <v>310</v>
      </c>
      <c r="C47" s="255">
        <v>160</v>
      </c>
    </row>
    <row r="48" spans="1:18" ht="14.25">
      <c r="A48" s="192" t="s">
        <v>87</v>
      </c>
      <c r="B48" s="195" t="s">
        <v>310</v>
      </c>
      <c r="C48" s="255">
        <v>160</v>
      </c>
    </row>
    <row r="49" spans="1:18" ht="14.25">
      <c r="A49" s="192" t="s">
        <v>312</v>
      </c>
      <c r="B49" s="192" t="s">
        <v>655</v>
      </c>
      <c r="C49" s="255">
        <v>160</v>
      </c>
    </row>
    <row r="50" spans="1:18" ht="14.25">
      <c r="A50" s="192" t="s">
        <v>638</v>
      </c>
      <c r="B50" s="192" t="s">
        <v>655</v>
      </c>
      <c r="C50" s="255">
        <v>160</v>
      </c>
    </row>
    <row r="51" spans="1:18" ht="14.25">
      <c r="A51" s="192" t="s">
        <v>639</v>
      </c>
      <c r="B51" s="192" t="s">
        <v>655</v>
      </c>
      <c r="C51" s="255">
        <v>160</v>
      </c>
    </row>
    <row r="52" spans="1:18" ht="14.25">
      <c r="A52" s="192" t="s">
        <v>640</v>
      </c>
      <c r="B52" s="192" t="s">
        <v>655</v>
      </c>
      <c r="C52" s="255">
        <v>160</v>
      </c>
    </row>
    <row r="53" spans="1:18" ht="14.25">
      <c r="A53" s="192" t="s">
        <v>641</v>
      </c>
      <c r="B53" s="192" t="s">
        <v>655</v>
      </c>
      <c r="C53" s="255">
        <v>160</v>
      </c>
      <c r="E53" s="3"/>
      <c r="F53" s="3"/>
      <c r="G53" s="3"/>
      <c r="H53" s="3"/>
      <c r="I53" s="3"/>
      <c r="J53" s="3"/>
      <c r="K53" s="3"/>
      <c r="L53" s="3"/>
      <c r="M53" s="3"/>
      <c r="N53" s="3"/>
      <c r="O53" s="3"/>
      <c r="P53" s="3"/>
      <c r="Q53" s="3"/>
      <c r="R53" s="3"/>
    </row>
    <row r="54" spans="1:18" ht="14.25">
      <c r="A54" s="192" t="s">
        <v>642</v>
      </c>
      <c r="B54" s="192" t="s">
        <v>655</v>
      </c>
      <c r="C54" s="255">
        <v>160</v>
      </c>
      <c r="D54" s="3"/>
      <c r="E54" s="3"/>
      <c r="F54" s="3"/>
      <c r="G54" s="3"/>
      <c r="H54" s="3"/>
      <c r="I54" s="3"/>
      <c r="J54" s="3"/>
      <c r="K54" s="3"/>
      <c r="L54" s="3"/>
      <c r="M54" s="3"/>
      <c r="N54" s="3"/>
      <c r="O54" s="3"/>
      <c r="P54" s="3"/>
      <c r="Q54" s="3"/>
      <c r="R54" s="3"/>
    </row>
    <row r="55" spans="1:18" ht="14.25">
      <c r="A55" s="192" t="s">
        <v>643</v>
      </c>
      <c r="B55" s="192" t="s">
        <v>655</v>
      </c>
      <c r="C55" s="255">
        <v>160</v>
      </c>
      <c r="D55" s="3"/>
      <c r="E55" s="3"/>
      <c r="F55" s="3"/>
      <c r="G55" s="3"/>
      <c r="H55" s="3"/>
      <c r="I55" s="3"/>
      <c r="J55" s="3"/>
      <c r="K55" s="3"/>
      <c r="L55" s="3"/>
      <c r="M55" s="3"/>
      <c r="N55" s="3"/>
      <c r="O55" s="3"/>
      <c r="P55" s="3"/>
      <c r="Q55" s="3"/>
      <c r="R55" s="3"/>
    </row>
    <row r="56" spans="1:18" ht="14.25">
      <c r="A56" s="192" t="s">
        <v>645</v>
      </c>
      <c r="B56" s="192" t="s">
        <v>655</v>
      </c>
      <c r="C56" s="255">
        <v>160</v>
      </c>
      <c r="D56" s="3"/>
      <c r="E56" s="3"/>
      <c r="F56" s="3"/>
      <c r="G56" s="3"/>
      <c r="H56" s="3"/>
      <c r="I56" s="3"/>
      <c r="J56" s="3"/>
      <c r="K56" s="3"/>
      <c r="L56" s="3"/>
      <c r="M56" s="3"/>
      <c r="N56" s="3"/>
      <c r="O56" s="3"/>
      <c r="P56" s="3"/>
      <c r="Q56" s="3"/>
      <c r="R56" s="3"/>
    </row>
    <row r="57" spans="1:18" ht="14.25">
      <c r="A57" s="192" t="s">
        <v>119</v>
      </c>
      <c r="B57" s="192" t="s">
        <v>64</v>
      </c>
      <c r="C57" s="255">
        <v>160</v>
      </c>
      <c r="D57" s="3"/>
      <c r="E57" s="3"/>
      <c r="F57" s="3"/>
      <c r="G57" s="3"/>
      <c r="H57" s="3"/>
      <c r="I57" s="3"/>
      <c r="J57" s="3"/>
      <c r="K57" s="3"/>
      <c r="L57" s="3"/>
      <c r="M57" s="3"/>
      <c r="N57" s="3"/>
      <c r="O57" s="3"/>
      <c r="P57" s="3"/>
      <c r="Q57" s="3"/>
      <c r="R57" s="3"/>
    </row>
    <row r="58" spans="1:18" ht="14.25">
      <c r="A58" s="259" t="s">
        <v>666</v>
      </c>
      <c r="B58" s="195" t="s">
        <v>104</v>
      </c>
      <c r="C58" s="256">
        <v>160</v>
      </c>
      <c r="D58" s="3"/>
      <c r="E58" s="3"/>
      <c r="F58" s="3"/>
      <c r="G58" s="3"/>
      <c r="H58" s="3"/>
      <c r="I58" s="3"/>
      <c r="J58" s="3"/>
      <c r="K58" s="3"/>
      <c r="L58" s="3"/>
      <c r="M58" s="3"/>
      <c r="N58" s="3"/>
      <c r="O58" s="3"/>
      <c r="P58" s="3"/>
      <c r="Q58" s="3"/>
      <c r="R58" s="3"/>
    </row>
    <row r="59" spans="1:18" ht="14.25">
      <c r="A59" s="259" t="s">
        <v>665</v>
      </c>
      <c r="B59" s="195" t="s">
        <v>104</v>
      </c>
      <c r="C59" s="256">
        <v>160</v>
      </c>
      <c r="D59" s="3"/>
      <c r="E59" s="3"/>
      <c r="F59" s="3"/>
      <c r="G59" s="3"/>
      <c r="H59" s="3"/>
      <c r="I59" s="3"/>
      <c r="J59" s="3"/>
      <c r="K59" s="3"/>
      <c r="L59" s="3"/>
      <c r="M59" s="3"/>
      <c r="N59" s="3"/>
      <c r="O59" s="3"/>
      <c r="P59" s="3"/>
      <c r="Q59" s="3"/>
      <c r="R59" s="3"/>
    </row>
    <row r="60" spans="1:18" ht="14.25">
      <c r="A60" s="192" t="s">
        <v>85</v>
      </c>
      <c r="B60" s="195" t="s">
        <v>310</v>
      </c>
      <c r="C60" s="255">
        <v>170</v>
      </c>
      <c r="D60" s="3"/>
      <c r="E60" s="3"/>
      <c r="F60" s="3"/>
      <c r="G60" s="3"/>
      <c r="H60" s="3"/>
      <c r="I60" s="3"/>
      <c r="J60" s="3"/>
      <c r="K60" s="3"/>
      <c r="L60" s="3"/>
      <c r="M60" s="3"/>
      <c r="N60" s="3"/>
      <c r="O60" s="3"/>
      <c r="P60" s="3"/>
      <c r="Q60" s="3"/>
      <c r="R60" s="3"/>
    </row>
    <row r="61" spans="1:18" ht="14.25">
      <c r="A61" s="192" t="s">
        <v>86</v>
      </c>
      <c r="B61" s="195" t="s">
        <v>310</v>
      </c>
      <c r="C61" s="255">
        <v>170</v>
      </c>
      <c r="D61" s="3"/>
      <c r="E61" s="3"/>
      <c r="F61" s="3"/>
      <c r="G61" s="3"/>
      <c r="H61" s="3"/>
      <c r="I61" s="3"/>
      <c r="J61" s="3"/>
      <c r="K61" s="3"/>
      <c r="L61" s="3"/>
      <c r="M61" s="3"/>
      <c r="N61" s="3"/>
      <c r="O61" s="3"/>
      <c r="P61" s="3"/>
      <c r="Q61" s="3"/>
      <c r="R61" s="3"/>
    </row>
    <row r="62" spans="1:18" ht="14.25">
      <c r="A62" s="192" t="s">
        <v>84</v>
      </c>
      <c r="B62" s="195" t="s">
        <v>310</v>
      </c>
      <c r="C62" s="255">
        <v>180</v>
      </c>
      <c r="D62" s="3"/>
      <c r="E62" s="3"/>
      <c r="F62" s="3"/>
      <c r="G62" s="3"/>
      <c r="H62" s="3"/>
      <c r="I62" s="3"/>
      <c r="J62" s="3"/>
      <c r="K62" s="3"/>
      <c r="L62" s="3"/>
      <c r="M62" s="3"/>
      <c r="N62" s="3"/>
      <c r="O62" s="3"/>
      <c r="P62" s="3"/>
      <c r="Q62" s="3"/>
      <c r="R62" s="3"/>
    </row>
    <row r="63" spans="1:18" ht="14.25">
      <c r="A63" s="192" t="s">
        <v>635</v>
      </c>
      <c r="B63" s="192" t="s">
        <v>89</v>
      </c>
      <c r="C63" s="255">
        <v>180</v>
      </c>
      <c r="D63" s="3"/>
      <c r="E63" s="3"/>
      <c r="F63" s="3"/>
      <c r="G63" s="3"/>
      <c r="H63" s="3"/>
      <c r="I63" s="3"/>
      <c r="J63" s="3"/>
      <c r="K63" s="3"/>
      <c r="L63" s="3"/>
      <c r="M63" s="3"/>
      <c r="N63" s="3"/>
      <c r="O63" s="3"/>
      <c r="P63" s="3"/>
      <c r="Q63" s="3"/>
      <c r="R63" s="3"/>
    </row>
    <row r="64" spans="1:18" ht="14.25">
      <c r="A64" s="192" t="s">
        <v>69</v>
      </c>
      <c r="B64" s="192" t="s">
        <v>64</v>
      </c>
      <c r="C64" s="255">
        <v>180</v>
      </c>
      <c r="D64" s="3"/>
      <c r="E64" s="3"/>
      <c r="F64" s="3"/>
      <c r="G64" s="3"/>
      <c r="H64" s="3"/>
      <c r="I64" s="3"/>
      <c r="J64" s="3"/>
      <c r="K64" s="3"/>
      <c r="L64" s="3"/>
      <c r="M64" s="3"/>
      <c r="N64" s="3"/>
      <c r="O64" s="3"/>
      <c r="P64" s="3"/>
      <c r="Q64" s="3"/>
      <c r="R64" s="3"/>
    </row>
    <row r="65" spans="1:18" ht="14.25">
      <c r="A65" s="192" t="s">
        <v>116</v>
      </c>
      <c r="B65" s="195" t="s">
        <v>310</v>
      </c>
      <c r="C65" s="255">
        <v>190</v>
      </c>
      <c r="D65" s="3"/>
      <c r="E65" s="3"/>
      <c r="F65" s="3"/>
      <c r="G65" s="3"/>
      <c r="H65" s="3"/>
      <c r="I65" s="3"/>
      <c r="J65" s="3"/>
      <c r="K65" s="3"/>
      <c r="L65" s="3"/>
      <c r="M65" s="3"/>
      <c r="N65" s="3"/>
      <c r="O65" s="3"/>
      <c r="P65" s="3"/>
      <c r="Q65" s="3"/>
      <c r="R65" s="3"/>
    </row>
    <row r="66" spans="1:18" ht="14.25">
      <c r="A66" s="192" t="s">
        <v>636</v>
      </c>
      <c r="B66" s="192" t="s">
        <v>89</v>
      </c>
      <c r="C66" s="255">
        <v>190</v>
      </c>
      <c r="D66" s="3"/>
      <c r="E66" s="3"/>
      <c r="F66" s="3"/>
      <c r="G66" s="3"/>
      <c r="H66" s="3"/>
      <c r="I66" s="3"/>
      <c r="J66" s="3"/>
      <c r="K66" s="3"/>
      <c r="L66" s="3"/>
      <c r="M66" s="3"/>
      <c r="N66" s="3"/>
      <c r="O66" s="3"/>
      <c r="P66" s="3"/>
      <c r="Q66" s="3"/>
      <c r="R66" s="3"/>
    </row>
    <row r="67" spans="1:18" ht="14.25">
      <c r="A67" s="192" t="s">
        <v>68</v>
      </c>
      <c r="B67" s="192" t="s">
        <v>64</v>
      </c>
      <c r="C67" s="255">
        <v>190</v>
      </c>
      <c r="D67" s="3"/>
      <c r="E67" s="3"/>
      <c r="F67" s="3"/>
      <c r="G67" s="3"/>
      <c r="H67" s="3"/>
      <c r="I67" s="3"/>
      <c r="J67" s="3"/>
      <c r="K67" s="3"/>
      <c r="L67" s="3"/>
      <c r="M67" s="3"/>
      <c r="N67" s="3"/>
      <c r="O67" s="3"/>
      <c r="P67" s="3"/>
      <c r="Q67" s="3"/>
      <c r="R67" s="3"/>
    </row>
    <row r="68" spans="1:18" ht="14.25">
      <c r="A68" s="192" t="s">
        <v>70</v>
      </c>
      <c r="B68" s="192" t="s">
        <v>64</v>
      </c>
      <c r="C68" s="255">
        <v>190</v>
      </c>
      <c r="D68" s="3"/>
      <c r="E68" s="3"/>
      <c r="F68" s="3"/>
      <c r="G68" s="3"/>
      <c r="H68" s="3"/>
      <c r="I68" s="3"/>
      <c r="J68" s="3"/>
      <c r="K68" s="3"/>
      <c r="L68" s="3"/>
      <c r="M68" s="3"/>
      <c r="N68" s="3"/>
      <c r="O68" s="3"/>
      <c r="P68" s="3"/>
      <c r="Q68" s="3"/>
      <c r="R68" s="3"/>
    </row>
    <row r="69" spans="1:18" ht="14.25">
      <c r="A69" s="192" t="s">
        <v>109</v>
      </c>
      <c r="B69" s="192" t="s">
        <v>64</v>
      </c>
      <c r="C69" s="255">
        <v>190</v>
      </c>
      <c r="D69" s="3"/>
      <c r="E69" s="3"/>
      <c r="F69" s="3"/>
      <c r="G69" s="3"/>
      <c r="H69" s="3"/>
      <c r="I69" s="3"/>
      <c r="J69" s="3"/>
      <c r="K69" s="3"/>
      <c r="L69" s="3"/>
      <c r="M69" s="3"/>
      <c r="N69" s="3"/>
      <c r="O69" s="3"/>
      <c r="P69" s="3"/>
      <c r="Q69" s="3"/>
      <c r="R69" s="3"/>
    </row>
    <row r="70" spans="1:18" ht="14.25">
      <c r="A70" s="192" t="s">
        <v>65</v>
      </c>
      <c r="B70" s="192" t="s">
        <v>64</v>
      </c>
      <c r="C70" s="255">
        <v>200</v>
      </c>
      <c r="D70" s="3"/>
      <c r="E70" s="3"/>
      <c r="F70" s="3"/>
      <c r="G70" s="3"/>
      <c r="H70" s="3"/>
      <c r="I70" s="3"/>
      <c r="J70" s="3"/>
      <c r="K70" s="3"/>
      <c r="L70" s="3"/>
      <c r="M70" s="3"/>
      <c r="N70" s="3"/>
      <c r="O70" s="3"/>
      <c r="P70" s="3"/>
      <c r="Q70" s="3"/>
      <c r="R70" s="3"/>
    </row>
    <row r="71" spans="1:18" ht="14.25">
      <c r="A71" s="192" t="s">
        <v>621</v>
      </c>
      <c r="B71" s="195" t="s">
        <v>310</v>
      </c>
      <c r="C71" s="255">
        <v>210</v>
      </c>
      <c r="D71" s="3"/>
      <c r="E71" s="3"/>
      <c r="F71" s="3"/>
      <c r="G71" s="3"/>
      <c r="H71" s="3"/>
      <c r="I71" s="3"/>
      <c r="J71" s="3"/>
      <c r="K71" s="3"/>
      <c r="L71" s="3"/>
      <c r="M71" s="3"/>
      <c r="N71" s="3"/>
      <c r="O71" s="3"/>
      <c r="P71" s="3"/>
      <c r="Q71" s="3"/>
      <c r="R71" s="3"/>
    </row>
    <row r="72" spans="1:18" ht="14.25">
      <c r="A72" s="192" t="s">
        <v>622</v>
      </c>
      <c r="B72" s="195" t="s">
        <v>310</v>
      </c>
      <c r="C72" s="255">
        <v>210</v>
      </c>
      <c r="D72" s="3"/>
      <c r="E72" s="3"/>
      <c r="F72" s="3"/>
      <c r="G72" s="3"/>
      <c r="H72" s="3"/>
      <c r="I72" s="3"/>
      <c r="J72" s="3"/>
      <c r="K72" s="3"/>
      <c r="L72" s="3"/>
      <c r="M72" s="3"/>
      <c r="N72" s="3"/>
      <c r="O72" s="3"/>
      <c r="P72" s="3"/>
      <c r="Q72" s="3"/>
      <c r="R72" s="3"/>
    </row>
    <row r="73" spans="1:18" ht="14.25">
      <c r="A73" s="192" t="s">
        <v>637</v>
      </c>
      <c r="B73" s="192" t="s">
        <v>71</v>
      </c>
      <c r="C73" s="255">
        <v>210</v>
      </c>
      <c r="D73" s="3"/>
      <c r="E73" s="3"/>
      <c r="F73" s="3"/>
      <c r="G73" s="3"/>
      <c r="H73" s="3"/>
      <c r="I73" s="3"/>
      <c r="J73" s="3"/>
      <c r="K73" s="3"/>
      <c r="L73" s="3"/>
      <c r="M73" s="3"/>
      <c r="N73" s="3"/>
      <c r="O73" s="3"/>
      <c r="P73" s="3"/>
      <c r="Q73" s="3"/>
      <c r="R73" s="3"/>
    </row>
    <row r="74" spans="1:18" ht="14.25">
      <c r="A74" s="192" t="s">
        <v>76</v>
      </c>
      <c r="B74" s="192" t="s">
        <v>71</v>
      </c>
      <c r="C74" s="255">
        <v>210</v>
      </c>
      <c r="D74" s="3"/>
      <c r="E74" s="3"/>
      <c r="F74" s="3"/>
      <c r="G74" s="3"/>
      <c r="H74" s="3"/>
      <c r="I74" s="3"/>
      <c r="J74" s="3"/>
      <c r="K74" s="3"/>
      <c r="L74" s="3"/>
      <c r="M74" s="3"/>
      <c r="N74" s="3"/>
      <c r="O74" s="3"/>
      <c r="P74" s="3"/>
      <c r="Q74" s="3"/>
      <c r="R74" s="3"/>
    </row>
    <row r="75" spans="1:18" ht="14.25">
      <c r="A75" s="192" t="s">
        <v>78</v>
      </c>
      <c r="B75" s="192" t="s">
        <v>71</v>
      </c>
      <c r="C75" s="255">
        <v>210</v>
      </c>
      <c r="D75" s="3"/>
      <c r="E75" s="3"/>
      <c r="F75" s="3"/>
      <c r="G75" s="3"/>
      <c r="H75" s="3"/>
      <c r="I75" s="3"/>
      <c r="J75" s="3"/>
      <c r="K75" s="3"/>
      <c r="L75" s="3"/>
      <c r="M75" s="3"/>
      <c r="N75" s="3"/>
      <c r="O75" s="3"/>
      <c r="P75" s="3"/>
      <c r="Q75" s="3"/>
      <c r="R75" s="3"/>
    </row>
    <row r="76" spans="1:18" ht="14.25">
      <c r="A76" s="192" t="s">
        <v>74</v>
      </c>
      <c r="B76" s="192" t="s">
        <v>71</v>
      </c>
      <c r="C76" s="255">
        <v>220</v>
      </c>
      <c r="D76" s="3"/>
      <c r="E76" s="3"/>
      <c r="F76" s="3"/>
      <c r="G76" s="3"/>
      <c r="H76" s="3"/>
      <c r="I76" s="3"/>
      <c r="J76" s="3"/>
      <c r="K76" s="3"/>
      <c r="L76" s="3"/>
      <c r="M76" s="3"/>
      <c r="N76" s="3"/>
      <c r="O76" s="3"/>
      <c r="P76" s="3"/>
      <c r="Q76" s="3"/>
      <c r="R76" s="3"/>
    </row>
    <row r="77" spans="1:18" ht="14.25">
      <c r="A77" s="192" t="s">
        <v>634</v>
      </c>
      <c r="B77" s="192" t="s">
        <v>89</v>
      </c>
      <c r="C77" s="255">
        <v>230</v>
      </c>
      <c r="D77" s="3"/>
      <c r="E77" s="3"/>
      <c r="F77" s="3"/>
      <c r="G77" s="3"/>
      <c r="H77" s="3"/>
      <c r="I77" s="3"/>
      <c r="J77" s="3"/>
      <c r="K77" s="3"/>
      <c r="L77" s="3"/>
      <c r="M77" s="3"/>
      <c r="N77" s="3"/>
      <c r="O77" s="3"/>
      <c r="P77" s="3"/>
      <c r="Q77" s="3"/>
      <c r="R77" s="3"/>
    </row>
    <row r="78" spans="1:18" ht="14.25">
      <c r="A78" s="192" t="s">
        <v>72</v>
      </c>
      <c r="B78" s="192" t="s">
        <v>71</v>
      </c>
      <c r="C78" s="255">
        <v>230</v>
      </c>
      <c r="D78" s="3"/>
      <c r="E78" s="3"/>
      <c r="F78" s="3"/>
      <c r="G78" s="3"/>
      <c r="H78" s="3"/>
      <c r="I78" s="3"/>
      <c r="J78" s="3"/>
      <c r="K78" s="3"/>
      <c r="L78" s="3"/>
      <c r="M78" s="3"/>
      <c r="N78" s="3"/>
      <c r="O78" s="3"/>
      <c r="P78" s="3"/>
      <c r="Q78" s="3"/>
      <c r="R78" s="3"/>
    </row>
    <row r="79" spans="1:18" ht="14.25">
      <c r="A79" s="192" t="s">
        <v>75</v>
      </c>
      <c r="B79" s="192" t="s">
        <v>71</v>
      </c>
      <c r="C79" s="255">
        <v>230</v>
      </c>
      <c r="D79" s="3"/>
      <c r="E79" s="3"/>
      <c r="F79" s="3"/>
      <c r="G79" s="3"/>
      <c r="H79" s="3"/>
      <c r="I79" s="3"/>
      <c r="J79" s="3"/>
      <c r="K79" s="3"/>
      <c r="L79" s="3"/>
      <c r="M79" s="3"/>
      <c r="N79" s="3"/>
      <c r="O79" s="3"/>
      <c r="P79" s="3"/>
      <c r="Q79" s="3"/>
      <c r="R79" s="3"/>
    </row>
    <row r="80" spans="1:18" ht="14.25">
      <c r="A80" s="192" t="s">
        <v>619</v>
      </c>
      <c r="B80" s="195" t="s">
        <v>310</v>
      </c>
      <c r="C80" s="255">
        <v>240</v>
      </c>
      <c r="D80" s="3"/>
      <c r="E80" s="3"/>
      <c r="F80" s="3"/>
      <c r="G80" s="3"/>
      <c r="H80" s="3"/>
      <c r="I80" s="3"/>
      <c r="J80" s="3"/>
      <c r="K80" s="3"/>
      <c r="L80" s="3"/>
      <c r="M80" s="3"/>
      <c r="N80" s="3"/>
      <c r="O80" s="3"/>
      <c r="P80" s="3"/>
      <c r="Q80" s="3"/>
      <c r="R80" s="3"/>
    </row>
    <row r="81" spans="1:18" ht="14.25">
      <c r="A81" s="192" t="s">
        <v>620</v>
      </c>
      <c r="B81" s="195" t="s">
        <v>310</v>
      </c>
      <c r="C81" s="255">
        <v>240</v>
      </c>
      <c r="D81" s="3"/>
      <c r="E81" s="3"/>
      <c r="F81" s="3"/>
      <c r="G81" s="3"/>
      <c r="H81" s="3"/>
      <c r="I81" s="3"/>
      <c r="J81" s="3"/>
      <c r="K81" s="3"/>
      <c r="L81" s="3"/>
      <c r="M81" s="3"/>
      <c r="N81" s="3"/>
      <c r="O81" s="3"/>
      <c r="P81" s="3"/>
      <c r="Q81" s="3"/>
      <c r="R81" s="3"/>
    </row>
    <row r="82" spans="1:18" ht="14.25">
      <c r="A82" s="192" t="s">
        <v>90</v>
      </c>
      <c r="B82" s="192" t="s">
        <v>89</v>
      </c>
      <c r="C82" s="255">
        <v>250</v>
      </c>
      <c r="D82" s="3"/>
      <c r="E82" s="3"/>
      <c r="F82" s="3"/>
      <c r="G82" s="3"/>
      <c r="H82" s="3"/>
      <c r="I82" s="3"/>
      <c r="J82" s="3"/>
      <c r="K82" s="3"/>
      <c r="L82" s="3"/>
      <c r="M82" s="3"/>
      <c r="N82" s="3"/>
      <c r="O82" s="3"/>
      <c r="P82" s="3"/>
      <c r="Q82" s="3"/>
      <c r="R82" s="3"/>
    </row>
    <row r="83" spans="1:18" ht="14.25">
      <c r="A83" s="192" t="s">
        <v>77</v>
      </c>
      <c r="B83" s="192" t="s">
        <v>71</v>
      </c>
      <c r="C83" s="255">
        <v>250</v>
      </c>
      <c r="D83" s="3"/>
      <c r="E83" s="3"/>
      <c r="F83" s="3"/>
      <c r="G83" s="3"/>
      <c r="H83" s="3"/>
      <c r="I83" s="3"/>
      <c r="J83" s="3"/>
      <c r="K83" s="3"/>
      <c r="L83" s="3"/>
      <c r="M83" s="3"/>
      <c r="N83" s="3"/>
      <c r="O83" s="3"/>
      <c r="P83" s="3"/>
      <c r="Q83" s="3"/>
      <c r="R83" s="3"/>
    </row>
    <row r="84" spans="1:18" ht="14.25">
      <c r="A84" s="192" t="s">
        <v>80</v>
      </c>
      <c r="B84" s="192" t="s">
        <v>71</v>
      </c>
      <c r="C84" s="255">
        <v>250</v>
      </c>
      <c r="D84" s="3"/>
      <c r="E84" s="3"/>
      <c r="F84" s="3"/>
      <c r="G84" s="3"/>
      <c r="H84" s="3"/>
      <c r="I84" s="3"/>
      <c r="J84" s="3"/>
      <c r="K84" s="3"/>
      <c r="L84" s="3"/>
      <c r="M84" s="3"/>
      <c r="N84" s="3"/>
      <c r="O84" s="3"/>
      <c r="P84" s="3"/>
      <c r="Q84" s="3"/>
      <c r="R84" s="3"/>
    </row>
    <row r="85" spans="1:18" ht="14.25">
      <c r="A85" s="192" t="s">
        <v>81</v>
      </c>
      <c r="B85" s="192" t="s">
        <v>71</v>
      </c>
      <c r="C85" s="255">
        <v>250</v>
      </c>
      <c r="D85" s="3"/>
      <c r="E85" s="3"/>
      <c r="F85" s="3"/>
      <c r="G85" s="3"/>
      <c r="H85" s="3"/>
      <c r="I85" s="3"/>
      <c r="J85" s="3"/>
      <c r="K85" s="3"/>
      <c r="L85" s="3"/>
      <c r="M85" s="3"/>
      <c r="N85" s="3"/>
      <c r="O85" s="3"/>
      <c r="P85" s="3"/>
      <c r="Q85" s="3"/>
      <c r="R85" s="3"/>
    </row>
    <row r="86" spans="1:18" ht="14.25">
      <c r="A86" s="192" t="s">
        <v>580</v>
      </c>
      <c r="B86" s="192" t="s">
        <v>89</v>
      </c>
      <c r="C86" s="255">
        <v>260</v>
      </c>
      <c r="D86" s="3"/>
      <c r="E86" s="3"/>
      <c r="F86" s="3"/>
      <c r="G86" s="3"/>
      <c r="H86" s="3"/>
      <c r="I86" s="3"/>
      <c r="J86" s="3"/>
      <c r="K86" s="3"/>
      <c r="L86" s="3"/>
      <c r="M86" s="3"/>
      <c r="N86" s="3"/>
      <c r="O86" s="3"/>
      <c r="P86" s="3"/>
      <c r="Q86" s="3"/>
      <c r="R86" s="3"/>
    </row>
    <row r="87" spans="1:18" ht="14.25">
      <c r="A87" s="192" t="s">
        <v>92</v>
      </c>
      <c r="B87" s="192" t="s">
        <v>89</v>
      </c>
      <c r="C87" s="255">
        <v>280</v>
      </c>
      <c r="D87" s="3"/>
      <c r="E87" s="3"/>
      <c r="F87" s="3"/>
      <c r="G87" s="3"/>
      <c r="H87" s="3"/>
      <c r="I87" s="3"/>
      <c r="J87" s="3"/>
      <c r="K87" s="3"/>
      <c r="L87" s="3"/>
      <c r="M87" s="3"/>
      <c r="N87" s="3"/>
      <c r="O87" s="3"/>
      <c r="P87" s="3"/>
      <c r="Q87" s="3"/>
      <c r="R87" s="3"/>
    </row>
    <row r="88" spans="1:18" ht="14.25">
      <c r="A88" s="192" t="s">
        <v>113</v>
      </c>
      <c r="B88" s="192" t="s">
        <v>89</v>
      </c>
      <c r="C88" s="255">
        <v>280</v>
      </c>
      <c r="D88" s="3"/>
      <c r="E88" s="3"/>
      <c r="F88" s="3"/>
      <c r="G88" s="3"/>
      <c r="H88" s="3"/>
      <c r="I88" s="3"/>
      <c r="J88" s="3"/>
      <c r="K88" s="3"/>
      <c r="L88" s="3"/>
      <c r="M88" s="3"/>
      <c r="N88" s="3"/>
      <c r="O88" s="3"/>
      <c r="P88" s="3"/>
      <c r="Q88" s="3"/>
      <c r="R88" s="3"/>
    </row>
    <row r="89" spans="1:18" ht="14.25">
      <c r="A89" s="192" t="s">
        <v>297</v>
      </c>
      <c r="B89" s="192" t="s">
        <v>89</v>
      </c>
      <c r="C89" s="255">
        <v>280</v>
      </c>
      <c r="D89" s="3"/>
      <c r="E89" s="3"/>
      <c r="F89" s="3"/>
      <c r="G89" s="3"/>
      <c r="H89" s="3"/>
      <c r="I89" s="3"/>
      <c r="J89" s="3"/>
      <c r="K89" s="3"/>
      <c r="L89" s="3"/>
      <c r="M89" s="3"/>
      <c r="N89" s="3"/>
      <c r="O89" s="3"/>
      <c r="P89" s="3"/>
      <c r="Q89" s="3"/>
      <c r="R89" s="3"/>
    </row>
    <row r="90" spans="1:18" ht="14.25">
      <c r="A90" s="192" t="s">
        <v>579</v>
      </c>
      <c r="B90" s="192" t="s">
        <v>89</v>
      </c>
      <c r="C90" s="255">
        <v>280</v>
      </c>
      <c r="D90" s="3"/>
      <c r="E90" s="3"/>
      <c r="F90" s="3"/>
      <c r="G90" s="3"/>
      <c r="H90" s="3"/>
      <c r="I90" s="3"/>
      <c r="J90" s="3"/>
      <c r="K90" s="3"/>
      <c r="L90" s="3"/>
      <c r="M90" s="3"/>
      <c r="N90" s="3"/>
      <c r="O90" s="3"/>
      <c r="P90" s="3"/>
      <c r="Q90" s="3"/>
      <c r="R90" s="3"/>
    </row>
    <row r="91" spans="1:18" ht="14.25">
      <c r="A91" s="192" t="s">
        <v>79</v>
      </c>
      <c r="B91" s="192" t="s">
        <v>71</v>
      </c>
      <c r="C91" s="255">
        <v>280</v>
      </c>
      <c r="D91" s="3"/>
      <c r="E91" s="3"/>
      <c r="F91" s="3"/>
      <c r="G91" s="3"/>
      <c r="H91" s="3"/>
      <c r="I91" s="3"/>
      <c r="J91" s="3"/>
      <c r="K91" s="3"/>
      <c r="L91" s="3"/>
      <c r="M91" s="3"/>
      <c r="N91" s="3"/>
      <c r="O91" s="3"/>
      <c r="P91" s="3"/>
      <c r="Q91" s="3"/>
      <c r="R91" s="3"/>
    </row>
    <row r="92" spans="1:18" ht="14.25">
      <c r="A92" s="192" t="s">
        <v>632</v>
      </c>
      <c r="B92" s="192" t="s">
        <v>89</v>
      </c>
      <c r="C92" s="255">
        <v>300</v>
      </c>
      <c r="D92" s="3"/>
      <c r="E92" s="3"/>
      <c r="F92" s="3"/>
      <c r="G92" s="3"/>
      <c r="H92" s="3"/>
      <c r="I92" s="3"/>
      <c r="J92" s="3"/>
      <c r="K92" s="3"/>
      <c r="L92" s="3"/>
      <c r="M92" s="3"/>
      <c r="N92" s="3"/>
      <c r="O92" s="3"/>
      <c r="P92" s="3"/>
      <c r="Q92" s="3"/>
      <c r="R92" s="3"/>
    </row>
    <row r="93" spans="1:18" ht="14.25">
      <c r="A93" s="192" t="s">
        <v>582</v>
      </c>
      <c r="B93" s="192" t="s">
        <v>71</v>
      </c>
      <c r="C93" s="255">
        <v>300</v>
      </c>
      <c r="D93" s="3"/>
      <c r="E93" s="3"/>
      <c r="F93" s="3"/>
      <c r="G93" s="3"/>
      <c r="H93" s="3"/>
      <c r="I93" s="3"/>
      <c r="J93" s="3"/>
      <c r="K93" s="3"/>
      <c r="L93" s="3"/>
      <c r="M93" s="3"/>
      <c r="N93" s="3"/>
      <c r="O93" s="3"/>
      <c r="P93" s="3"/>
      <c r="Q93" s="3"/>
      <c r="R93" s="3"/>
    </row>
    <row r="94" spans="1:18" ht="14.25">
      <c r="A94" s="192" t="s">
        <v>129</v>
      </c>
      <c r="B94" s="192" t="s">
        <v>64</v>
      </c>
      <c r="C94" s="255">
        <v>300</v>
      </c>
      <c r="D94" s="3"/>
      <c r="E94" s="3"/>
      <c r="F94" s="3"/>
      <c r="G94" s="3"/>
      <c r="H94" s="3"/>
      <c r="I94" s="3"/>
      <c r="J94" s="3"/>
      <c r="K94" s="3"/>
      <c r="L94" s="3"/>
      <c r="M94" s="3"/>
      <c r="N94" s="3"/>
      <c r="O94" s="3"/>
      <c r="P94" s="3"/>
      <c r="Q94" s="3"/>
      <c r="R94" s="3"/>
    </row>
    <row r="95" spans="1:18" ht="14.25">
      <c r="A95" s="193" t="s">
        <v>559</v>
      </c>
      <c r="B95" s="195" t="s">
        <v>71</v>
      </c>
      <c r="C95" s="256">
        <v>300</v>
      </c>
      <c r="D95" s="3"/>
      <c r="E95" s="3"/>
      <c r="F95" s="3"/>
      <c r="G95" s="3"/>
      <c r="H95" s="3"/>
      <c r="I95" s="3"/>
      <c r="J95" s="3"/>
      <c r="K95" s="3"/>
      <c r="L95" s="3"/>
      <c r="M95" s="3"/>
      <c r="N95" s="3"/>
      <c r="O95" s="3"/>
      <c r="P95" s="3"/>
      <c r="Q95" s="3"/>
      <c r="R95" s="3"/>
    </row>
    <row r="96" spans="1:18" ht="14.25">
      <c r="A96" s="192" t="s">
        <v>117</v>
      </c>
      <c r="B96" s="192" t="s">
        <v>89</v>
      </c>
      <c r="C96" s="255">
        <v>320</v>
      </c>
      <c r="D96" s="3"/>
      <c r="E96" s="3"/>
      <c r="F96" s="3"/>
      <c r="G96" s="3"/>
      <c r="H96" s="3"/>
      <c r="I96" s="3"/>
      <c r="J96" s="3"/>
      <c r="K96" s="3"/>
      <c r="L96" s="3"/>
      <c r="M96" s="3"/>
      <c r="N96" s="3"/>
      <c r="O96" s="3"/>
      <c r="P96" s="3"/>
      <c r="Q96" s="3"/>
      <c r="R96" s="3"/>
    </row>
    <row r="97" spans="1:18" ht="14.25">
      <c r="A97" s="192" t="s">
        <v>112</v>
      </c>
      <c r="B97" s="192" t="s">
        <v>89</v>
      </c>
      <c r="C97" s="255">
        <v>320</v>
      </c>
      <c r="D97" s="3"/>
      <c r="E97" s="3"/>
      <c r="F97" s="3"/>
      <c r="G97" s="3"/>
      <c r="H97" s="3"/>
      <c r="I97" s="3"/>
      <c r="J97" s="3"/>
      <c r="K97" s="3"/>
      <c r="L97" s="3"/>
      <c r="M97" s="3"/>
      <c r="N97" s="3"/>
      <c r="O97" s="3"/>
      <c r="P97" s="3"/>
      <c r="Q97" s="3"/>
      <c r="R97" s="3"/>
    </row>
    <row r="98" spans="1:18" ht="14.25">
      <c r="A98" s="192" t="s">
        <v>633</v>
      </c>
      <c r="B98" s="192" t="s">
        <v>89</v>
      </c>
      <c r="C98" s="255">
        <v>320</v>
      </c>
      <c r="D98" s="3"/>
      <c r="E98" s="3"/>
      <c r="F98" s="3"/>
      <c r="G98" s="3"/>
      <c r="H98" s="3"/>
      <c r="I98" s="3"/>
      <c r="J98" s="3"/>
      <c r="K98" s="3"/>
      <c r="L98" s="3"/>
      <c r="M98" s="3"/>
      <c r="N98" s="3"/>
      <c r="O98" s="3"/>
      <c r="P98" s="3"/>
      <c r="Q98" s="3"/>
      <c r="R98" s="3"/>
    </row>
    <row r="99" spans="1:18" ht="14.25">
      <c r="A99" s="192" t="s">
        <v>578</v>
      </c>
      <c r="B99" s="192" t="s">
        <v>89</v>
      </c>
      <c r="C99" s="255">
        <v>340</v>
      </c>
      <c r="D99" s="3"/>
      <c r="E99" s="3"/>
      <c r="F99" s="3"/>
      <c r="G99" s="3"/>
      <c r="H99" s="3"/>
      <c r="I99" s="3"/>
      <c r="J99" s="3"/>
      <c r="K99" s="3"/>
      <c r="L99" s="3"/>
      <c r="M99" s="3"/>
      <c r="N99" s="3"/>
      <c r="O99" s="3"/>
      <c r="P99" s="3"/>
      <c r="Q99" s="3"/>
      <c r="R99" s="3"/>
    </row>
    <row r="100" spans="1:18" ht="14.25">
      <c r="A100" s="192" t="s">
        <v>588</v>
      </c>
      <c r="B100" s="195" t="s">
        <v>100</v>
      </c>
      <c r="C100" s="255">
        <v>580</v>
      </c>
      <c r="D100" s="3"/>
      <c r="E100" s="3"/>
      <c r="F100" s="3"/>
      <c r="G100" s="3"/>
      <c r="H100" s="3"/>
      <c r="I100" s="3"/>
      <c r="J100" s="3"/>
      <c r="K100" s="3"/>
      <c r="L100" s="3"/>
      <c r="M100" s="3"/>
      <c r="N100" s="3"/>
      <c r="O100" s="3"/>
      <c r="P100" s="3"/>
      <c r="Q100" s="3"/>
      <c r="R100" s="3"/>
    </row>
    <row r="101" spans="1:18" ht="14.25">
      <c r="A101" s="192" t="s">
        <v>599</v>
      </c>
      <c r="B101" s="195" t="s">
        <v>100</v>
      </c>
      <c r="C101" s="255">
        <v>580</v>
      </c>
      <c r="D101" s="3"/>
      <c r="E101" s="3"/>
      <c r="F101" s="3"/>
      <c r="G101" s="3"/>
      <c r="H101" s="3"/>
      <c r="I101" s="3"/>
      <c r="J101" s="3"/>
      <c r="K101" s="3"/>
      <c r="L101" s="3"/>
      <c r="M101" s="3"/>
      <c r="N101" s="3"/>
      <c r="O101" s="3"/>
      <c r="P101" s="3"/>
      <c r="Q101" s="3"/>
      <c r="R101" s="3"/>
    </row>
    <row r="102" spans="1:18" ht="14.25">
      <c r="A102" s="192" t="s">
        <v>106</v>
      </c>
      <c r="B102" s="195" t="s">
        <v>100</v>
      </c>
      <c r="C102" s="255">
        <v>600</v>
      </c>
      <c r="D102" s="3"/>
      <c r="E102" s="3"/>
      <c r="F102" s="3"/>
      <c r="G102" s="3"/>
      <c r="H102" s="3"/>
      <c r="I102" s="3"/>
      <c r="J102" s="3"/>
      <c r="K102" s="3"/>
      <c r="L102" s="3"/>
      <c r="M102" s="3"/>
      <c r="N102" s="3"/>
      <c r="O102" s="3"/>
      <c r="P102" s="3"/>
      <c r="Q102" s="3"/>
      <c r="R102" s="3"/>
    </row>
    <row r="103" spans="1:18" ht="14.25">
      <c r="A103" s="192" t="s">
        <v>602</v>
      </c>
      <c r="B103" s="195" t="s">
        <v>100</v>
      </c>
      <c r="C103" s="255">
        <v>600</v>
      </c>
      <c r="D103" s="3"/>
      <c r="E103" s="3"/>
      <c r="F103" s="3"/>
      <c r="G103" s="3"/>
      <c r="H103" s="3"/>
      <c r="I103" s="3"/>
      <c r="J103" s="3"/>
      <c r="K103" s="3"/>
      <c r="L103" s="3"/>
      <c r="M103" s="3"/>
      <c r="N103" s="3"/>
      <c r="O103" s="3"/>
      <c r="P103" s="3"/>
      <c r="Q103" s="3"/>
      <c r="R103" s="3"/>
    </row>
    <row r="104" spans="1:18" ht="14.25">
      <c r="A104" s="192" t="s">
        <v>604</v>
      </c>
      <c r="B104" s="195" t="s">
        <v>100</v>
      </c>
      <c r="C104" s="255">
        <v>600</v>
      </c>
      <c r="D104" s="3"/>
      <c r="E104" s="3"/>
      <c r="F104" s="3"/>
      <c r="G104" s="3"/>
      <c r="H104" s="3"/>
      <c r="I104" s="3"/>
      <c r="J104" s="3"/>
      <c r="K104" s="3"/>
      <c r="L104" s="3"/>
      <c r="M104" s="3"/>
      <c r="N104" s="3"/>
      <c r="O104" s="3"/>
      <c r="P104" s="3"/>
      <c r="Q104" s="3"/>
      <c r="R104" s="3"/>
    </row>
    <row r="105" spans="1:18" ht="14.25">
      <c r="A105" s="192" t="s">
        <v>606</v>
      </c>
      <c r="B105" s="195" t="s">
        <v>100</v>
      </c>
      <c r="C105" s="255">
        <v>600</v>
      </c>
      <c r="D105" s="3"/>
      <c r="E105" s="3"/>
      <c r="F105" s="3"/>
      <c r="G105" s="3"/>
      <c r="H105" s="3"/>
      <c r="I105" s="3"/>
      <c r="J105" s="3"/>
      <c r="K105" s="3"/>
      <c r="L105" s="3"/>
      <c r="M105" s="3"/>
      <c r="N105" s="3"/>
      <c r="O105" s="3"/>
      <c r="P105" s="3"/>
      <c r="Q105" s="3"/>
      <c r="R105" s="3"/>
    </row>
    <row r="106" spans="1:18" ht="14.25">
      <c r="A106" s="192" t="s">
        <v>107</v>
      </c>
      <c r="B106" s="195" t="s">
        <v>100</v>
      </c>
      <c r="C106" s="255">
        <v>600</v>
      </c>
      <c r="D106" s="3"/>
      <c r="E106" s="3"/>
      <c r="F106" s="3"/>
      <c r="G106" s="3"/>
      <c r="H106" s="3"/>
      <c r="I106" s="3"/>
      <c r="J106" s="3"/>
      <c r="K106" s="3"/>
      <c r="L106" s="3"/>
      <c r="M106" s="3"/>
      <c r="N106" s="3"/>
      <c r="O106" s="3"/>
      <c r="P106" s="3"/>
      <c r="Q106" s="3"/>
      <c r="R106" s="3"/>
    </row>
    <row r="107" spans="1:18" ht="14.25">
      <c r="A107" s="192" t="s">
        <v>586</v>
      </c>
      <c r="B107" s="195" t="s">
        <v>100</v>
      </c>
      <c r="C107" s="255">
        <v>620</v>
      </c>
      <c r="D107" s="3"/>
      <c r="E107" s="3"/>
      <c r="F107" s="3"/>
      <c r="G107" s="3"/>
      <c r="H107" s="3"/>
      <c r="I107" s="3"/>
      <c r="J107" s="3"/>
      <c r="K107" s="3"/>
      <c r="L107" s="3"/>
      <c r="M107" s="3"/>
      <c r="N107" s="3"/>
      <c r="O107" s="3"/>
      <c r="P107" s="3"/>
      <c r="Q107" s="3"/>
      <c r="R107" s="3"/>
    </row>
    <row r="108" spans="1:18" ht="14.25">
      <c r="A108" s="192" t="s">
        <v>590</v>
      </c>
      <c r="B108" s="195" t="s">
        <v>100</v>
      </c>
      <c r="C108" s="255">
        <v>620</v>
      </c>
      <c r="D108" s="3"/>
      <c r="E108" s="3"/>
      <c r="F108" s="3"/>
      <c r="G108" s="3"/>
      <c r="H108" s="3"/>
      <c r="I108" s="3"/>
      <c r="J108" s="3"/>
      <c r="K108" s="3"/>
      <c r="L108" s="3"/>
      <c r="M108" s="3"/>
      <c r="N108" s="3"/>
      <c r="O108" s="3"/>
      <c r="P108" s="3"/>
      <c r="Q108" s="3"/>
      <c r="R108" s="3"/>
    </row>
    <row r="109" spans="1:18" ht="14.25">
      <c r="A109" s="192" t="s">
        <v>597</v>
      </c>
      <c r="B109" s="195" t="s">
        <v>100</v>
      </c>
      <c r="C109" s="255">
        <v>620</v>
      </c>
      <c r="D109" s="3"/>
      <c r="E109" s="3"/>
      <c r="F109" s="3"/>
      <c r="G109" s="3"/>
      <c r="H109" s="3"/>
      <c r="I109" s="3"/>
      <c r="J109" s="3"/>
      <c r="K109" s="3"/>
      <c r="L109" s="3"/>
      <c r="M109" s="3"/>
      <c r="N109" s="3"/>
      <c r="O109" s="3"/>
      <c r="P109" s="3"/>
      <c r="Q109" s="3"/>
      <c r="R109" s="3"/>
    </row>
    <row r="110" spans="1:18" ht="14.25">
      <c r="A110" s="192" t="s">
        <v>603</v>
      </c>
      <c r="B110" s="195" t="s">
        <v>100</v>
      </c>
      <c r="C110" s="255">
        <v>620</v>
      </c>
      <c r="D110" s="3"/>
      <c r="E110" s="3"/>
      <c r="F110" s="3"/>
      <c r="G110" s="3"/>
      <c r="H110" s="3"/>
      <c r="I110" s="3"/>
      <c r="J110" s="3"/>
      <c r="K110" s="3"/>
      <c r="L110" s="3"/>
      <c r="M110" s="3"/>
      <c r="N110" s="3"/>
      <c r="O110" s="3"/>
      <c r="P110" s="3"/>
      <c r="Q110" s="3"/>
      <c r="R110" s="3"/>
    </row>
    <row r="111" spans="1:18" ht="14.25">
      <c r="A111" s="192" t="s">
        <v>605</v>
      </c>
      <c r="B111" s="195" t="s">
        <v>100</v>
      </c>
      <c r="C111" s="255">
        <v>620</v>
      </c>
      <c r="D111" s="3"/>
      <c r="E111" s="3"/>
      <c r="F111" s="3"/>
      <c r="G111" s="3"/>
      <c r="H111" s="3"/>
      <c r="I111" s="3"/>
      <c r="J111" s="3"/>
      <c r="K111" s="3"/>
      <c r="L111" s="3"/>
      <c r="M111" s="3"/>
      <c r="N111" s="3"/>
      <c r="O111" s="3"/>
      <c r="P111" s="3"/>
      <c r="Q111" s="3"/>
      <c r="R111" s="3"/>
    </row>
    <row r="112" spans="1:18" ht="14.25">
      <c r="A112" s="192" t="s">
        <v>589</v>
      </c>
      <c r="B112" s="195" t="s">
        <v>100</v>
      </c>
      <c r="C112" s="255">
        <v>640</v>
      </c>
      <c r="D112" s="3"/>
      <c r="E112" s="3"/>
      <c r="F112" s="3"/>
      <c r="G112" s="3"/>
      <c r="H112" s="3"/>
      <c r="I112" s="3"/>
      <c r="J112" s="3"/>
      <c r="K112" s="3"/>
      <c r="L112" s="3"/>
      <c r="M112" s="3"/>
      <c r="N112" s="3"/>
      <c r="O112" s="3"/>
      <c r="P112" s="3"/>
      <c r="Q112" s="3"/>
      <c r="R112" s="3"/>
    </row>
    <row r="113" spans="1:18" ht="14.25">
      <c r="A113" s="192" t="s">
        <v>598</v>
      </c>
      <c r="B113" s="195" t="s">
        <v>100</v>
      </c>
      <c r="C113" s="255">
        <v>640</v>
      </c>
      <c r="D113" s="3"/>
      <c r="E113" s="3"/>
      <c r="F113" s="3"/>
      <c r="G113" s="3"/>
      <c r="H113" s="3"/>
      <c r="I113" s="3"/>
      <c r="J113" s="3"/>
      <c r="K113" s="3"/>
      <c r="L113" s="3"/>
      <c r="M113" s="3"/>
      <c r="N113" s="3"/>
      <c r="O113" s="3"/>
      <c r="P113" s="3"/>
      <c r="Q113" s="3"/>
      <c r="R113" s="3"/>
    </row>
    <row r="114" spans="1:18" ht="14.25">
      <c r="A114" s="192" t="s">
        <v>592</v>
      </c>
      <c r="B114" s="195" t="s">
        <v>100</v>
      </c>
      <c r="C114" s="255">
        <v>670</v>
      </c>
      <c r="D114" s="3"/>
      <c r="E114" s="3"/>
      <c r="F114" s="3"/>
      <c r="G114" s="3"/>
      <c r="H114" s="3"/>
      <c r="I114" s="3"/>
      <c r="J114" s="3"/>
      <c r="K114" s="3"/>
      <c r="L114" s="3"/>
      <c r="M114" s="3"/>
      <c r="N114" s="3"/>
      <c r="O114" s="3"/>
      <c r="P114" s="3"/>
      <c r="Q114" s="3"/>
      <c r="R114" s="3"/>
    </row>
    <row r="115" spans="1:18" ht="14.25">
      <c r="A115" s="192" t="s">
        <v>600</v>
      </c>
      <c r="B115" s="195" t="s">
        <v>100</v>
      </c>
      <c r="C115" s="255">
        <v>690</v>
      </c>
      <c r="D115" s="3"/>
      <c r="E115" s="3"/>
      <c r="F115" s="3"/>
      <c r="G115" s="3"/>
      <c r="H115" s="3"/>
      <c r="I115" s="3"/>
      <c r="J115" s="3"/>
      <c r="K115" s="3"/>
      <c r="L115" s="3"/>
      <c r="M115" s="3"/>
      <c r="N115" s="3"/>
      <c r="O115" s="3"/>
      <c r="P115" s="3"/>
      <c r="Q115" s="3"/>
      <c r="R115" s="3"/>
    </row>
    <row r="116" spans="1:18" ht="14.25">
      <c r="A116" s="192" t="s">
        <v>587</v>
      </c>
      <c r="B116" s="195" t="s">
        <v>100</v>
      </c>
      <c r="C116" s="255">
        <v>700</v>
      </c>
      <c r="D116" s="3"/>
      <c r="E116" s="3"/>
      <c r="F116" s="3"/>
      <c r="G116" s="3"/>
      <c r="H116" s="3"/>
      <c r="I116" s="3"/>
      <c r="J116" s="3"/>
      <c r="K116" s="3"/>
      <c r="L116" s="3"/>
      <c r="M116" s="3"/>
      <c r="N116" s="3"/>
      <c r="O116" s="3"/>
      <c r="P116" s="3"/>
      <c r="Q116" s="3"/>
      <c r="R116" s="3"/>
    </row>
    <row r="117" spans="1:18" ht="14.25">
      <c r="A117" s="192" t="s">
        <v>102</v>
      </c>
      <c r="B117" s="195" t="s">
        <v>100</v>
      </c>
      <c r="C117" s="255">
        <v>700</v>
      </c>
      <c r="D117" s="3"/>
      <c r="E117" s="3"/>
      <c r="F117" s="3"/>
      <c r="G117" s="3"/>
      <c r="H117" s="3"/>
      <c r="I117" s="3"/>
      <c r="J117" s="3"/>
      <c r="K117" s="3"/>
      <c r="L117" s="3"/>
      <c r="M117" s="3"/>
      <c r="N117" s="3"/>
      <c r="O117" s="3"/>
      <c r="P117" s="3"/>
      <c r="Q117" s="3"/>
      <c r="R117" s="3"/>
    </row>
    <row r="118" spans="1:18" ht="14.25">
      <c r="A118" s="192" t="s">
        <v>601</v>
      </c>
      <c r="B118" s="195" t="s">
        <v>100</v>
      </c>
      <c r="C118" s="255">
        <v>700</v>
      </c>
      <c r="D118" s="3"/>
      <c r="E118" s="3"/>
      <c r="F118" s="3"/>
      <c r="G118" s="3"/>
      <c r="H118" s="3"/>
      <c r="I118" s="3"/>
      <c r="J118" s="3"/>
      <c r="K118" s="3"/>
      <c r="L118" s="3"/>
      <c r="M118" s="3"/>
      <c r="N118" s="3"/>
      <c r="O118" s="3"/>
      <c r="P118" s="3"/>
      <c r="Q118" s="3"/>
      <c r="R118" s="3"/>
    </row>
    <row r="119" spans="1:18" ht="14.25">
      <c r="A119" s="192" t="s">
        <v>296</v>
      </c>
      <c r="B119" s="195" t="s">
        <v>100</v>
      </c>
      <c r="C119" s="255">
        <v>740</v>
      </c>
      <c r="D119" s="3"/>
      <c r="E119" s="3"/>
      <c r="F119" s="3"/>
      <c r="G119" s="3"/>
      <c r="H119" s="3"/>
      <c r="I119" s="3"/>
      <c r="J119" s="3"/>
      <c r="K119" s="3"/>
      <c r="L119" s="3"/>
      <c r="M119" s="3"/>
      <c r="N119" s="3"/>
      <c r="O119" s="3"/>
      <c r="P119" s="3"/>
      <c r="Q119" s="3"/>
      <c r="R119" s="3"/>
    </row>
    <row r="120" spans="1:18" ht="14.25">
      <c r="A120" s="192" t="s">
        <v>594</v>
      </c>
      <c r="B120" s="195" t="s">
        <v>100</v>
      </c>
      <c r="C120" s="255">
        <v>800</v>
      </c>
      <c r="D120" s="3"/>
      <c r="E120" s="3"/>
      <c r="F120" s="3"/>
      <c r="G120" s="3"/>
      <c r="H120" s="3"/>
      <c r="I120" s="3"/>
      <c r="J120" s="3"/>
      <c r="K120" s="3"/>
      <c r="L120" s="3"/>
      <c r="M120" s="3"/>
      <c r="N120" s="3"/>
      <c r="O120" s="3"/>
      <c r="P120" s="3"/>
      <c r="Q120" s="3"/>
      <c r="R120" s="3"/>
    </row>
    <row r="121" spans="1:18" ht="14.25">
      <c r="A121" s="192" t="s">
        <v>596</v>
      </c>
      <c r="B121" s="195" t="s">
        <v>100</v>
      </c>
      <c r="C121" s="255">
        <v>800</v>
      </c>
      <c r="D121" s="3"/>
      <c r="E121" s="3"/>
      <c r="F121" s="3"/>
      <c r="G121" s="3"/>
      <c r="H121" s="3"/>
      <c r="I121" s="3"/>
      <c r="J121" s="3"/>
      <c r="K121" s="3"/>
      <c r="L121" s="3"/>
      <c r="M121" s="3"/>
      <c r="N121" s="3"/>
      <c r="O121" s="3"/>
      <c r="P121" s="3"/>
      <c r="Q121" s="3"/>
      <c r="R121" s="3"/>
    </row>
    <row r="122" spans="1:18" ht="14.25">
      <c r="A122" s="192" t="s">
        <v>436</v>
      </c>
      <c r="B122" s="195" t="s">
        <v>100</v>
      </c>
      <c r="C122" s="255">
        <v>940</v>
      </c>
      <c r="D122" s="3"/>
      <c r="E122" s="3"/>
      <c r="F122" s="3"/>
      <c r="G122" s="3"/>
      <c r="H122" s="3"/>
      <c r="I122" s="3"/>
      <c r="J122" s="3"/>
      <c r="K122" s="3"/>
      <c r="L122" s="3"/>
      <c r="M122" s="3"/>
      <c r="N122" s="3"/>
      <c r="O122" s="3"/>
      <c r="P122" s="3"/>
      <c r="Q122" s="3"/>
      <c r="R122" s="3"/>
    </row>
    <row r="123" spans="1:18" ht="14.25">
      <c r="A123" s="192" t="s">
        <v>584</v>
      </c>
      <c r="B123" s="195" t="s">
        <v>58</v>
      </c>
      <c r="C123" s="255"/>
      <c r="D123" s="3"/>
      <c r="E123" s="3"/>
      <c r="F123" s="3"/>
      <c r="G123" s="3"/>
      <c r="H123" s="3"/>
      <c r="I123" s="3"/>
      <c r="J123" s="3"/>
      <c r="K123" s="3"/>
      <c r="L123" s="3"/>
      <c r="M123" s="3"/>
      <c r="N123" s="3"/>
      <c r="O123" s="3"/>
      <c r="P123" s="3"/>
      <c r="Q123" s="3"/>
      <c r="R123" s="3"/>
    </row>
    <row r="124" spans="1:18" ht="14.25">
      <c r="A124" s="192" t="s">
        <v>585</v>
      </c>
      <c r="B124" s="195" t="s">
        <v>100</v>
      </c>
      <c r="C124" s="255"/>
      <c r="D124" s="3"/>
      <c r="E124" s="3"/>
      <c r="F124" s="3"/>
      <c r="G124" s="3"/>
      <c r="H124" s="3"/>
      <c r="I124" s="3"/>
      <c r="J124" s="3"/>
      <c r="K124" s="3"/>
      <c r="L124" s="3"/>
      <c r="M124" s="3"/>
      <c r="N124" s="3"/>
      <c r="O124" s="3"/>
      <c r="P124" s="3"/>
      <c r="Q124" s="3"/>
      <c r="R124" s="3"/>
    </row>
    <row r="125" spans="1:18" ht="14.25">
      <c r="A125" s="192" t="s">
        <v>591</v>
      </c>
      <c r="B125" s="195" t="s">
        <v>100</v>
      </c>
      <c r="C125" s="255"/>
      <c r="D125" s="3"/>
      <c r="E125" s="3"/>
      <c r="F125" s="3"/>
      <c r="G125" s="3"/>
      <c r="H125" s="3"/>
      <c r="I125" s="3"/>
      <c r="J125" s="3"/>
      <c r="K125" s="3"/>
      <c r="L125" s="3"/>
      <c r="M125" s="3"/>
      <c r="N125" s="3"/>
      <c r="O125" s="3"/>
      <c r="P125" s="3"/>
      <c r="Q125" s="3"/>
      <c r="R125" s="3"/>
    </row>
    <row r="126" spans="1:18" ht="14.25">
      <c r="A126" s="192" t="s">
        <v>111</v>
      </c>
      <c r="B126" s="195" t="s">
        <v>100</v>
      </c>
      <c r="C126" s="255"/>
      <c r="D126" s="3"/>
      <c r="E126" s="3"/>
      <c r="F126" s="3"/>
      <c r="G126" s="3"/>
      <c r="H126" s="3"/>
      <c r="I126" s="3"/>
      <c r="J126" s="3"/>
      <c r="K126" s="3"/>
      <c r="L126" s="3"/>
      <c r="M126" s="3"/>
      <c r="N126" s="3"/>
      <c r="O126" s="3"/>
      <c r="P126" s="3"/>
      <c r="Q126" s="3"/>
      <c r="R126" s="3"/>
    </row>
    <row r="127" spans="1:18" ht="14.25">
      <c r="A127" s="192" t="s">
        <v>616</v>
      </c>
      <c r="B127" s="195" t="s">
        <v>96</v>
      </c>
      <c r="C127" s="255"/>
      <c r="D127" s="3"/>
      <c r="E127" s="3"/>
      <c r="F127" s="3"/>
      <c r="G127" s="3"/>
      <c r="H127" s="3"/>
      <c r="I127" s="3"/>
      <c r="J127" s="3"/>
      <c r="K127" s="3"/>
      <c r="L127" s="3"/>
      <c r="M127" s="3"/>
      <c r="N127" s="3"/>
      <c r="O127" s="3"/>
      <c r="P127" s="3"/>
      <c r="Q127" s="3"/>
      <c r="R127" s="3"/>
    </row>
    <row r="128" spans="1:18" ht="14.25">
      <c r="A128" s="192" t="s">
        <v>617</v>
      </c>
      <c r="B128" s="195" t="s">
        <v>96</v>
      </c>
      <c r="C128" s="255"/>
      <c r="D128" s="3"/>
      <c r="E128" s="3"/>
      <c r="F128" s="3"/>
      <c r="G128" s="3"/>
      <c r="H128" s="3"/>
      <c r="I128" s="3"/>
      <c r="J128" s="3"/>
      <c r="K128" s="3"/>
      <c r="L128" s="3"/>
      <c r="M128" s="3"/>
      <c r="N128" s="3"/>
      <c r="O128" s="3"/>
      <c r="P128" s="3"/>
      <c r="Q128" s="3"/>
      <c r="R128" s="3"/>
    </row>
    <row r="129" spans="1:18" ht="14.25">
      <c r="A129" s="260" t="s">
        <v>647</v>
      </c>
      <c r="B129" s="192" t="s">
        <v>58</v>
      </c>
      <c r="C129" s="255"/>
      <c r="D129" s="3"/>
      <c r="E129" s="3"/>
      <c r="F129" s="3"/>
      <c r="G129" s="3"/>
      <c r="H129" s="3"/>
      <c r="I129" s="3"/>
      <c r="J129" s="3"/>
      <c r="K129" s="3"/>
      <c r="L129" s="3"/>
      <c r="M129" s="3"/>
      <c r="N129" s="3"/>
      <c r="O129" s="3"/>
      <c r="P129" s="3"/>
      <c r="Q129" s="3"/>
      <c r="R129" s="3"/>
    </row>
    <row r="130" spans="1:18" ht="14.25">
      <c r="A130" s="260" t="s">
        <v>648</v>
      </c>
      <c r="B130" s="192" t="s">
        <v>58</v>
      </c>
      <c r="C130" s="255"/>
      <c r="D130" s="3"/>
      <c r="E130" s="3"/>
      <c r="F130" s="3"/>
      <c r="G130" s="3"/>
      <c r="H130" s="3"/>
      <c r="I130" s="3"/>
      <c r="J130" s="3"/>
      <c r="K130" s="3"/>
      <c r="L130" s="3"/>
      <c r="M130" s="3"/>
      <c r="N130" s="3"/>
      <c r="O130" s="3"/>
      <c r="P130" s="3"/>
      <c r="Q130" s="3"/>
      <c r="R130" s="3"/>
    </row>
    <row r="131" spans="1:18" ht="14.25">
      <c r="A131" s="192" t="s">
        <v>649</v>
      </c>
      <c r="B131" s="192" t="s">
        <v>58</v>
      </c>
      <c r="C131" s="255"/>
      <c r="D131" s="3"/>
      <c r="E131" s="3"/>
      <c r="F131" s="3"/>
      <c r="G131" s="3"/>
      <c r="H131" s="3"/>
      <c r="I131" s="3"/>
      <c r="J131" s="3"/>
      <c r="K131" s="3"/>
      <c r="L131" s="3"/>
      <c r="M131" s="3"/>
      <c r="N131" s="3"/>
      <c r="O131" s="3"/>
      <c r="P131" s="3"/>
      <c r="Q131" s="3"/>
      <c r="R131" s="3"/>
    </row>
    <row r="132" spans="1:18" ht="14.25">
      <c r="A132" s="192" t="s">
        <v>650</v>
      </c>
      <c r="B132" s="192" t="s">
        <v>58</v>
      </c>
      <c r="C132" s="255"/>
      <c r="D132" s="3"/>
      <c r="E132" s="3"/>
      <c r="F132" s="3"/>
      <c r="G132" s="3"/>
      <c r="H132" s="3"/>
      <c r="I132" s="3"/>
      <c r="J132" s="3"/>
      <c r="K132" s="3"/>
      <c r="L132" s="3"/>
      <c r="M132" s="3"/>
      <c r="N132" s="3"/>
      <c r="O132" s="3"/>
      <c r="P132" s="3"/>
      <c r="Q132" s="3"/>
      <c r="R132" s="3"/>
    </row>
    <row r="133" spans="1:18" ht="14.25">
      <c r="A133" s="192" t="s">
        <v>651</v>
      </c>
      <c r="B133" s="192" t="s">
        <v>58</v>
      </c>
      <c r="C133" s="255"/>
      <c r="D133" s="3"/>
      <c r="E133" s="3"/>
      <c r="F133" s="3"/>
      <c r="G133" s="3"/>
      <c r="H133" s="3"/>
      <c r="I133" s="3"/>
      <c r="J133" s="3"/>
      <c r="K133" s="3"/>
      <c r="L133" s="3"/>
      <c r="M133" s="3"/>
      <c r="N133" s="3"/>
      <c r="O133" s="3"/>
      <c r="P133" s="3"/>
      <c r="Q133" s="3"/>
      <c r="R133" s="3"/>
    </row>
    <row r="134" spans="1:18" ht="14.25">
      <c r="A134" s="261" t="s">
        <v>652</v>
      </c>
      <c r="B134" s="261" t="s">
        <v>58</v>
      </c>
      <c r="C134" s="262"/>
      <c r="D134" s="3"/>
      <c r="E134" s="3"/>
      <c r="F134" s="3"/>
      <c r="G134" s="3"/>
      <c r="H134" s="3"/>
      <c r="I134" s="3"/>
      <c r="J134" s="3"/>
      <c r="K134" s="3"/>
      <c r="L134" s="3"/>
      <c r="M134" s="3"/>
      <c r="N134" s="3"/>
      <c r="O134" s="3"/>
      <c r="P134" s="3"/>
      <c r="Q134" s="3"/>
      <c r="R134" s="3"/>
    </row>
    <row r="135" spans="1:18" ht="12.75">
      <c r="D135" s="3"/>
      <c r="E135" s="3"/>
      <c r="F135" s="3"/>
      <c r="G135" s="3"/>
      <c r="H135" s="3"/>
      <c r="I135" s="3"/>
      <c r="J135" s="3"/>
      <c r="K135" s="3"/>
      <c r="L135" s="3"/>
      <c r="M135" s="3"/>
      <c r="N135" s="3"/>
      <c r="O135" s="3"/>
      <c r="P135" s="3"/>
      <c r="Q135" s="3"/>
      <c r="R135" s="3"/>
    </row>
    <row r="136" spans="1:18" ht="12.75">
      <c r="D136" s="3"/>
      <c r="E136" s="3"/>
      <c r="F136" s="3"/>
      <c r="G136" s="3"/>
      <c r="H136" s="3"/>
      <c r="I136" s="3"/>
      <c r="J136" s="3"/>
      <c r="K136" s="3"/>
      <c r="L136" s="3"/>
      <c r="M136" s="3"/>
      <c r="N136" s="3"/>
      <c r="O136" s="3"/>
      <c r="P136" s="3"/>
      <c r="Q136" s="3"/>
      <c r="R136" s="3"/>
    </row>
    <row r="137" spans="1:18" ht="12.75">
      <c r="D137" s="3"/>
      <c r="E137" s="3"/>
      <c r="F137" s="3"/>
      <c r="G137" s="3"/>
      <c r="H137" s="3"/>
      <c r="I137" s="3"/>
      <c r="J137" s="3"/>
      <c r="K137" s="3"/>
      <c r="L137" s="3"/>
      <c r="M137" s="3"/>
      <c r="N137" s="3"/>
      <c r="O137" s="3"/>
      <c r="P137" s="3"/>
      <c r="Q137" s="3"/>
      <c r="R137" s="3"/>
    </row>
    <row r="138" spans="1:18" ht="12.75">
      <c r="D138" s="3"/>
      <c r="E138" s="3"/>
      <c r="F138" s="3"/>
      <c r="G138" s="3"/>
      <c r="H138" s="3"/>
      <c r="I138" s="3"/>
      <c r="J138" s="3"/>
      <c r="K138" s="3"/>
      <c r="L138" s="3"/>
      <c r="M138" s="3"/>
      <c r="N138" s="3"/>
      <c r="O138" s="3"/>
      <c r="P138" s="3"/>
      <c r="Q138" s="3"/>
      <c r="R138" s="3"/>
    </row>
    <row r="139" spans="1:18" ht="12.75">
      <c r="D139" s="3"/>
      <c r="E139" s="3"/>
      <c r="F139" s="3"/>
      <c r="G139" s="3"/>
      <c r="H139" s="3"/>
      <c r="I139" s="3"/>
      <c r="J139" s="3"/>
      <c r="K139" s="3"/>
      <c r="L139" s="3"/>
      <c r="M139" s="3"/>
      <c r="N139" s="3"/>
      <c r="O139" s="3"/>
      <c r="P139" s="3"/>
      <c r="Q139" s="3"/>
      <c r="R139" s="3"/>
    </row>
    <row r="140" spans="1:18" ht="12.75">
      <c r="D140" s="3"/>
      <c r="E140" s="3"/>
      <c r="F140" s="3"/>
      <c r="G140" s="3"/>
      <c r="H140" s="3"/>
      <c r="I140" s="3"/>
      <c r="J140" s="3"/>
      <c r="K140" s="3"/>
      <c r="L140" s="3"/>
      <c r="M140" s="3"/>
      <c r="N140" s="3"/>
      <c r="O140" s="3"/>
      <c r="P140" s="3"/>
      <c r="Q140" s="3"/>
      <c r="R140" s="3"/>
    </row>
    <row r="141" spans="1:18" ht="12.75">
      <c r="D141" s="3"/>
      <c r="E141" s="3"/>
      <c r="F141" s="3"/>
      <c r="G141" s="3"/>
      <c r="H141" s="3"/>
      <c r="I141" s="3"/>
      <c r="J141" s="3"/>
      <c r="K141" s="3"/>
      <c r="L141" s="3"/>
      <c r="M141" s="3"/>
      <c r="N141" s="3"/>
      <c r="O141" s="3"/>
      <c r="P141" s="3"/>
      <c r="Q141" s="3"/>
      <c r="R141" s="3"/>
    </row>
    <row r="142" spans="1:18" ht="12.75">
      <c r="D142" s="3"/>
      <c r="E142" s="3"/>
      <c r="F142" s="3"/>
      <c r="G142" s="3"/>
      <c r="H142" s="3"/>
      <c r="I142" s="3"/>
      <c r="J142" s="3"/>
      <c r="K142" s="3"/>
      <c r="L142" s="3"/>
      <c r="M142" s="3"/>
      <c r="N142" s="3"/>
      <c r="O142" s="3"/>
      <c r="P142" s="3"/>
      <c r="Q142" s="3"/>
      <c r="R142" s="3"/>
    </row>
    <row r="143" spans="1:18" ht="12.75">
      <c r="D143" s="3"/>
      <c r="E143" s="3"/>
      <c r="F143" s="3"/>
      <c r="G143" s="3"/>
      <c r="H143" s="3"/>
      <c r="I143" s="3"/>
      <c r="J143" s="3"/>
      <c r="K143" s="3"/>
      <c r="L143" s="3"/>
      <c r="M143" s="3"/>
      <c r="N143" s="3"/>
      <c r="O143" s="3"/>
      <c r="P143" s="3"/>
      <c r="Q143" s="3"/>
      <c r="R143" s="3"/>
    </row>
    <row r="144" spans="1:18" ht="12.75">
      <c r="D144" s="3"/>
      <c r="E144" s="3"/>
      <c r="F144" s="3"/>
      <c r="G144" s="3"/>
      <c r="H144" s="3"/>
      <c r="I144" s="3"/>
      <c r="J144" s="3"/>
      <c r="K144" s="3"/>
      <c r="L144" s="3"/>
      <c r="M144" s="3"/>
      <c r="N144" s="3"/>
      <c r="O144" s="3"/>
      <c r="P144" s="3"/>
      <c r="Q144" s="3"/>
      <c r="R144" s="3"/>
    </row>
    <row r="145" spans="4:18" ht="12.75">
      <c r="D145" s="3"/>
      <c r="E145" s="3"/>
      <c r="F145" s="3"/>
      <c r="G145" s="3"/>
      <c r="H145" s="3"/>
      <c r="I145" s="3"/>
      <c r="J145" s="3"/>
      <c r="K145" s="3"/>
      <c r="L145" s="3"/>
      <c r="M145" s="3"/>
      <c r="N145" s="3"/>
      <c r="O145" s="3"/>
      <c r="P145" s="3"/>
      <c r="Q145" s="3"/>
      <c r="R145" s="3"/>
    </row>
    <row r="146" spans="4:18" ht="12.75">
      <c r="D146" s="3"/>
      <c r="E146" s="3"/>
      <c r="F146" s="3"/>
      <c r="G146" s="3"/>
      <c r="H146" s="3"/>
      <c r="I146" s="3"/>
      <c r="J146" s="3"/>
      <c r="K146" s="3"/>
      <c r="L146" s="3"/>
      <c r="M146" s="3"/>
      <c r="N146" s="3"/>
      <c r="O146" s="3"/>
      <c r="P146" s="3"/>
      <c r="Q146" s="3"/>
      <c r="R146" s="3"/>
    </row>
    <row r="147" spans="4:18" ht="12.75">
      <c r="D147" s="3"/>
      <c r="E147" s="3"/>
      <c r="F147" s="3"/>
      <c r="G147" s="3"/>
      <c r="H147" s="3"/>
      <c r="I147" s="3"/>
      <c r="J147" s="3"/>
      <c r="K147" s="3"/>
      <c r="L147" s="3"/>
      <c r="M147" s="3"/>
      <c r="N147" s="3"/>
      <c r="O147" s="3"/>
      <c r="P147" s="3"/>
      <c r="Q147" s="3"/>
      <c r="R147" s="3"/>
    </row>
    <row r="148" spans="4:18" ht="12.75">
      <c r="D148" s="3"/>
      <c r="E148" s="3"/>
      <c r="F148" s="3"/>
      <c r="G148" s="3"/>
      <c r="H148" s="3"/>
      <c r="I148" s="3"/>
      <c r="J148" s="3"/>
      <c r="K148" s="3"/>
      <c r="L148" s="3"/>
      <c r="M148" s="3"/>
      <c r="N148" s="3"/>
      <c r="O148" s="3"/>
      <c r="P148" s="3"/>
      <c r="Q148" s="3"/>
      <c r="R148" s="3"/>
    </row>
    <row r="149" spans="4:18" ht="12.75">
      <c r="D149" s="3"/>
      <c r="E149" s="3"/>
      <c r="F149" s="3"/>
      <c r="G149" s="3"/>
      <c r="H149" s="3"/>
      <c r="I149" s="3"/>
      <c r="J149" s="3"/>
      <c r="K149" s="3"/>
      <c r="L149" s="3"/>
      <c r="M149" s="3"/>
      <c r="N149" s="3"/>
      <c r="O149" s="3"/>
      <c r="P149" s="3"/>
      <c r="Q149" s="3"/>
      <c r="R149" s="3"/>
    </row>
    <row r="150" spans="4:18" ht="12.75">
      <c r="D150" s="3"/>
    </row>
    <row r="151" spans="4:18" ht="12.75"/>
    <row r="152" spans="4:18" ht="12.75"/>
    <row r="153" spans="4:18" ht="12.75"/>
    <row r="154" spans="4:18" ht="12.75"/>
    <row r="155" spans="4:18" ht="12.75"/>
    <row r="156" spans="4:18" ht="12.75"/>
    <row r="157" spans="4:18" ht="12.75"/>
    <row r="158" spans="4:18" ht="12.75"/>
    <row r="159" spans="4:18" ht="12.75"/>
    <row r="160" spans="4:18"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sheetData>
  <mergeCells count="1">
    <mergeCell ref="A1:C1"/>
  </mergeCells>
  <dataValidations count="1">
    <dataValidation type="list" allowBlank="1" showErrorMessage="1" sqref="B3:B134" xr:uid="{C34B816F-4283-4BAD-9824-BA3BA80BECB7}">
      <formula1>"Chaat,Chinese,Breads,Drinks &amp; Beverage,Grill Special,Kulfi,North Indian,South Indian,Specials,Sweets,Namkeen"</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xr:uid="{00000000-0002-0000-0200-000003000000}">
          <x14:formula1>
            <xm:f>'ITEM LIST'!$B$2:$B$479</xm:f>
          </x14:formula1>
          <xm:sqref>C15 C54 C57:C59 C62 C72 C78 C80:C81 C83 C89 C106 C108:C109 C111 C128 C142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0" tint="-0.499984740745262"/>
    <outlinePr summaryBelow="0" summaryRight="0"/>
  </sheetPr>
  <dimension ref="A1:M473"/>
  <sheetViews>
    <sheetView tabSelected="1" topLeftCell="A253" zoomScaleNormal="100" workbookViewId="0">
      <selection activeCell="D266" sqref="D266"/>
    </sheetView>
  </sheetViews>
  <sheetFormatPr defaultColWidth="12.5703125" defaultRowHeight="15.75" customHeight="1"/>
  <cols>
    <col min="1" max="1" width="12.5703125" style="143"/>
    <col min="2" max="2" width="28.42578125" customWidth="1"/>
    <col min="6" max="6" width="12.5703125" style="165"/>
    <col min="7" max="7" width="12.5703125" style="143"/>
    <col min="11" max="11" width="19.42578125" customWidth="1"/>
    <col min="12" max="12" width="18.28515625" customWidth="1"/>
    <col min="13" max="13" width="12.5703125" style="120"/>
  </cols>
  <sheetData>
    <row r="1" spans="1:13" ht="15.75" customHeight="1">
      <c r="A1" s="10" t="s">
        <v>130</v>
      </c>
      <c r="B1" s="10" t="s">
        <v>131</v>
      </c>
      <c r="C1" s="10" t="s">
        <v>125</v>
      </c>
      <c r="D1" s="157" t="s">
        <v>682</v>
      </c>
      <c r="E1" s="10" t="s">
        <v>132</v>
      </c>
      <c r="F1" s="10" t="s">
        <v>133</v>
      </c>
      <c r="G1" s="10" t="s">
        <v>134</v>
      </c>
      <c r="H1" s="10" t="s">
        <v>127</v>
      </c>
      <c r="I1" s="10"/>
      <c r="J1" s="10" t="s">
        <v>136</v>
      </c>
      <c r="K1" s="10" t="s">
        <v>137</v>
      </c>
      <c r="L1" s="10" t="s">
        <v>138</v>
      </c>
      <c r="M1" s="157" t="s">
        <v>139</v>
      </c>
    </row>
    <row r="2" spans="1:13" ht="15.75" customHeight="1">
      <c r="A2" s="11">
        <v>1</v>
      </c>
      <c r="B2" s="1" t="s">
        <v>140</v>
      </c>
      <c r="C2" s="11" t="s">
        <v>141</v>
      </c>
      <c r="D2">
        <v>890</v>
      </c>
      <c r="E2" s="11"/>
      <c r="F2" s="144">
        <v>24</v>
      </c>
      <c r="G2" s="11" t="s">
        <v>142</v>
      </c>
      <c r="H2" s="1"/>
      <c r="I2" s="1"/>
      <c r="J2" s="1"/>
      <c r="K2" s="1"/>
      <c r="L2" s="1"/>
      <c r="M2" s="21">
        <f t="shared" ref="M2:M157" si="0">IF(OR(G2="Kg",G2="Litre"),F2/1000,F2)</f>
        <v>2.4E-2</v>
      </c>
    </row>
    <row r="3" spans="1:13" ht="15.75" customHeight="1">
      <c r="A3" s="11">
        <v>2</v>
      </c>
      <c r="B3" s="1" t="s">
        <v>143</v>
      </c>
      <c r="C3" s="11" t="s">
        <v>141</v>
      </c>
      <c r="E3" s="11"/>
      <c r="F3" s="144">
        <v>19</v>
      </c>
      <c r="G3" s="11" t="s">
        <v>142</v>
      </c>
      <c r="H3" s="1"/>
      <c r="I3" s="1"/>
      <c r="J3" s="1"/>
      <c r="K3" s="1"/>
      <c r="L3" s="1"/>
      <c r="M3" s="21">
        <f t="shared" si="0"/>
        <v>1.9E-2</v>
      </c>
    </row>
    <row r="4" spans="1:13" ht="15.75" customHeight="1">
      <c r="A4" s="11">
        <v>3</v>
      </c>
      <c r="B4" s="1" t="s">
        <v>10</v>
      </c>
      <c r="C4" s="11" t="s">
        <v>141</v>
      </c>
      <c r="D4">
        <v>880</v>
      </c>
      <c r="E4" s="11"/>
      <c r="F4" s="144">
        <v>18</v>
      </c>
      <c r="G4" s="11" t="s">
        <v>142</v>
      </c>
      <c r="H4" s="1"/>
      <c r="I4" s="1"/>
      <c r="J4" s="1"/>
      <c r="K4" s="1"/>
      <c r="L4" s="1"/>
      <c r="M4" s="21">
        <f t="shared" si="0"/>
        <v>1.7999999999999999E-2</v>
      </c>
    </row>
    <row r="5" spans="1:13" ht="15.75" customHeight="1">
      <c r="A5" s="11">
        <v>4</v>
      </c>
      <c r="B5" s="1" t="s">
        <v>20</v>
      </c>
      <c r="C5" s="11" t="s">
        <v>141</v>
      </c>
      <c r="D5">
        <v>400</v>
      </c>
      <c r="E5" s="11"/>
      <c r="F5" s="144">
        <v>19</v>
      </c>
      <c r="G5" s="11" t="s">
        <v>142</v>
      </c>
      <c r="H5" s="1"/>
      <c r="I5" s="1"/>
      <c r="J5" s="1"/>
      <c r="K5" s="1"/>
      <c r="L5" s="1"/>
      <c r="M5" s="21">
        <f t="shared" si="0"/>
        <v>1.9E-2</v>
      </c>
    </row>
    <row r="6" spans="1:13" ht="15.75" customHeight="1">
      <c r="A6" s="11">
        <v>5</v>
      </c>
      <c r="B6" s="1" t="s">
        <v>144</v>
      </c>
      <c r="C6" s="11" t="s">
        <v>141</v>
      </c>
      <c r="D6">
        <v>370</v>
      </c>
      <c r="E6" s="11"/>
      <c r="F6" s="144">
        <v>23</v>
      </c>
      <c r="G6" s="11" t="s">
        <v>142</v>
      </c>
      <c r="H6" s="1"/>
      <c r="I6" s="1"/>
      <c r="J6" s="1"/>
      <c r="K6" s="1"/>
      <c r="L6" s="1"/>
      <c r="M6" s="21">
        <f t="shared" si="0"/>
        <v>2.3E-2</v>
      </c>
    </row>
    <row r="7" spans="1:13" ht="15.75" customHeight="1">
      <c r="A7" s="11">
        <v>6</v>
      </c>
      <c r="B7" s="1" t="s">
        <v>143</v>
      </c>
      <c r="C7" s="11" t="s">
        <v>141</v>
      </c>
      <c r="E7" s="11"/>
      <c r="F7" s="144">
        <v>19</v>
      </c>
      <c r="G7" s="11" t="s">
        <v>142</v>
      </c>
      <c r="H7" s="1"/>
      <c r="I7" s="1"/>
      <c r="J7" s="1"/>
      <c r="K7" s="1"/>
      <c r="L7" s="1"/>
      <c r="M7" s="21">
        <f t="shared" si="0"/>
        <v>1.9E-2</v>
      </c>
    </row>
    <row r="8" spans="1:13" ht="15.75" customHeight="1">
      <c r="A8" s="11">
        <v>7</v>
      </c>
      <c r="B8" s="1" t="s">
        <v>34</v>
      </c>
      <c r="C8" s="11" t="s">
        <v>141</v>
      </c>
      <c r="D8">
        <v>310</v>
      </c>
      <c r="E8" s="11"/>
      <c r="F8" s="144">
        <v>90</v>
      </c>
      <c r="G8" s="11" t="s">
        <v>142</v>
      </c>
      <c r="H8" s="1"/>
      <c r="I8" s="1"/>
      <c r="J8" s="1"/>
      <c r="K8" s="1"/>
      <c r="L8" s="1"/>
      <c r="M8" s="21">
        <f t="shared" si="0"/>
        <v>0.09</v>
      </c>
    </row>
    <row r="9" spans="1:13" ht="15.75" customHeight="1">
      <c r="A9" s="11">
        <v>8</v>
      </c>
      <c r="B9" s="1" t="s">
        <v>32</v>
      </c>
      <c r="C9" s="11" t="s">
        <v>141</v>
      </c>
      <c r="D9">
        <v>410</v>
      </c>
      <c r="E9" s="11"/>
      <c r="F9" s="144">
        <v>35</v>
      </c>
      <c r="G9" s="11" t="s">
        <v>142</v>
      </c>
      <c r="H9" s="1"/>
      <c r="I9" s="1"/>
      <c r="J9" s="1"/>
      <c r="K9" s="1"/>
      <c r="L9" s="1"/>
      <c r="M9" s="21">
        <f t="shared" si="0"/>
        <v>3.5000000000000003E-2</v>
      </c>
    </row>
    <row r="10" spans="1:13" ht="15.75" customHeight="1">
      <c r="A10" s="11">
        <v>9</v>
      </c>
      <c r="B10" s="1" t="s">
        <v>322</v>
      </c>
      <c r="C10" s="11" t="s">
        <v>141</v>
      </c>
      <c r="D10">
        <v>350</v>
      </c>
      <c r="E10" s="11"/>
      <c r="F10" s="144">
        <v>35</v>
      </c>
      <c r="G10" s="11" t="s">
        <v>142</v>
      </c>
      <c r="H10" s="1"/>
      <c r="I10" s="1"/>
      <c r="J10" s="1"/>
      <c r="K10" s="1"/>
      <c r="L10" s="1"/>
      <c r="M10" s="21">
        <f t="shared" si="0"/>
        <v>3.5000000000000003E-2</v>
      </c>
    </row>
    <row r="11" spans="1:13" ht="15.75" customHeight="1">
      <c r="A11" s="11">
        <v>10</v>
      </c>
      <c r="B11" s="1" t="s">
        <v>31</v>
      </c>
      <c r="C11" s="11" t="s">
        <v>141</v>
      </c>
      <c r="D11">
        <v>250</v>
      </c>
      <c r="E11" s="11"/>
      <c r="F11" s="144">
        <v>16</v>
      </c>
      <c r="G11" s="11" t="s">
        <v>142</v>
      </c>
      <c r="H11" s="1"/>
      <c r="I11" s="1"/>
      <c r="J11" s="1"/>
      <c r="K11" s="1"/>
      <c r="L11" s="1"/>
      <c r="M11" s="21">
        <f t="shared" si="0"/>
        <v>1.6E-2</v>
      </c>
    </row>
    <row r="12" spans="1:13" ht="15.75" customHeight="1">
      <c r="A12" s="11">
        <v>11</v>
      </c>
      <c r="B12" s="1" t="s">
        <v>145</v>
      </c>
      <c r="C12" s="11" t="s">
        <v>141</v>
      </c>
      <c r="D12">
        <v>250</v>
      </c>
      <c r="E12" s="11"/>
      <c r="F12" s="144">
        <v>51</v>
      </c>
      <c r="G12" s="11" t="s">
        <v>142</v>
      </c>
      <c r="H12" s="1"/>
      <c r="I12" s="1"/>
      <c r="J12" s="1"/>
      <c r="K12" s="1"/>
      <c r="L12" s="1"/>
      <c r="M12" s="21">
        <f t="shared" si="0"/>
        <v>5.0999999999999997E-2</v>
      </c>
    </row>
    <row r="13" spans="1:13" ht="15.75" customHeight="1">
      <c r="A13" s="11">
        <v>12</v>
      </c>
      <c r="B13" s="1" t="s">
        <v>25</v>
      </c>
      <c r="C13" s="11" t="s">
        <v>141</v>
      </c>
      <c r="D13">
        <v>260</v>
      </c>
      <c r="E13" s="11"/>
      <c r="F13" s="144">
        <v>28</v>
      </c>
      <c r="G13" s="11" t="s">
        <v>142</v>
      </c>
      <c r="H13" s="1"/>
      <c r="I13" s="1"/>
      <c r="J13" s="1"/>
      <c r="K13" s="1"/>
      <c r="L13" s="1"/>
      <c r="M13" s="21">
        <f t="shared" si="0"/>
        <v>2.8000000000000001E-2</v>
      </c>
    </row>
    <row r="14" spans="1:13" ht="15.75" customHeight="1">
      <c r="A14" s="11">
        <v>13</v>
      </c>
      <c r="B14" s="1" t="s">
        <v>37</v>
      </c>
      <c r="C14" s="11" t="s">
        <v>141</v>
      </c>
      <c r="D14">
        <v>800</v>
      </c>
      <c r="E14" s="11"/>
      <c r="F14" s="144">
        <v>200</v>
      </c>
      <c r="G14" s="11" t="s">
        <v>142</v>
      </c>
      <c r="H14" s="1"/>
      <c r="I14" s="1"/>
      <c r="J14" s="1"/>
      <c r="K14" s="1"/>
      <c r="L14" s="1"/>
      <c r="M14" s="21">
        <f t="shared" si="0"/>
        <v>0.2</v>
      </c>
    </row>
    <row r="15" spans="1:13" ht="15.75" customHeight="1">
      <c r="A15" s="11">
        <v>14</v>
      </c>
      <c r="B15" s="1" t="s">
        <v>118</v>
      </c>
      <c r="C15" s="11" t="s">
        <v>141</v>
      </c>
      <c r="D15">
        <v>1490</v>
      </c>
      <c r="E15" s="11"/>
      <c r="F15" s="144">
        <v>120</v>
      </c>
      <c r="G15" s="11" t="s">
        <v>142</v>
      </c>
      <c r="H15" s="1"/>
      <c r="I15" s="1"/>
      <c r="J15" s="1"/>
      <c r="K15" s="1"/>
      <c r="L15" s="1"/>
      <c r="M15" s="21">
        <f t="shared" si="0"/>
        <v>0.12</v>
      </c>
    </row>
    <row r="16" spans="1:13" ht="15.75" customHeight="1">
      <c r="A16" s="11">
        <v>15</v>
      </c>
      <c r="B16" s="1" t="s">
        <v>27</v>
      </c>
      <c r="C16" s="11" t="s">
        <v>141</v>
      </c>
      <c r="D16">
        <v>1250</v>
      </c>
      <c r="E16" s="11"/>
      <c r="F16" s="144">
        <v>80</v>
      </c>
      <c r="G16" s="11" t="s">
        <v>142</v>
      </c>
      <c r="H16" s="1"/>
      <c r="I16" s="1"/>
      <c r="J16" s="1"/>
      <c r="K16" s="1"/>
      <c r="L16" s="1"/>
      <c r="M16" s="21">
        <f t="shared" si="0"/>
        <v>0.08</v>
      </c>
    </row>
    <row r="17" spans="1:13" ht="15.75" customHeight="1">
      <c r="A17" s="11">
        <v>16</v>
      </c>
      <c r="B17" s="1" t="s">
        <v>323</v>
      </c>
      <c r="C17" s="11" t="s">
        <v>141</v>
      </c>
      <c r="D17">
        <v>400</v>
      </c>
      <c r="E17" s="11"/>
      <c r="F17" s="144">
        <v>35</v>
      </c>
      <c r="G17" s="11" t="s">
        <v>142</v>
      </c>
      <c r="H17" s="1"/>
      <c r="I17" s="1"/>
      <c r="J17" s="1"/>
      <c r="K17" s="1"/>
      <c r="L17" s="1"/>
      <c r="M17" s="21">
        <f t="shared" si="0"/>
        <v>3.5000000000000003E-2</v>
      </c>
    </row>
    <row r="18" spans="1:13" ht="15.75" customHeight="1">
      <c r="A18" s="11">
        <v>17</v>
      </c>
      <c r="B18" s="1" t="s">
        <v>49</v>
      </c>
      <c r="C18" s="11" t="s">
        <v>141</v>
      </c>
      <c r="D18">
        <v>400</v>
      </c>
      <c r="E18" s="11"/>
      <c r="F18" s="144">
        <v>750</v>
      </c>
      <c r="G18" s="11" t="s">
        <v>142</v>
      </c>
      <c r="H18" s="1"/>
      <c r="I18" s="1"/>
      <c r="J18" s="1"/>
      <c r="K18" s="1"/>
      <c r="L18" s="1"/>
      <c r="M18" s="21">
        <f t="shared" si="0"/>
        <v>0.75</v>
      </c>
    </row>
    <row r="19" spans="1:13" ht="15.75" customHeight="1">
      <c r="A19" s="11">
        <v>18</v>
      </c>
      <c r="B19" s="1" t="s">
        <v>324</v>
      </c>
      <c r="C19" s="11" t="s">
        <v>141</v>
      </c>
      <c r="D19">
        <v>320</v>
      </c>
      <c r="E19" s="11"/>
      <c r="F19" s="144">
        <v>60</v>
      </c>
      <c r="G19" s="11" t="s">
        <v>142</v>
      </c>
      <c r="H19" s="1"/>
      <c r="I19" s="1"/>
      <c r="J19" s="1"/>
      <c r="K19" s="1"/>
      <c r="L19" s="1"/>
      <c r="M19" s="21">
        <f t="shared" si="0"/>
        <v>0.06</v>
      </c>
    </row>
    <row r="20" spans="1:13" ht="15.75" customHeight="1">
      <c r="A20" s="11">
        <v>19</v>
      </c>
      <c r="B20" s="1" t="s">
        <v>146</v>
      </c>
      <c r="C20" s="11" t="s">
        <v>141</v>
      </c>
      <c r="D20">
        <v>576</v>
      </c>
      <c r="E20" s="11"/>
      <c r="F20" s="144">
        <v>65</v>
      </c>
      <c r="G20" s="11" t="s">
        <v>142</v>
      </c>
      <c r="H20" s="1"/>
      <c r="I20" s="1"/>
      <c r="J20" s="1"/>
      <c r="K20" s="1"/>
      <c r="L20" s="1"/>
      <c r="M20" s="21">
        <f t="shared" si="0"/>
        <v>6.5000000000000002E-2</v>
      </c>
    </row>
    <row r="21" spans="1:13" ht="12.75">
      <c r="A21" s="11">
        <v>20</v>
      </c>
      <c r="B21" s="1" t="s">
        <v>147</v>
      </c>
      <c r="C21" s="11" t="s">
        <v>141</v>
      </c>
      <c r="E21" s="11"/>
      <c r="F21" s="144">
        <v>0</v>
      </c>
      <c r="G21" s="11" t="s">
        <v>142</v>
      </c>
      <c r="H21" s="1"/>
      <c r="I21" s="1"/>
      <c r="J21" s="1"/>
      <c r="K21" s="1"/>
      <c r="L21" s="1"/>
      <c r="M21" s="21">
        <f t="shared" si="0"/>
        <v>0</v>
      </c>
    </row>
    <row r="22" spans="1:13" ht="12.75">
      <c r="A22" s="11">
        <v>21</v>
      </c>
      <c r="B22" s="1" t="s">
        <v>18</v>
      </c>
      <c r="C22" s="11" t="s">
        <v>141</v>
      </c>
      <c r="D22">
        <v>310</v>
      </c>
      <c r="E22" s="11"/>
      <c r="F22" s="144">
        <v>30</v>
      </c>
      <c r="G22" s="11" t="s">
        <v>142</v>
      </c>
      <c r="H22" s="1"/>
      <c r="I22" s="1"/>
      <c r="J22" s="1"/>
      <c r="K22" s="1"/>
      <c r="L22" s="1"/>
      <c r="M22" s="21">
        <f t="shared" si="0"/>
        <v>0.03</v>
      </c>
    </row>
    <row r="23" spans="1:13" ht="12.75">
      <c r="A23" s="11">
        <v>22</v>
      </c>
      <c r="B23" s="1" t="s">
        <v>148</v>
      </c>
      <c r="C23" s="11" t="s">
        <v>141</v>
      </c>
      <c r="E23" s="11"/>
      <c r="F23" s="144">
        <v>0</v>
      </c>
      <c r="G23" s="11" t="s">
        <v>142</v>
      </c>
      <c r="H23" s="1"/>
      <c r="I23" s="1"/>
      <c r="J23" s="1"/>
      <c r="K23" s="1"/>
      <c r="L23" s="1"/>
      <c r="M23" s="21">
        <f t="shared" si="0"/>
        <v>0</v>
      </c>
    </row>
    <row r="24" spans="1:13" ht="12.75">
      <c r="A24" s="11">
        <v>23</v>
      </c>
      <c r="B24" s="1" t="s">
        <v>149</v>
      </c>
      <c r="C24" s="11" t="s">
        <v>141</v>
      </c>
      <c r="D24">
        <v>290</v>
      </c>
      <c r="E24" s="11"/>
      <c r="F24" s="144">
        <v>130</v>
      </c>
      <c r="G24" s="11" t="s">
        <v>142</v>
      </c>
      <c r="H24" s="1"/>
      <c r="I24" s="1"/>
      <c r="J24" s="1"/>
      <c r="K24" s="1"/>
      <c r="L24" s="1"/>
      <c r="M24" s="21">
        <f t="shared" si="0"/>
        <v>0.13</v>
      </c>
    </row>
    <row r="25" spans="1:13" ht="12.75">
      <c r="A25" s="11">
        <v>24</v>
      </c>
      <c r="B25" s="1" t="s">
        <v>150</v>
      </c>
      <c r="C25" s="11" t="s">
        <v>141</v>
      </c>
      <c r="E25" s="11"/>
      <c r="F25" s="144">
        <v>0</v>
      </c>
      <c r="G25" s="11" t="s">
        <v>142</v>
      </c>
      <c r="H25" s="1"/>
      <c r="I25" s="1"/>
      <c r="J25" s="1"/>
      <c r="K25" s="1"/>
      <c r="L25" s="1"/>
      <c r="M25" s="21">
        <f t="shared" si="0"/>
        <v>0</v>
      </c>
    </row>
    <row r="26" spans="1:13" ht="12.75">
      <c r="A26" s="11">
        <v>25</v>
      </c>
      <c r="B26" s="1" t="s">
        <v>151</v>
      </c>
      <c r="C26" s="11" t="s">
        <v>141</v>
      </c>
      <c r="D26">
        <v>230</v>
      </c>
      <c r="E26" s="11"/>
      <c r="F26" s="144">
        <v>44</v>
      </c>
      <c r="G26" s="11" t="s">
        <v>142</v>
      </c>
      <c r="H26" s="1"/>
      <c r="I26" s="1"/>
      <c r="J26" s="1"/>
      <c r="K26" s="1"/>
      <c r="L26" s="1"/>
      <c r="M26" s="21">
        <f t="shared" si="0"/>
        <v>4.3999999999999997E-2</v>
      </c>
    </row>
    <row r="27" spans="1:13" ht="12.75">
      <c r="A27" s="11">
        <v>26</v>
      </c>
      <c r="B27" s="1" t="s">
        <v>152</v>
      </c>
      <c r="C27" s="11" t="s">
        <v>141</v>
      </c>
      <c r="D27">
        <v>330</v>
      </c>
      <c r="E27" s="11"/>
      <c r="F27" s="144">
        <v>46</v>
      </c>
      <c r="G27" s="11" t="s">
        <v>142</v>
      </c>
      <c r="H27" s="1"/>
      <c r="I27" s="1"/>
      <c r="J27" s="1"/>
      <c r="K27" s="1"/>
      <c r="L27" s="1"/>
      <c r="M27" s="21">
        <f t="shared" si="0"/>
        <v>4.5999999999999999E-2</v>
      </c>
    </row>
    <row r="28" spans="1:13" ht="12.75">
      <c r="A28" s="11">
        <v>27</v>
      </c>
      <c r="B28" s="1" t="s">
        <v>153</v>
      </c>
      <c r="C28" s="11" t="s">
        <v>141</v>
      </c>
      <c r="E28" s="11"/>
      <c r="F28" s="144">
        <v>0</v>
      </c>
      <c r="G28" s="11" t="s">
        <v>142</v>
      </c>
      <c r="H28" s="1"/>
      <c r="I28" s="1"/>
      <c r="J28" s="1"/>
      <c r="K28" s="1"/>
      <c r="L28" s="1"/>
      <c r="M28" s="21">
        <f t="shared" si="0"/>
        <v>0</v>
      </c>
    </row>
    <row r="29" spans="1:13" ht="12.75">
      <c r="A29" s="11">
        <v>28</v>
      </c>
      <c r="B29" s="1" t="s">
        <v>154</v>
      </c>
      <c r="C29" s="11" t="s">
        <v>141</v>
      </c>
      <c r="E29" s="11"/>
      <c r="F29" s="144">
        <v>0</v>
      </c>
      <c r="G29" s="11" t="s">
        <v>142</v>
      </c>
      <c r="H29" s="1"/>
      <c r="I29" s="1"/>
      <c r="J29" s="1"/>
      <c r="K29" s="1"/>
      <c r="L29" s="1"/>
      <c r="M29" s="21">
        <f t="shared" si="0"/>
        <v>0</v>
      </c>
    </row>
    <row r="30" spans="1:13" ht="12.75">
      <c r="A30" s="11">
        <v>29</v>
      </c>
      <c r="B30" s="1" t="s">
        <v>325</v>
      </c>
      <c r="C30" s="11" t="s">
        <v>141</v>
      </c>
      <c r="E30" s="11"/>
      <c r="F30" s="144">
        <v>0</v>
      </c>
      <c r="G30" s="11" t="s">
        <v>142</v>
      </c>
      <c r="H30" s="1"/>
      <c r="I30" s="1"/>
      <c r="J30" s="1"/>
      <c r="K30" s="1"/>
      <c r="L30" s="1"/>
      <c r="M30" s="21">
        <f t="shared" si="0"/>
        <v>0</v>
      </c>
    </row>
    <row r="31" spans="1:13" ht="12.75">
      <c r="A31" s="11">
        <v>30</v>
      </c>
      <c r="B31" s="1" t="s">
        <v>155</v>
      </c>
      <c r="C31" s="11" t="s">
        <v>141</v>
      </c>
      <c r="E31" s="11"/>
      <c r="F31" s="144">
        <v>0</v>
      </c>
      <c r="G31" s="11" t="s">
        <v>142</v>
      </c>
      <c r="H31" s="1"/>
      <c r="I31" s="1"/>
      <c r="J31" s="1"/>
      <c r="K31" s="1"/>
      <c r="L31" s="1"/>
      <c r="M31" s="21">
        <f t="shared" si="0"/>
        <v>0</v>
      </c>
    </row>
    <row r="32" spans="1:13" ht="12.75">
      <c r="A32" s="11">
        <v>31</v>
      </c>
      <c r="B32" s="1" t="s">
        <v>156</v>
      </c>
      <c r="C32" s="11" t="s">
        <v>141</v>
      </c>
      <c r="E32" s="11"/>
      <c r="F32" s="144">
        <v>0</v>
      </c>
      <c r="G32" s="11" t="s">
        <v>142</v>
      </c>
      <c r="H32" s="1"/>
      <c r="I32" s="1"/>
      <c r="J32" s="1"/>
      <c r="K32" s="1"/>
      <c r="L32" s="1"/>
      <c r="M32" s="21">
        <f t="shared" si="0"/>
        <v>0</v>
      </c>
    </row>
    <row r="33" spans="1:13" ht="12.75">
      <c r="A33" s="11">
        <v>32</v>
      </c>
      <c r="B33" s="1" t="s">
        <v>44</v>
      </c>
      <c r="C33" s="11" t="s">
        <v>141</v>
      </c>
      <c r="D33">
        <v>150</v>
      </c>
      <c r="E33" s="11"/>
      <c r="F33" s="144">
        <v>25</v>
      </c>
      <c r="G33" s="11" t="s">
        <v>142</v>
      </c>
      <c r="H33" s="1"/>
      <c r="I33" s="1"/>
      <c r="J33" s="1"/>
      <c r="K33" s="1"/>
      <c r="L33" s="1"/>
      <c r="M33" s="21">
        <f t="shared" si="0"/>
        <v>2.5000000000000001E-2</v>
      </c>
    </row>
    <row r="34" spans="1:13" ht="12.75">
      <c r="A34" s="11">
        <v>33</v>
      </c>
      <c r="B34" s="1" t="s">
        <v>157</v>
      </c>
      <c r="C34" s="11" t="s">
        <v>141</v>
      </c>
      <c r="E34" s="11"/>
      <c r="F34" s="144">
        <v>0</v>
      </c>
      <c r="G34" s="11" t="s">
        <v>142</v>
      </c>
      <c r="H34" s="1"/>
      <c r="I34" s="1"/>
      <c r="J34" s="1"/>
      <c r="K34" s="1"/>
      <c r="L34" s="1"/>
      <c r="M34" s="21">
        <f t="shared" si="0"/>
        <v>0</v>
      </c>
    </row>
    <row r="35" spans="1:13" ht="12.75">
      <c r="A35" s="11">
        <v>34</v>
      </c>
      <c r="B35" s="1" t="s">
        <v>158</v>
      </c>
      <c r="C35" s="11" t="s">
        <v>141</v>
      </c>
      <c r="E35" s="11"/>
      <c r="F35" s="144">
        <v>0</v>
      </c>
      <c r="G35" s="11" t="s">
        <v>142</v>
      </c>
      <c r="H35" s="1"/>
      <c r="I35" s="1"/>
      <c r="J35" s="1"/>
      <c r="K35" s="1"/>
      <c r="L35" s="1"/>
      <c r="M35" s="21">
        <f t="shared" si="0"/>
        <v>0</v>
      </c>
    </row>
    <row r="36" spans="1:13" ht="12.75">
      <c r="A36" s="11">
        <v>35</v>
      </c>
      <c r="B36" s="1" t="s">
        <v>159</v>
      </c>
      <c r="C36" s="11" t="s">
        <v>141</v>
      </c>
      <c r="E36" s="11"/>
      <c r="F36" s="144">
        <v>0</v>
      </c>
      <c r="G36" s="11" t="s">
        <v>142</v>
      </c>
      <c r="H36" s="1"/>
      <c r="I36" s="1"/>
      <c r="J36" s="1"/>
      <c r="K36" s="1"/>
      <c r="L36" s="1"/>
      <c r="M36" s="21">
        <f t="shared" si="0"/>
        <v>0</v>
      </c>
    </row>
    <row r="37" spans="1:13" ht="12.75">
      <c r="A37" s="11">
        <v>36</v>
      </c>
      <c r="B37" s="1" t="s">
        <v>19</v>
      </c>
      <c r="C37" s="11" t="s">
        <v>141</v>
      </c>
      <c r="D37">
        <v>190</v>
      </c>
      <c r="E37" s="11"/>
      <c r="F37" s="144">
        <v>16</v>
      </c>
      <c r="G37" s="11" t="s">
        <v>142</v>
      </c>
      <c r="H37" s="1"/>
      <c r="I37" s="1"/>
      <c r="J37" s="1"/>
      <c r="K37" s="1"/>
      <c r="L37" s="1"/>
      <c r="M37" s="21">
        <f t="shared" si="0"/>
        <v>1.6E-2</v>
      </c>
    </row>
    <row r="38" spans="1:13" ht="12.75">
      <c r="A38" s="11">
        <v>37</v>
      </c>
      <c r="B38" s="12" t="s">
        <v>160</v>
      </c>
      <c r="C38" s="11" t="s">
        <v>141</v>
      </c>
      <c r="E38" s="11"/>
      <c r="F38" s="144">
        <v>0</v>
      </c>
      <c r="G38" s="11" t="s">
        <v>142</v>
      </c>
      <c r="H38" s="1"/>
      <c r="I38" s="1"/>
      <c r="J38" s="1"/>
      <c r="K38" s="1"/>
      <c r="L38" s="1"/>
      <c r="M38" s="21">
        <f t="shared" si="0"/>
        <v>0</v>
      </c>
    </row>
    <row r="39" spans="1:13" ht="12.75">
      <c r="A39" s="11">
        <v>38</v>
      </c>
      <c r="B39" s="1" t="s">
        <v>14</v>
      </c>
      <c r="C39" s="11" t="s">
        <v>141</v>
      </c>
      <c r="D39">
        <v>159</v>
      </c>
      <c r="E39" s="11"/>
      <c r="F39" s="144">
        <v>32</v>
      </c>
      <c r="G39" s="11" t="s">
        <v>161</v>
      </c>
      <c r="H39" s="1"/>
      <c r="I39" s="1"/>
      <c r="J39" s="1"/>
      <c r="K39" s="1"/>
      <c r="L39" s="1"/>
      <c r="M39" s="21">
        <f t="shared" si="0"/>
        <v>32</v>
      </c>
    </row>
    <row r="40" spans="1:13" ht="12.75">
      <c r="A40" s="11">
        <v>39</v>
      </c>
      <c r="B40" s="1" t="s">
        <v>162</v>
      </c>
      <c r="C40" s="11" t="s">
        <v>141</v>
      </c>
      <c r="D40">
        <v>810</v>
      </c>
      <c r="E40" s="11"/>
      <c r="F40" s="144">
        <v>106</v>
      </c>
      <c r="G40" s="11" t="s">
        <v>142</v>
      </c>
      <c r="H40" s="1"/>
      <c r="I40" s="1"/>
      <c r="J40" s="1"/>
      <c r="K40" s="1"/>
      <c r="L40" s="1"/>
      <c r="M40" s="21">
        <f t="shared" si="0"/>
        <v>0.106</v>
      </c>
    </row>
    <row r="41" spans="1:13" ht="12.75">
      <c r="A41" s="11">
        <v>40</v>
      </c>
      <c r="B41" s="1" t="s">
        <v>326</v>
      </c>
      <c r="C41" s="11" t="s">
        <v>141</v>
      </c>
      <c r="E41" s="11"/>
      <c r="F41" s="144">
        <v>0</v>
      </c>
      <c r="G41" s="11" t="s">
        <v>142</v>
      </c>
      <c r="H41" s="1"/>
      <c r="I41" s="1"/>
      <c r="J41" s="1"/>
      <c r="K41" s="1"/>
      <c r="L41" s="1"/>
      <c r="M41" s="21">
        <f t="shared" si="0"/>
        <v>0</v>
      </c>
    </row>
    <row r="42" spans="1:13" ht="12.75">
      <c r="A42" s="11">
        <v>41</v>
      </c>
      <c r="B42" s="1" t="s">
        <v>163</v>
      </c>
      <c r="C42" s="11" t="s">
        <v>141</v>
      </c>
      <c r="E42" s="11"/>
      <c r="F42" s="144">
        <v>0</v>
      </c>
      <c r="G42" s="11" t="s">
        <v>142</v>
      </c>
      <c r="H42" s="1"/>
      <c r="I42" s="1"/>
      <c r="J42" s="1"/>
      <c r="K42" s="1"/>
      <c r="L42" s="1"/>
      <c r="M42" s="21">
        <f t="shared" si="0"/>
        <v>0</v>
      </c>
    </row>
    <row r="43" spans="1:13" ht="12.75">
      <c r="A43" s="11">
        <v>42</v>
      </c>
      <c r="B43" s="1" t="s">
        <v>327</v>
      </c>
      <c r="C43" s="11" t="s">
        <v>141</v>
      </c>
      <c r="E43" s="11"/>
      <c r="F43" s="144">
        <v>0</v>
      </c>
      <c r="G43" s="11" t="s">
        <v>142</v>
      </c>
      <c r="H43" s="1"/>
      <c r="I43" s="1"/>
      <c r="J43" s="1"/>
      <c r="K43" s="1"/>
      <c r="L43" s="1"/>
      <c r="M43" s="21">
        <f t="shared" si="0"/>
        <v>0</v>
      </c>
    </row>
    <row r="44" spans="1:13" ht="12.75">
      <c r="A44" s="11">
        <v>43</v>
      </c>
      <c r="B44" s="1" t="s">
        <v>164</v>
      </c>
      <c r="C44" s="11" t="s">
        <v>141</v>
      </c>
      <c r="E44" s="11"/>
      <c r="F44" s="144">
        <v>0</v>
      </c>
      <c r="G44" s="11" t="s">
        <v>142</v>
      </c>
      <c r="H44" s="1"/>
      <c r="I44" s="1"/>
      <c r="J44" s="1"/>
      <c r="K44" s="1"/>
      <c r="L44" s="1"/>
      <c r="M44" s="21">
        <f t="shared" si="0"/>
        <v>0</v>
      </c>
    </row>
    <row r="45" spans="1:13" ht="12.75">
      <c r="A45" s="11">
        <v>44</v>
      </c>
      <c r="B45" s="1" t="s">
        <v>165</v>
      </c>
      <c r="C45" s="11" t="s">
        <v>141</v>
      </c>
      <c r="E45" s="11"/>
      <c r="F45" s="144">
        <v>0</v>
      </c>
      <c r="G45" s="11" t="s">
        <v>142</v>
      </c>
      <c r="H45" s="1"/>
      <c r="I45" s="1"/>
      <c r="J45" s="1"/>
      <c r="K45" s="1"/>
      <c r="L45" s="1"/>
      <c r="M45" s="21">
        <f t="shared" si="0"/>
        <v>0</v>
      </c>
    </row>
    <row r="46" spans="1:13" ht="12.75">
      <c r="A46" s="11">
        <v>45</v>
      </c>
      <c r="B46" s="1" t="s">
        <v>328</v>
      </c>
      <c r="C46" s="11" t="s">
        <v>141</v>
      </c>
      <c r="D46">
        <v>1080</v>
      </c>
      <c r="E46" s="11"/>
      <c r="F46" s="144">
        <v>90</v>
      </c>
      <c r="G46" s="11" t="s">
        <v>142</v>
      </c>
      <c r="H46" s="1"/>
      <c r="I46" s="1"/>
      <c r="J46" s="1"/>
      <c r="K46" s="1"/>
      <c r="L46" s="1"/>
      <c r="M46" s="21">
        <f t="shared" si="0"/>
        <v>0.09</v>
      </c>
    </row>
    <row r="47" spans="1:13" ht="12.75">
      <c r="A47" s="11">
        <v>46</v>
      </c>
      <c r="B47" s="1" t="s">
        <v>166</v>
      </c>
      <c r="C47" s="11" t="s">
        <v>141</v>
      </c>
      <c r="E47" s="11"/>
      <c r="F47" s="144">
        <v>0</v>
      </c>
      <c r="G47" s="11" t="s">
        <v>142</v>
      </c>
      <c r="H47" s="1"/>
      <c r="I47" s="1"/>
      <c r="J47" s="1"/>
      <c r="K47" s="1"/>
      <c r="L47" s="1"/>
      <c r="M47" s="21">
        <f t="shared" si="0"/>
        <v>0</v>
      </c>
    </row>
    <row r="48" spans="1:13" ht="12.75">
      <c r="A48" s="11">
        <v>47</v>
      </c>
      <c r="B48" s="1" t="s">
        <v>61</v>
      </c>
      <c r="C48" s="11" t="s">
        <v>141</v>
      </c>
      <c r="D48">
        <v>260</v>
      </c>
      <c r="E48" s="11"/>
      <c r="F48" s="144">
        <v>25</v>
      </c>
      <c r="G48" s="11" t="s">
        <v>142</v>
      </c>
      <c r="H48" s="1"/>
      <c r="I48" s="1"/>
      <c r="J48" s="1"/>
      <c r="K48" s="1"/>
      <c r="L48" s="1"/>
      <c r="M48" s="21">
        <f t="shared" si="0"/>
        <v>2.5000000000000001E-2</v>
      </c>
    </row>
    <row r="49" spans="1:13" ht="12.75">
      <c r="A49" s="11">
        <v>48</v>
      </c>
      <c r="B49" s="1" t="s">
        <v>167</v>
      </c>
      <c r="C49" s="11" t="s">
        <v>141</v>
      </c>
      <c r="E49" s="11"/>
      <c r="F49" s="144">
        <v>0</v>
      </c>
      <c r="G49" s="11" t="s">
        <v>142</v>
      </c>
      <c r="H49" s="1"/>
      <c r="I49" s="1"/>
      <c r="J49" s="1"/>
      <c r="K49" s="1"/>
      <c r="L49" s="1"/>
      <c r="M49" s="21">
        <f t="shared" si="0"/>
        <v>0</v>
      </c>
    </row>
    <row r="50" spans="1:13" ht="12.75">
      <c r="A50" s="11">
        <v>49</v>
      </c>
      <c r="B50" s="1" t="s">
        <v>168</v>
      </c>
      <c r="C50" s="11" t="s">
        <v>141</v>
      </c>
      <c r="E50" s="11"/>
      <c r="F50" s="144">
        <v>0</v>
      </c>
      <c r="G50" s="11" t="s">
        <v>142</v>
      </c>
      <c r="H50" s="1"/>
      <c r="I50" s="1"/>
      <c r="J50" s="1"/>
      <c r="K50" s="1"/>
      <c r="L50" s="1"/>
      <c r="M50" s="21">
        <f t="shared" si="0"/>
        <v>0</v>
      </c>
    </row>
    <row r="51" spans="1:13" ht="12.75">
      <c r="A51" s="11">
        <v>50</v>
      </c>
      <c r="B51" s="1" t="s">
        <v>169</v>
      </c>
      <c r="C51" s="11" t="s">
        <v>141</v>
      </c>
      <c r="E51" s="11"/>
      <c r="F51" s="144">
        <v>0</v>
      </c>
      <c r="G51" s="11" t="s">
        <v>142</v>
      </c>
      <c r="H51" s="1"/>
      <c r="I51" s="1"/>
      <c r="J51" s="1"/>
      <c r="K51" s="1"/>
      <c r="L51" s="1"/>
      <c r="M51" s="21">
        <f t="shared" si="0"/>
        <v>0</v>
      </c>
    </row>
    <row r="52" spans="1:13" ht="12.75">
      <c r="A52" s="11">
        <v>51</v>
      </c>
      <c r="B52" s="1" t="s">
        <v>28</v>
      </c>
      <c r="C52" s="11" t="s">
        <v>141</v>
      </c>
      <c r="D52">
        <v>220</v>
      </c>
      <c r="E52" s="11"/>
      <c r="F52" s="144">
        <v>160</v>
      </c>
      <c r="G52" s="11" t="s">
        <v>142</v>
      </c>
      <c r="H52" s="1"/>
      <c r="I52" s="1"/>
      <c r="J52" s="1"/>
      <c r="K52" s="1"/>
      <c r="L52" s="1"/>
      <c r="M52" s="21">
        <f t="shared" si="0"/>
        <v>0.16</v>
      </c>
    </row>
    <row r="53" spans="1:13" ht="12.75">
      <c r="A53" s="11">
        <v>52</v>
      </c>
      <c r="B53" s="1" t="s">
        <v>329</v>
      </c>
      <c r="C53" s="11" t="s">
        <v>141</v>
      </c>
      <c r="D53">
        <v>200</v>
      </c>
      <c r="E53" s="11"/>
      <c r="F53" s="144">
        <v>35</v>
      </c>
      <c r="G53" s="11" t="s">
        <v>142</v>
      </c>
      <c r="H53" s="1"/>
      <c r="I53" s="1"/>
      <c r="J53" s="1"/>
      <c r="K53" s="1"/>
      <c r="L53" s="1"/>
      <c r="M53" s="21">
        <f t="shared" si="0"/>
        <v>3.5000000000000003E-2</v>
      </c>
    </row>
    <row r="54" spans="1:13" ht="12.75">
      <c r="A54" s="11">
        <v>53</v>
      </c>
      <c r="B54" s="1" t="s">
        <v>170</v>
      </c>
      <c r="C54" s="11" t="s">
        <v>141</v>
      </c>
      <c r="E54" s="11"/>
      <c r="F54" s="144">
        <v>0</v>
      </c>
      <c r="G54" s="11" t="s">
        <v>142</v>
      </c>
      <c r="H54" s="1"/>
      <c r="I54" s="1"/>
      <c r="J54" s="1"/>
      <c r="K54" s="1"/>
      <c r="L54" s="1"/>
      <c r="M54" s="21">
        <f t="shared" si="0"/>
        <v>0</v>
      </c>
    </row>
    <row r="55" spans="1:13" ht="12.75">
      <c r="A55" s="11">
        <v>54</v>
      </c>
      <c r="B55" s="1" t="s">
        <v>171</v>
      </c>
      <c r="C55" s="11" t="s">
        <v>141</v>
      </c>
      <c r="E55" s="11"/>
      <c r="F55" s="144">
        <v>0</v>
      </c>
      <c r="G55" s="11" t="s">
        <v>142</v>
      </c>
      <c r="H55" s="1"/>
      <c r="I55" s="1"/>
      <c r="J55" s="1"/>
      <c r="K55" s="1"/>
      <c r="L55" s="1"/>
      <c r="M55" s="21">
        <f t="shared" si="0"/>
        <v>0</v>
      </c>
    </row>
    <row r="56" spans="1:13" ht="12.75">
      <c r="A56" s="11">
        <v>55</v>
      </c>
      <c r="B56" s="1" t="s">
        <v>172</v>
      </c>
      <c r="C56" s="11" t="s">
        <v>141</v>
      </c>
      <c r="E56" s="11"/>
      <c r="F56" s="144">
        <v>0</v>
      </c>
      <c r="G56" s="11" t="s">
        <v>142</v>
      </c>
      <c r="H56" s="1"/>
      <c r="I56" s="1"/>
      <c r="J56" s="1"/>
      <c r="K56" s="1"/>
      <c r="L56" s="1"/>
      <c r="M56" s="21">
        <f t="shared" si="0"/>
        <v>0</v>
      </c>
    </row>
    <row r="57" spans="1:13" ht="12.75">
      <c r="A57" s="11">
        <v>56</v>
      </c>
      <c r="B57" s="1" t="s">
        <v>173</v>
      </c>
      <c r="C57" s="11" t="s">
        <v>141</v>
      </c>
      <c r="E57" s="11"/>
      <c r="F57" s="144">
        <v>0</v>
      </c>
      <c r="G57" s="11" t="s">
        <v>142</v>
      </c>
      <c r="H57" s="1"/>
      <c r="I57" s="1"/>
      <c r="J57" s="1"/>
      <c r="K57" s="1"/>
      <c r="L57" s="1"/>
      <c r="M57" s="21">
        <f t="shared" si="0"/>
        <v>0</v>
      </c>
    </row>
    <row r="58" spans="1:13" ht="12.75">
      <c r="A58" s="11">
        <v>57</v>
      </c>
      <c r="B58" s="1" t="s">
        <v>174</v>
      </c>
      <c r="C58" s="11" t="s">
        <v>141</v>
      </c>
      <c r="E58" s="11"/>
      <c r="F58" s="144">
        <v>0</v>
      </c>
      <c r="G58" s="11" t="s">
        <v>142</v>
      </c>
      <c r="H58" s="1"/>
      <c r="I58" s="1"/>
      <c r="J58" s="1"/>
      <c r="K58" s="1"/>
      <c r="L58" s="1"/>
      <c r="M58" s="21">
        <f t="shared" si="0"/>
        <v>0</v>
      </c>
    </row>
    <row r="59" spans="1:13" ht="12.75">
      <c r="A59" s="11">
        <v>58</v>
      </c>
      <c r="B59" s="1" t="s">
        <v>330</v>
      </c>
      <c r="C59" s="11" t="s">
        <v>141</v>
      </c>
      <c r="D59">
        <v>260</v>
      </c>
      <c r="E59" s="11"/>
      <c r="F59" s="144">
        <v>180</v>
      </c>
      <c r="G59" s="11" t="s">
        <v>142</v>
      </c>
      <c r="H59" s="1"/>
      <c r="I59" s="1"/>
      <c r="J59" s="1"/>
      <c r="K59" s="1"/>
      <c r="L59" s="1"/>
      <c r="M59" s="21">
        <f t="shared" si="0"/>
        <v>0.18</v>
      </c>
    </row>
    <row r="60" spans="1:13" ht="12.75">
      <c r="A60" s="11">
        <v>59</v>
      </c>
      <c r="B60" s="1" t="s">
        <v>36</v>
      </c>
      <c r="C60" s="11" t="s">
        <v>141</v>
      </c>
      <c r="D60">
        <v>270</v>
      </c>
      <c r="E60" s="11"/>
      <c r="F60" s="144">
        <v>180</v>
      </c>
      <c r="G60" s="11" t="s">
        <v>142</v>
      </c>
      <c r="H60" s="1"/>
      <c r="I60" s="1"/>
      <c r="J60" s="1"/>
      <c r="K60" s="1"/>
      <c r="L60" s="1"/>
      <c r="M60" s="21">
        <f t="shared" si="0"/>
        <v>0.18</v>
      </c>
    </row>
    <row r="61" spans="1:13" ht="12.75">
      <c r="A61" s="11">
        <v>60</v>
      </c>
      <c r="B61" s="1" t="s">
        <v>175</v>
      </c>
      <c r="C61" s="11" t="s">
        <v>141</v>
      </c>
      <c r="D61">
        <v>1120</v>
      </c>
      <c r="E61" s="11"/>
      <c r="F61" s="144">
        <v>180</v>
      </c>
      <c r="G61" s="11" t="s">
        <v>142</v>
      </c>
      <c r="H61" s="1"/>
      <c r="I61" s="1"/>
      <c r="J61" s="1"/>
      <c r="K61" s="1"/>
      <c r="L61" s="1"/>
      <c r="M61" s="21">
        <f t="shared" si="0"/>
        <v>0.18</v>
      </c>
    </row>
    <row r="62" spans="1:13" ht="12.75">
      <c r="A62" s="11">
        <v>61</v>
      </c>
      <c r="B62" s="1" t="s">
        <v>176</v>
      </c>
      <c r="C62" s="11" t="s">
        <v>141</v>
      </c>
      <c r="E62" s="11"/>
      <c r="F62" s="144">
        <v>0</v>
      </c>
      <c r="G62" s="11" t="s">
        <v>142</v>
      </c>
      <c r="H62" s="1"/>
      <c r="I62" s="1"/>
      <c r="J62" s="1"/>
      <c r="K62" s="1"/>
      <c r="L62" s="1"/>
      <c r="M62" s="21">
        <f t="shared" si="0"/>
        <v>0</v>
      </c>
    </row>
    <row r="63" spans="1:13" ht="12.75">
      <c r="A63" s="11">
        <v>62</v>
      </c>
      <c r="B63" s="1" t="s">
        <v>177</v>
      </c>
      <c r="C63" s="11" t="s">
        <v>141</v>
      </c>
      <c r="E63" s="11"/>
      <c r="F63" s="144">
        <v>0</v>
      </c>
      <c r="G63" s="11" t="s">
        <v>142</v>
      </c>
      <c r="H63" s="1"/>
      <c r="I63" s="1"/>
      <c r="J63" s="1"/>
      <c r="K63" s="1"/>
      <c r="L63" s="1"/>
      <c r="M63" s="21">
        <f t="shared" si="0"/>
        <v>0</v>
      </c>
    </row>
    <row r="64" spans="1:13" ht="12.75">
      <c r="A64" s="11">
        <v>63</v>
      </c>
      <c r="B64" s="1" t="s">
        <v>178</v>
      </c>
      <c r="C64" s="11" t="s">
        <v>141</v>
      </c>
      <c r="E64" s="11"/>
      <c r="F64" s="144">
        <v>0</v>
      </c>
      <c r="G64" s="11" t="s">
        <v>142</v>
      </c>
      <c r="H64" s="1"/>
      <c r="I64" s="1"/>
      <c r="J64" s="1"/>
      <c r="K64" s="1"/>
      <c r="L64" s="1"/>
      <c r="M64" s="21">
        <f t="shared" si="0"/>
        <v>0</v>
      </c>
    </row>
    <row r="65" spans="1:13" ht="12.75">
      <c r="A65" s="11">
        <v>64</v>
      </c>
      <c r="B65" s="1" t="s">
        <v>179</v>
      </c>
      <c r="C65" s="11" t="s">
        <v>141</v>
      </c>
      <c r="E65" s="11"/>
      <c r="F65" s="144">
        <v>0</v>
      </c>
      <c r="G65" s="11" t="s">
        <v>142</v>
      </c>
      <c r="H65" s="1"/>
      <c r="I65" s="1"/>
      <c r="J65" s="1"/>
      <c r="K65" s="1"/>
      <c r="L65" s="1"/>
      <c r="M65" s="21">
        <f t="shared" si="0"/>
        <v>0</v>
      </c>
    </row>
    <row r="66" spans="1:13" ht="12.75">
      <c r="A66" s="11">
        <v>65</v>
      </c>
      <c r="B66" s="1" t="s">
        <v>180</v>
      </c>
      <c r="C66" s="11" t="s">
        <v>141</v>
      </c>
      <c r="E66" s="11"/>
      <c r="F66" s="144">
        <v>0</v>
      </c>
      <c r="G66" s="11" t="s">
        <v>142</v>
      </c>
      <c r="H66" s="1"/>
      <c r="I66" s="1"/>
      <c r="J66" s="1"/>
      <c r="K66" s="1"/>
      <c r="L66" s="1"/>
      <c r="M66" s="21">
        <f t="shared" si="0"/>
        <v>0</v>
      </c>
    </row>
    <row r="67" spans="1:13" ht="12.75">
      <c r="A67" s="11">
        <v>66</v>
      </c>
      <c r="B67" s="1" t="s">
        <v>181</v>
      </c>
      <c r="C67" s="11" t="s">
        <v>141</v>
      </c>
      <c r="D67">
        <v>270</v>
      </c>
      <c r="E67" s="11"/>
      <c r="F67" s="144">
        <v>160</v>
      </c>
      <c r="G67" s="11" t="s">
        <v>142</v>
      </c>
      <c r="H67" s="1"/>
      <c r="I67" s="1"/>
      <c r="J67" s="1"/>
      <c r="K67" s="1"/>
      <c r="L67" s="1"/>
      <c r="M67" s="21">
        <f t="shared" si="0"/>
        <v>0.16</v>
      </c>
    </row>
    <row r="68" spans="1:13" ht="12.75">
      <c r="A68" s="11">
        <v>67</v>
      </c>
      <c r="B68" s="1" t="s">
        <v>182</v>
      </c>
      <c r="C68" s="11" t="s">
        <v>141</v>
      </c>
      <c r="E68" s="11"/>
      <c r="F68" s="144">
        <v>0</v>
      </c>
      <c r="G68" s="11" t="s">
        <v>142</v>
      </c>
      <c r="H68" s="1"/>
      <c r="I68" s="1"/>
      <c r="J68" s="1"/>
      <c r="K68" s="1"/>
      <c r="L68" s="1"/>
      <c r="M68" s="21">
        <f t="shared" si="0"/>
        <v>0</v>
      </c>
    </row>
    <row r="69" spans="1:13" ht="12.75">
      <c r="A69" s="11">
        <v>68</v>
      </c>
      <c r="B69" s="1" t="s">
        <v>183</v>
      </c>
      <c r="C69" s="11" t="s">
        <v>141</v>
      </c>
      <c r="E69" s="11"/>
      <c r="F69" s="144">
        <v>0</v>
      </c>
      <c r="G69" s="11" t="s">
        <v>142</v>
      </c>
      <c r="H69" s="1"/>
      <c r="I69" s="1"/>
      <c r="J69" s="1"/>
      <c r="K69" s="1"/>
      <c r="L69" s="1"/>
      <c r="M69" s="21">
        <f t="shared" si="0"/>
        <v>0</v>
      </c>
    </row>
    <row r="70" spans="1:13" ht="12.75">
      <c r="A70" s="11">
        <v>69</v>
      </c>
      <c r="B70" s="1" t="s">
        <v>184</v>
      </c>
      <c r="C70" s="11" t="s">
        <v>141</v>
      </c>
      <c r="D70" t="s">
        <v>683</v>
      </c>
      <c r="E70" s="11"/>
      <c r="F70" s="144">
        <v>110</v>
      </c>
      <c r="G70" s="11" t="s">
        <v>142</v>
      </c>
      <c r="H70" s="1"/>
      <c r="I70" s="1"/>
      <c r="J70" s="1"/>
      <c r="K70" s="1"/>
      <c r="L70" s="1"/>
      <c r="M70" s="21">
        <f t="shared" si="0"/>
        <v>0.11</v>
      </c>
    </row>
    <row r="71" spans="1:13" ht="12.75">
      <c r="A71" s="11">
        <v>70</v>
      </c>
      <c r="B71" s="1" t="s">
        <v>185</v>
      </c>
      <c r="C71" s="11" t="s">
        <v>141</v>
      </c>
      <c r="E71" s="11"/>
      <c r="F71" s="144">
        <v>0</v>
      </c>
      <c r="G71" s="11" t="s">
        <v>142</v>
      </c>
      <c r="H71" s="1"/>
      <c r="I71" s="1"/>
      <c r="J71" s="1"/>
      <c r="K71" s="1"/>
      <c r="L71" s="1"/>
      <c r="M71" s="21">
        <f t="shared" si="0"/>
        <v>0</v>
      </c>
    </row>
    <row r="72" spans="1:13" ht="12.75">
      <c r="A72" s="11">
        <v>71</v>
      </c>
      <c r="B72" s="1" t="s">
        <v>186</v>
      </c>
      <c r="C72" s="11" t="s">
        <v>141</v>
      </c>
      <c r="E72" s="11"/>
      <c r="F72" s="144">
        <v>5</v>
      </c>
      <c r="G72" s="11" t="s">
        <v>142</v>
      </c>
      <c r="H72" s="1"/>
      <c r="I72" s="1"/>
      <c r="J72" s="1"/>
      <c r="K72" s="1"/>
      <c r="L72" s="1"/>
      <c r="M72" s="21">
        <f t="shared" si="0"/>
        <v>5.0000000000000001E-3</v>
      </c>
    </row>
    <row r="73" spans="1:13" ht="12.75">
      <c r="A73" s="11">
        <v>72</v>
      </c>
      <c r="B73" s="1" t="s">
        <v>50</v>
      </c>
      <c r="C73" s="11" t="s">
        <v>141</v>
      </c>
      <c r="D73">
        <v>860</v>
      </c>
      <c r="E73" s="11"/>
      <c r="F73" s="144">
        <v>120</v>
      </c>
      <c r="G73" s="11" t="s">
        <v>142</v>
      </c>
      <c r="H73" s="1"/>
      <c r="I73" s="1"/>
      <c r="J73" s="1"/>
      <c r="K73" s="1"/>
      <c r="L73" s="1"/>
      <c r="M73" s="21">
        <f t="shared" si="0"/>
        <v>0.12</v>
      </c>
    </row>
    <row r="74" spans="1:13" ht="12.75">
      <c r="A74" s="11">
        <v>73</v>
      </c>
      <c r="B74" s="1" t="s">
        <v>35</v>
      </c>
      <c r="C74" s="11" t="s">
        <v>141</v>
      </c>
      <c r="D74">
        <v>800</v>
      </c>
      <c r="E74" s="11"/>
      <c r="F74" s="144">
        <v>32</v>
      </c>
      <c r="G74" s="11" t="s">
        <v>142</v>
      </c>
      <c r="H74" s="1"/>
      <c r="I74" s="1"/>
      <c r="J74" s="1"/>
      <c r="K74" s="1"/>
      <c r="L74" s="1"/>
      <c r="M74" s="21">
        <f t="shared" si="0"/>
        <v>3.2000000000000001E-2</v>
      </c>
    </row>
    <row r="75" spans="1:13" ht="12.75">
      <c r="A75" s="11">
        <v>74</v>
      </c>
      <c r="B75" s="1" t="s">
        <v>187</v>
      </c>
      <c r="C75" s="11" t="s">
        <v>141</v>
      </c>
      <c r="D75">
        <v>800</v>
      </c>
      <c r="E75" s="11"/>
      <c r="F75" s="144">
        <v>120</v>
      </c>
      <c r="G75" s="11" t="s">
        <v>142</v>
      </c>
      <c r="H75" s="1"/>
      <c r="I75" s="1"/>
      <c r="J75" s="1"/>
      <c r="K75" s="1"/>
      <c r="L75" s="1"/>
      <c r="M75" s="21">
        <f t="shared" si="0"/>
        <v>0.12</v>
      </c>
    </row>
    <row r="76" spans="1:13" ht="12.75">
      <c r="A76" s="11">
        <v>75</v>
      </c>
      <c r="B76" s="1" t="s">
        <v>188</v>
      </c>
      <c r="C76" s="11" t="s">
        <v>141</v>
      </c>
      <c r="E76" s="11"/>
      <c r="F76" s="144">
        <v>0</v>
      </c>
      <c r="G76" s="11" t="s">
        <v>142</v>
      </c>
      <c r="H76" s="1"/>
      <c r="I76" s="1"/>
      <c r="J76" s="1"/>
      <c r="K76" s="1"/>
      <c r="L76" s="1"/>
      <c r="M76" s="21">
        <f t="shared" si="0"/>
        <v>0</v>
      </c>
    </row>
    <row r="77" spans="1:13" ht="12.75">
      <c r="A77" s="11">
        <v>76</v>
      </c>
      <c r="B77" s="1" t="s">
        <v>189</v>
      </c>
      <c r="C77" s="11" t="s">
        <v>141</v>
      </c>
      <c r="D77">
        <v>860</v>
      </c>
      <c r="E77" s="11"/>
      <c r="F77" s="144">
        <v>72</v>
      </c>
      <c r="G77" s="11" t="s">
        <v>142</v>
      </c>
      <c r="H77" s="1"/>
      <c r="I77" s="1"/>
      <c r="J77" s="1"/>
      <c r="K77" s="1"/>
      <c r="L77" s="1"/>
      <c r="M77" s="21">
        <f t="shared" si="0"/>
        <v>7.1999999999999995E-2</v>
      </c>
    </row>
    <row r="78" spans="1:13" ht="12.75">
      <c r="A78" s="11">
        <v>77</v>
      </c>
      <c r="B78" s="1" t="s">
        <v>190</v>
      </c>
      <c r="C78" s="11" t="s">
        <v>141</v>
      </c>
      <c r="D78">
        <v>180</v>
      </c>
      <c r="E78" s="11"/>
      <c r="F78" s="144">
        <v>18</v>
      </c>
      <c r="G78" s="11" t="s">
        <v>142</v>
      </c>
      <c r="H78" s="1"/>
      <c r="I78" s="1"/>
      <c r="J78" s="1"/>
      <c r="K78" s="1"/>
      <c r="L78" s="1"/>
      <c r="M78" s="21">
        <f t="shared" si="0"/>
        <v>1.7999999999999999E-2</v>
      </c>
    </row>
    <row r="79" spans="1:13" ht="12.75">
      <c r="A79" s="11">
        <v>78</v>
      </c>
      <c r="B79" s="1" t="s">
        <v>191</v>
      </c>
      <c r="C79" s="11" t="s">
        <v>192</v>
      </c>
      <c r="D79">
        <v>890</v>
      </c>
      <c r="E79" s="11"/>
      <c r="F79" s="144">
        <v>50</v>
      </c>
      <c r="G79" s="11" t="s">
        <v>142</v>
      </c>
      <c r="H79" s="1"/>
      <c r="I79" s="1"/>
      <c r="J79" s="1"/>
      <c r="K79" s="1"/>
      <c r="L79" s="1"/>
      <c r="M79" s="21">
        <f t="shared" si="0"/>
        <v>0.05</v>
      </c>
    </row>
    <row r="80" spans="1:13" ht="12.75">
      <c r="A80" s="11">
        <v>79</v>
      </c>
      <c r="B80" s="1" t="s">
        <v>193</v>
      </c>
      <c r="C80" s="11" t="s">
        <v>192</v>
      </c>
      <c r="E80" s="11"/>
      <c r="F80" s="144">
        <v>0</v>
      </c>
      <c r="G80" s="11" t="s">
        <v>142</v>
      </c>
      <c r="H80" s="1"/>
      <c r="I80" s="1"/>
      <c r="J80" s="1"/>
      <c r="K80" s="1"/>
      <c r="L80" s="1"/>
      <c r="M80" s="21">
        <f t="shared" si="0"/>
        <v>0</v>
      </c>
    </row>
    <row r="81" spans="1:13" ht="12.75">
      <c r="A81" s="11">
        <v>80</v>
      </c>
      <c r="B81" s="1" t="s">
        <v>194</v>
      </c>
      <c r="C81" s="11" t="s">
        <v>192</v>
      </c>
      <c r="E81" s="11"/>
      <c r="F81" s="144">
        <v>0</v>
      </c>
      <c r="G81" s="11" t="s">
        <v>142</v>
      </c>
      <c r="H81" s="1"/>
      <c r="I81" s="1"/>
      <c r="J81" s="1"/>
      <c r="K81" s="1"/>
      <c r="L81" s="1"/>
      <c r="M81" s="21">
        <f t="shared" si="0"/>
        <v>0</v>
      </c>
    </row>
    <row r="82" spans="1:13" ht="12.75">
      <c r="A82" s="11">
        <v>81</v>
      </c>
      <c r="B82" s="1" t="s">
        <v>195</v>
      </c>
      <c r="C82" s="11" t="s">
        <v>192</v>
      </c>
      <c r="E82" s="11"/>
      <c r="F82" s="144">
        <v>0</v>
      </c>
      <c r="G82" s="11" t="s">
        <v>142</v>
      </c>
      <c r="H82" s="1"/>
      <c r="I82" s="1"/>
      <c r="J82" s="1"/>
      <c r="K82" s="1"/>
      <c r="L82" s="1"/>
      <c r="M82" s="21">
        <f t="shared" si="0"/>
        <v>0</v>
      </c>
    </row>
    <row r="83" spans="1:13" ht="12.75">
      <c r="A83" s="11">
        <v>82</v>
      </c>
      <c r="B83" s="1" t="s">
        <v>196</v>
      </c>
      <c r="C83" s="11" t="s">
        <v>192</v>
      </c>
      <c r="E83" s="11"/>
      <c r="F83" s="144">
        <v>0</v>
      </c>
      <c r="G83" s="11" t="s">
        <v>142</v>
      </c>
      <c r="H83" s="1"/>
      <c r="I83" s="1"/>
      <c r="J83" s="1"/>
      <c r="K83" s="1"/>
      <c r="L83" s="1"/>
      <c r="M83" s="21">
        <f t="shared" si="0"/>
        <v>0</v>
      </c>
    </row>
    <row r="84" spans="1:13" ht="12.75">
      <c r="A84" s="11">
        <v>83</v>
      </c>
      <c r="B84" s="1" t="s">
        <v>62</v>
      </c>
      <c r="C84" s="11" t="s">
        <v>192</v>
      </c>
      <c r="D84">
        <v>600</v>
      </c>
      <c r="E84" s="11"/>
      <c r="F84" s="144">
        <v>120</v>
      </c>
      <c r="G84" s="11" t="s">
        <v>142</v>
      </c>
      <c r="H84" s="1"/>
      <c r="I84" s="1"/>
      <c r="J84" s="1"/>
      <c r="K84" s="1"/>
      <c r="L84" s="1"/>
      <c r="M84" s="21">
        <f t="shared" si="0"/>
        <v>0.12</v>
      </c>
    </row>
    <row r="85" spans="1:13" ht="12.75">
      <c r="A85" s="11">
        <v>84</v>
      </c>
      <c r="B85" s="1" t="s">
        <v>197</v>
      </c>
      <c r="C85" s="11" t="s">
        <v>192</v>
      </c>
      <c r="E85" s="11"/>
      <c r="F85" s="144">
        <v>0</v>
      </c>
      <c r="G85" s="11" t="s">
        <v>142</v>
      </c>
      <c r="H85" s="1"/>
      <c r="I85" s="1"/>
      <c r="J85" s="1"/>
      <c r="K85" s="1"/>
      <c r="L85" s="1"/>
      <c r="M85" s="21">
        <f t="shared" si="0"/>
        <v>0</v>
      </c>
    </row>
    <row r="86" spans="1:13" ht="12.75">
      <c r="A86" s="11">
        <v>85</v>
      </c>
      <c r="B86" s="1" t="s">
        <v>198</v>
      </c>
      <c r="C86" s="11" t="s">
        <v>192</v>
      </c>
      <c r="E86" s="11"/>
      <c r="F86" s="144">
        <v>0</v>
      </c>
      <c r="G86" s="11" t="s">
        <v>142</v>
      </c>
      <c r="H86" s="1"/>
      <c r="I86" s="1"/>
      <c r="J86" s="1"/>
      <c r="K86" s="1"/>
      <c r="L86" s="1"/>
      <c r="M86" s="21">
        <f t="shared" si="0"/>
        <v>0</v>
      </c>
    </row>
    <row r="87" spans="1:13" ht="12.75">
      <c r="A87" s="11">
        <v>86</v>
      </c>
      <c r="B87" s="1" t="s">
        <v>199</v>
      </c>
      <c r="C87" s="11" t="s">
        <v>192</v>
      </c>
      <c r="E87" s="11"/>
      <c r="F87" s="144">
        <v>0</v>
      </c>
      <c r="G87" s="11" t="s">
        <v>142</v>
      </c>
      <c r="H87" s="1"/>
      <c r="I87" s="1"/>
      <c r="J87" s="1"/>
      <c r="K87" s="1"/>
      <c r="L87" s="1"/>
      <c r="M87" s="21">
        <f t="shared" si="0"/>
        <v>0</v>
      </c>
    </row>
    <row r="88" spans="1:13" ht="12.75">
      <c r="A88" s="11">
        <v>87</v>
      </c>
      <c r="B88" s="1" t="s">
        <v>200</v>
      </c>
      <c r="C88" s="11" t="s">
        <v>192</v>
      </c>
      <c r="E88" s="11"/>
      <c r="F88" s="144">
        <v>0</v>
      </c>
      <c r="G88" s="11" t="s">
        <v>142</v>
      </c>
      <c r="H88" s="1"/>
      <c r="I88" s="1"/>
      <c r="J88" s="1"/>
      <c r="K88" s="1"/>
      <c r="L88" s="1"/>
      <c r="M88" s="21">
        <f t="shared" si="0"/>
        <v>0</v>
      </c>
    </row>
    <row r="89" spans="1:13" ht="12.75">
      <c r="A89" s="11">
        <v>88</v>
      </c>
      <c r="B89" s="1" t="s">
        <v>201</v>
      </c>
      <c r="C89" s="11" t="s">
        <v>192</v>
      </c>
      <c r="E89" s="11"/>
      <c r="F89" s="144">
        <v>0</v>
      </c>
      <c r="G89" s="11" t="s">
        <v>142</v>
      </c>
      <c r="H89" s="1"/>
      <c r="I89" s="1"/>
      <c r="J89" s="1"/>
      <c r="K89" s="1"/>
      <c r="L89" s="1"/>
      <c r="M89" s="21">
        <f t="shared" si="0"/>
        <v>0</v>
      </c>
    </row>
    <row r="90" spans="1:13" ht="12.75">
      <c r="A90" s="11">
        <v>89</v>
      </c>
      <c r="B90" s="1" t="s">
        <v>202</v>
      </c>
      <c r="C90" s="11" t="s">
        <v>192</v>
      </c>
      <c r="E90" s="11"/>
      <c r="F90" s="144">
        <v>0</v>
      </c>
      <c r="G90" s="11" t="s">
        <v>142</v>
      </c>
      <c r="H90" s="1"/>
      <c r="I90" s="1"/>
      <c r="J90" s="1"/>
      <c r="K90" s="1"/>
      <c r="L90" s="1"/>
      <c r="M90" s="21">
        <f t="shared" si="0"/>
        <v>0</v>
      </c>
    </row>
    <row r="91" spans="1:13" ht="12.75">
      <c r="A91" s="11">
        <v>90</v>
      </c>
      <c r="B91" s="1" t="s">
        <v>203</v>
      </c>
      <c r="C91" s="11" t="s">
        <v>192</v>
      </c>
      <c r="E91" s="11"/>
      <c r="F91" s="144">
        <v>0</v>
      </c>
      <c r="G91" s="11" t="s">
        <v>142</v>
      </c>
      <c r="H91" s="1"/>
      <c r="I91" s="1"/>
      <c r="J91" s="1"/>
      <c r="K91" s="1"/>
      <c r="L91" s="1"/>
      <c r="M91" s="21">
        <f t="shared" si="0"/>
        <v>0</v>
      </c>
    </row>
    <row r="92" spans="1:13" ht="12.75">
      <c r="A92" s="11">
        <v>91</v>
      </c>
      <c r="B92" s="1" t="s">
        <v>204</v>
      </c>
      <c r="C92" s="11" t="s">
        <v>192</v>
      </c>
      <c r="E92" s="11"/>
      <c r="F92" s="144">
        <v>0</v>
      </c>
      <c r="G92" s="11" t="s">
        <v>142</v>
      </c>
      <c r="H92" s="1"/>
      <c r="I92" s="1"/>
      <c r="J92" s="1"/>
      <c r="K92" s="1"/>
      <c r="L92" s="1"/>
      <c r="M92" s="21">
        <f t="shared" si="0"/>
        <v>0</v>
      </c>
    </row>
    <row r="93" spans="1:13" ht="12.75">
      <c r="A93" s="11">
        <v>92</v>
      </c>
      <c r="B93" s="1" t="s">
        <v>205</v>
      </c>
      <c r="C93" s="11" t="s">
        <v>192</v>
      </c>
      <c r="E93" s="11"/>
      <c r="F93" s="144">
        <v>0</v>
      </c>
      <c r="G93" s="11" t="s">
        <v>142</v>
      </c>
      <c r="H93" s="1"/>
      <c r="I93" s="1"/>
      <c r="J93" s="1"/>
      <c r="K93" s="1"/>
      <c r="L93" s="1"/>
      <c r="M93" s="21">
        <f t="shared" si="0"/>
        <v>0</v>
      </c>
    </row>
    <row r="94" spans="1:13" ht="12.75">
      <c r="A94" s="11">
        <v>93</v>
      </c>
      <c r="B94" s="1" t="s">
        <v>54</v>
      </c>
      <c r="C94" s="11" t="s">
        <v>192</v>
      </c>
      <c r="D94">
        <v>680</v>
      </c>
      <c r="E94" s="11"/>
      <c r="F94" s="144">
        <v>140</v>
      </c>
      <c r="G94" s="11" t="s">
        <v>142</v>
      </c>
      <c r="H94" s="1"/>
      <c r="I94" s="1"/>
      <c r="J94" s="1"/>
      <c r="K94" s="1"/>
      <c r="L94" s="1"/>
      <c r="M94" s="21">
        <f t="shared" si="0"/>
        <v>0.14000000000000001</v>
      </c>
    </row>
    <row r="95" spans="1:13" ht="12.75">
      <c r="A95" s="11">
        <v>94</v>
      </c>
      <c r="B95" s="1" t="s">
        <v>206</v>
      </c>
      <c r="C95" s="11" t="s">
        <v>192</v>
      </c>
      <c r="E95" s="11"/>
      <c r="F95" s="144">
        <v>0</v>
      </c>
      <c r="G95" s="11" t="s">
        <v>142</v>
      </c>
      <c r="H95" s="1"/>
      <c r="I95" s="1"/>
      <c r="J95" s="1"/>
      <c r="K95" s="1"/>
      <c r="L95" s="1"/>
      <c r="M95" s="21">
        <f t="shared" si="0"/>
        <v>0</v>
      </c>
    </row>
    <row r="96" spans="1:13" ht="12.75">
      <c r="A96" s="11">
        <v>95</v>
      </c>
      <c r="B96" s="13" t="s">
        <v>207</v>
      </c>
      <c r="C96" s="11" t="s">
        <v>208</v>
      </c>
      <c r="E96" s="11"/>
      <c r="F96" s="144">
        <v>0</v>
      </c>
      <c r="G96" s="11" t="s">
        <v>142</v>
      </c>
      <c r="H96" s="1"/>
      <c r="I96" s="1"/>
      <c r="J96" s="1"/>
      <c r="K96" s="1"/>
      <c r="L96" s="1"/>
      <c r="M96" s="21">
        <f t="shared" si="0"/>
        <v>0</v>
      </c>
    </row>
    <row r="97" spans="1:13" ht="12.75">
      <c r="A97" s="11">
        <v>96</v>
      </c>
      <c r="B97" s="13" t="s">
        <v>209</v>
      </c>
      <c r="C97" s="11" t="s">
        <v>208</v>
      </c>
      <c r="E97" s="11"/>
      <c r="F97" s="144">
        <v>0</v>
      </c>
      <c r="G97" s="11" t="s">
        <v>142</v>
      </c>
      <c r="H97" s="1"/>
      <c r="I97" s="1"/>
      <c r="J97" s="1"/>
      <c r="K97" s="1"/>
      <c r="L97" s="1"/>
      <c r="M97" s="21">
        <f t="shared" si="0"/>
        <v>0</v>
      </c>
    </row>
    <row r="98" spans="1:13" ht="12.75">
      <c r="A98" s="11">
        <v>97</v>
      </c>
      <c r="B98" s="13" t="s">
        <v>331</v>
      </c>
      <c r="C98" s="11" t="s">
        <v>210</v>
      </c>
      <c r="E98" s="11"/>
      <c r="F98" s="144">
        <v>0</v>
      </c>
      <c r="G98" s="11" t="s">
        <v>142</v>
      </c>
      <c r="H98" s="1"/>
      <c r="I98" s="1"/>
      <c r="J98" s="1"/>
      <c r="K98" s="1"/>
      <c r="L98" s="1"/>
      <c r="M98" s="21">
        <f t="shared" si="0"/>
        <v>0</v>
      </c>
    </row>
    <row r="99" spans="1:13" ht="12.75">
      <c r="A99" s="11">
        <v>98</v>
      </c>
      <c r="B99" s="14" t="s">
        <v>12</v>
      </c>
      <c r="C99" s="11" t="s">
        <v>210</v>
      </c>
      <c r="D99">
        <v>2400</v>
      </c>
      <c r="E99" s="1"/>
      <c r="F99" s="144">
        <v>97</v>
      </c>
      <c r="G99" s="11" t="s">
        <v>142</v>
      </c>
      <c r="H99" s="1"/>
      <c r="I99" s="1"/>
      <c r="J99" s="1"/>
      <c r="K99" s="1"/>
      <c r="L99" s="1"/>
      <c r="M99" s="21">
        <f t="shared" si="0"/>
        <v>9.7000000000000003E-2</v>
      </c>
    </row>
    <row r="100" spans="1:13" ht="12.75">
      <c r="A100" s="11">
        <v>99</v>
      </c>
      <c r="B100" s="13" t="s">
        <v>332</v>
      </c>
      <c r="C100" s="11" t="s">
        <v>210</v>
      </c>
      <c r="D100">
        <v>3100</v>
      </c>
      <c r="E100" s="11"/>
      <c r="F100" s="144">
        <v>350</v>
      </c>
      <c r="G100" s="11" t="s">
        <v>142</v>
      </c>
      <c r="H100" s="1"/>
      <c r="I100" s="1"/>
      <c r="J100" s="1"/>
      <c r="K100" s="1"/>
      <c r="L100" s="1"/>
      <c r="M100" s="21">
        <f t="shared" si="0"/>
        <v>0.35</v>
      </c>
    </row>
    <row r="101" spans="1:13" ht="12.75">
      <c r="A101" s="11">
        <v>100</v>
      </c>
      <c r="B101" s="13" t="s">
        <v>333</v>
      </c>
      <c r="C101" s="11" t="s">
        <v>210</v>
      </c>
      <c r="D101">
        <v>3100</v>
      </c>
      <c r="E101" s="11"/>
      <c r="F101" s="144">
        <v>350</v>
      </c>
      <c r="G101" s="11" t="s">
        <v>142</v>
      </c>
      <c r="H101" s="1"/>
      <c r="I101" s="1"/>
      <c r="J101" s="1"/>
      <c r="K101" s="1"/>
      <c r="L101" s="1"/>
      <c r="M101" s="21">
        <f t="shared" si="0"/>
        <v>0.35</v>
      </c>
    </row>
    <row r="102" spans="1:13" ht="12.75">
      <c r="A102" s="11">
        <v>101</v>
      </c>
      <c r="B102" s="13"/>
      <c r="C102" s="11"/>
      <c r="E102" s="11"/>
      <c r="F102" s="162"/>
      <c r="G102" s="11"/>
      <c r="H102" s="1"/>
      <c r="I102" s="1"/>
      <c r="J102" s="1"/>
      <c r="K102" s="1"/>
      <c r="L102" s="1"/>
      <c r="M102" s="21"/>
    </row>
    <row r="103" spans="1:13" ht="12.75">
      <c r="A103" s="11">
        <v>102</v>
      </c>
      <c r="B103" s="13" t="s">
        <v>334</v>
      </c>
      <c r="C103" s="11" t="s">
        <v>210</v>
      </c>
      <c r="D103">
        <v>4000</v>
      </c>
      <c r="E103" s="11"/>
      <c r="F103" s="144">
        <v>920</v>
      </c>
      <c r="G103" s="11" t="s">
        <v>142</v>
      </c>
      <c r="H103" s="1"/>
      <c r="I103" s="1"/>
      <c r="J103" s="1"/>
      <c r="K103" s="1"/>
      <c r="L103" s="1"/>
      <c r="M103" s="21">
        <f t="shared" si="0"/>
        <v>0.92</v>
      </c>
    </row>
    <row r="104" spans="1:13" ht="12.75">
      <c r="A104" s="11">
        <v>103</v>
      </c>
      <c r="B104" s="13" t="s">
        <v>23</v>
      </c>
      <c r="C104" s="11" t="s">
        <v>210</v>
      </c>
      <c r="D104">
        <v>2980</v>
      </c>
      <c r="E104" s="11"/>
      <c r="F104" s="144">
        <v>146</v>
      </c>
      <c r="G104" s="11" t="s">
        <v>142</v>
      </c>
      <c r="H104" s="1"/>
      <c r="I104" s="1"/>
      <c r="J104" s="1"/>
      <c r="K104" s="1"/>
      <c r="L104" s="1"/>
      <c r="M104" s="21">
        <f t="shared" si="0"/>
        <v>0.14599999999999999</v>
      </c>
    </row>
    <row r="105" spans="1:13" ht="12.75">
      <c r="A105" s="11">
        <v>104</v>
      </c>
      <c r="B105" s="13" t="s">
        <v>335</v>
      </c>
      <c r="C105" s="11" t="s">
        <v>210</v>
      </c>
      <c r="D105">
        <v>2980</v>
      </c>
      <c r="E105" s="11"/>
      <c r="F105" s="144">
        <v>300</v>
      </c>
      <c r="G105" s="11" t="s">
        <v>142</v>
      </c>
      <c r="H105" s="1"/>
      <c r="I105" s="1"/>
      <c r="J105" s="1"/>
      <c r="K105" s="1"/>
      <c r="L105" s="1"/>
      <c r="M105" s="21">
        <f t="shared" si="0"/>
        <v>0.3</v>
      </c>
    </row>
    <row r="106" spans="1:13" ht="12.75">
      <c r="A106" s="11">
        <v>105</v>
      </c>
      <c r="B106" s="13" t="s">
        <v>336</v>
      </c>
      <c r="C106" s="11" t="s">
        <v>210</v>
      </c>
      <c r="D106">
        <v>3579</v>
      </c>
      <c r="E106" s="11"/>
      <c r="F106" s="144">
        <v>266</v>
      </c>
      <c r="G106" s="11" t="s">
        <v>142</v>
      </c>
      <c r="H106" s="1"/>
      <c r="I106" s="1"/>
      <c r="J106" s="1"/>
      <c r="K106" s="1"/>
      <c r="L106" s="1"/>
      <c r="M106" s="21">
        <f t="shared" si="0"/>
        <v>0.26600000000000001</v>
      </c>
    </row>
    <row r="107" spans="1:13" ht="12.75">
      <c r="A107" s="11">
        <v>106</v>
      </c>
      <c r="B107" s="13" t="s">
        <v>33</v>
      </c>
      <c r="C107" s="11" t="s">
        <v>210</v>
      </c>
      <c r="D107">
        <v>2820</v>
      </c>
      <c r="E107" s="11"/>
      <c r="F107" s="144">
        <v>240</v>
      </c>
      <c r="G107" s="11" t="s">
        <v>142</v>
      </c>
      <c r="H107" s="1"/>
      <c r="I107" s="1"/>
      <c r="J107" s="1"/>
      <c r="K107" s="1"/>
      <c r="L107" s="1"/>
      <c r="M107" s="21">
        <f t="shared" si="0"/>
        <v>0.24</v>
      </c>
    </row>
    <row r="108" spans="1:13" ht="12.75">
      <c r="A108" s="11">
        <v>107</v>
      </c>
      <c r="B108" s="13" t="s">
        <v>337</v>
      </c>
      <c r="C108" s="11" t="s">
        <v>210</v>
      </c>
      <c r="E108" s="1"/>
      <c r="F108" s="162"/>
      <c r="G108" s="11" t="s">
        <v>142</v>
      </c>
      <c r="H108" s="1"/>
      <c r="I108" s="1"/>
      <c r="J108" s="1"/>
      <c r="K108" s="1"/>
      <c r="L108" s="1"/>
      <c r="M108" s="21">
        <f t="shared" si="0"/>
        <v>0</v>
      </c>
    </row>
    <row r="109" spans="1:13" ht="12.75">
      <c r="A109" s="11">
        <v>108</v>
      </c>
      <c r="B109" s="13" t="s">
        <v>114</v>
      </c>
      <c r="C109" s="11" t="s">
        <v>210</v>
      </c>
      <c r="D109">
        <v>0</v>
      </c>
      <c r="E109" s="11"/>
      <c r="F109" s="144">
        <v>28</v>
      </c>
      <c r="G109" s="11" t="s">
        <v>142</v>
      </c>
      <c r="H109" s="1"/>
      <c r="I109" s="1"/>
      <c r="J109" s="1"/>
      <c r="K109" s="1"/>
      <c r="L109" s="1"/>
      <c r="M109" s="21">
        <f t="shared" si="0"/>
        <v>2.8000000000000001E-2</v>
      </c>
    </row>
    <row r="110" spans="1:13" ht="12.75">
      <c r="A110" s="11">
        <v>109</v>
      </c>
      <c r="B110" s="13" t="s">
        <v>338</v>
      </c>
      <c r="C110" s="11" t="s">
        <v>210</v>
      </c>
      <c r="D110">
        <v>0</v>
      </c>
      <c r="E110" s="11"/>
      <c r="F110" s="144">
        <v>79</v>
      </c>
      <c r="G110" s="11" t="s">
        <v>142</v>
      </c>
      <c r="H110" s="1"/>
      <c r="I110" s="1"/>
      <c r="J110" s="1"/>
      <c r="K110" s="1"/>
      <c r="L110" s="1"/>
      <c r="M110" s="21">
        <f t="shared" si="0"/>
        <v>7.9000000000000001E-2</v>
      </c>
    </row>
    <row r="111" spans="1:13" ht="12.75">
      <c r="A111" s="11">
        <v>110</v>
      </c>
      <c r="B111" s="13" t="s">
        <v>339</v>
      </c>
      <c r="C111" s="11" t="s">
        <v>210</v>
      </c>
      <c r="D111">
        <v>3000</v>
      </c>
      <c r="E111" s="11"/>
      <c r="F111" s="144">
        <v>670</v>
      </c>
      <c r="G111" s="11" t="s">
        <v>142</v>
      </c>
      <c r="H111" s="1"/>
      <c r="I111" s="1"/>
      <c r="J111" s="1"/>
      <c r="K111" s="1"/>
      <c r="L111" s="1"/>
      <c r="M111" s="21">
        <f t="shared" si="0"/>
        <v>0.67</v>
      </c>
    </row>
    <row r="112" spans="1:13" ht="12.75">
      <c r="A112" s="11">
        <v>111</v>
      </c>
      <c r="B112" s="13" t="s">
        <v>211</v>
      </c>
      <c r="C112" s="11" t="s">
        <v>210</v>
      </c>
      <c r="D112" t="s">
        <v>683</v>
      </c>
      <c r="E112" s="11"/>
      <c r="F112" s="144">
        <v>79</v>
      </c>
      <c r="G112" s="11" t="s">
        <v>142</v>
      </c>
      <c r="H112" s="1"/>
      <c r="I112" s="1"/>
      <c r="J112" s="1"/>
      <c r="K112" s="1"/>
      <c r="L112" s="1"/>
      <c r="M112" s="21">
        <f t="shared" si="0"/>
        <v>7.9000000000000001E-2</v>
      </c>
    </row>
    <row r="113" spans="1:13" ht="12.75">
      <c r="A113" s="11">
        <v>112</v>
      </c>
      <c r="B113" s="13" t="s">
        <v>2</v>
      </c>
      <c r="C113" s="11" t="s">
        <v>210</v>
      </c>
      <c r="D113">
        <v>3230</v>
      </c>
      <c r="E113" s="11"/>
      <c r="F113" s="144">
        <v>480</v>
      </c>
      <c r="G113" s="11" t="s">
        <v>142</v>
      </c>
      <c r="H113" s="1"/>
      <c r="I113" s="1"/>
      <c r="J113" s="1"/>
      <c r="K113" s="1"/>
      <c r="L113" s="1"/>
      <c r="M113" s="21">
        <f t="shared" si="0"/>
        <v>0.48</v>
      </c>
    </row>
    <row r="114" spans="1:13" ht="12.75">
      <c r="A114" s="11">
        <v>113</v>
      </c>
      <c r="B114" s="13" t="s">
        <v>340</v>
      </c>
      <c r="C114" s="11" t="s">
        <v>210</v>
      </c>
      <c r="D114">
        <v>2950</v>
      </c>
      <c r="E114" s="11"/>
      <c r="F114" s="162">
        <v>5000</v>
      </c>
      <c r="G114" s="11" t="s">
        <v>142</v>
      </c>
      <c r="H114" s="1"/>
      <c r="I114" s="1"/>
      <c r="J114" s="1"/>
      <c r="K114" s="1"/>
      <c r="L114" s="1"/>
      <c r="M114" s="21">
        <f t="shared" si="0"/>
        <v>5</v>
      </c>
    </row>
    <row r="115" spans="1:13" ht="12.75">
      <c r="A115" s="11">
        <v>114</v>
      </c>
      <c r="B115" s="13" t="s">
        <v>341</v>
      </c>
      <c r="C115" s="11" t="s">
        <v>210</v>
      </c>
      <c r="D115">
        <v>150</v>
      </c>
      <c r="E115" s="11"/>
      <c r="F115" s="162">
        <v>380</v>
      </c>
      <c r="G115" s="11" t="s">
        <v>142</v>
      </c>
      <c r="H115" s="1"/>
      <c r="I115" s="1"/>
      <c r="J115" s="1"/>
      <c r="K115" s="1"/>
      <c r="L115" s="1"/>
      <c r="M115" s="21">
        <f t="shared" si="0"/>
        <v>0.38</v>
      </c>
    </row>
    <row r="116" spans="1:13" ht="12.75">
      <c r="A116" s="11">
        <v>115</v>
      </c>
      <c r="B116" s="13" t="s">
        <v>342</v>
      </c>
      <c r="C116" s="11" t="s">
        <v>210</v>
      </c>
      <c r="E116" s="11"/>
      <c r="F116" s="162"/>
      <c r="G116" s="11" t="s">
        <v>142</v>
      </c>
      <c r="H116" s="1"/>
      <c r="I116" s="1"/>
      <c r="J116" s="1"/>
      <c r="K116" s="1"/>
      <c r="L116" s="1"/>
      <c r="M116" s="21">
        <f t="shared" si="0"/>
        <v>0</v>
      </c>
    </row>
    <row r="117" spans="1:13" ht="12.75">
      <c r="A117" s="11">
        <v>116</v>
      </c>
      <c r="B117" s="13" t="s">
        <v>212</v>
      </c>
      <c r="C117" s="11" t="s">
        <v>210</v>
      </c>
      <c r="E117" s="1"/>
      <c r="F117" s="162"/>
      <c r="G117" s="11" t="s">
        <v>142</v>
      </c>
      <c r="H117" s="1"/>
      <c r="I117" s="1"/>
      <c r="J117" s="1"/>
      <c r="K117" s="1"/>
      <c r="L117" s="1"/>
      <c r="M117" s="21">
        <f t="shared" si="0"/>
        <v>0</v>
      </c>
    </row>
    <row r="118" spans="1:13" ht="12.75">
      <c r="A118" s="11">
        <v>117</v>
      </c>
      <c r="B118" s="13" t="s">
        <v>343</v>
      </c>
      <c r="C118" s="11" t="s">
        <v>213</v>
      </c>
      <c r="D118">
        <v>3470</v>
      </c>
      <c r="E118" s="11"/>
      <c r="F118" s="162">
        <v>110</v>
      </c>
      <c r="G118" s="11" t="s">
        <v>142</v>
      </c>
      <c r="H118" s="1"/>
      <c r="I118" s="1"/>
      <c r="J118" s="1"/>
      <c r="K118" s="1"/>
      <c r="L118" s="1"/>
      <c r="M118" s="21">
        <f t="shared" si="0"/>
        <v>0.11</v>
      </c>
    </row>
    <row r="119" spans="1:13" ht="12.75">
      <c r="A119" s="11">
        <v>118</v>
      </c>
      <c r="B119" s="13" t="s">
        <v>214</v>
      </c>
      <c r="C119" s="11" t="s">
        <v>210</v>
      </c>
      <c r="D119">
        <v>4500</v>
      </c>
      <c r="E119" s="11"/>
      <c r="F119" s="162">
        <v>200</v>
      </c>
      <c r="G119" s="11" t="s">
        <v>142</v>
      </c>
      <c r="H119" s="1"/>
      <c r="I119" s="1"/>
      <c r="J119" s="1"/>
      <c r="K119" s="1"/>
      <c r="L119" s="1"/>
      <c r="M119" s="21">
        <f t="shared" si="0"/>
        <v>0.2</v>
      </c>
    </row>
    <row r="120" spans="1:13" ht="12.75">
      <c r="A120" s="11">
        <v>119</v>
      </c>
      <c r="B120" s="13" t="s">
        <v>662</v>
      </c>
      <c r="C120" s="11" t="s">
        <v>210</v>
      </c>
      <c r="D120">
        <v>3750</v>
      </c>
      <c r="E120" s="11"/>
      <c r="F120" s="162">
        <v>300</v>
      </c>
      <c r="G120" s="11" t="s">
        <v>142</v>
      </c>
      <c r="H120" s="1"/>
      <c r="I120" s="1"/>
      <c r="J120" s="1"/>
      <c r="K120" s="1"/>
      <c r="L120" s="1"/>
      <c r="M120" s="21">
        <f t="shared" si="0"/>
        <v>0.3</v>
      </c>
    </row>
    <row r="121" spans="1:13" ht="12.75">
      <c r="A121" s="11">
        <v>120</v>
      </c>
      <c r="B121" s="13" t="s">
        <v>344</v>
      </c>
      <c r="C121" s="11" t="s">
        <v>210</v>
      </c>
      <c r="E121" s="1"/>
      <c r="F121" s="162"/>
      <c r="G121" s="11" t="s">
        <v>142</v>
      </c>
      <c r="H121" s="1"/>
      <c r="I121" s="1"/>
      <c r="J121" s="1"/>
      <c r="K121" s="1"/>
      <c r="L121" s="1"/>
      <c r="M121" s="21">
        <f t="shared" si="0"/>
        <v>0</v>
      </c>
    </row>
    <row r="122" spans="1:13" ht="12.75">
      <c r="A122" s="11">
        <v>121</v>
      </c>
      <c r="B122" s="13" t="s">
        <v>345</v>
      </c>
      <c r="C122" s="11" t="s">
        <v>210</v>
      </c>
      <c r="D122">
        <v>3840</v>
      </c>
      <c r="E122" s="1"/>
      <c r="F122" s="144">
        <v>600</v>
      </c>
      <c r="G122" s="11" t="s">
        <v>142</v>
      </c>
      <c r="H122" s="1"/>
      <c r="I122" s="1"/>
      <c r="J122" s="1"/>
      <c r="K122" s="1"/>
      <c r="L122" s="1"/>
      <c r="M122" s="21">
        <f t="shared" si="0"/>
        <v>0.6</v>
      </c>
    </row>
    <row r="123" spans="1:13" ht="12.75">
      <c r="A123" s="11">
        <v>122</v>
      </c>
      <c r="B123" s="13" t="s">
        <v>346</v>
      </c>
      <c r="C123" s="11" t="s">
        <v>210</v>
      </c>
      <c r="D123">
        <v>3750</v>
      </c>
      <c r="E123" s="1"/>
      <c r="F123" s="144">
        <v>680</v>
      </c>
      <c r="G123" s="11" t="s">
        <v>142</v>
      </c>
      <c r="H123" s="1"/>
      <c r="I123" s="1"/>
      <c r="J123" s="1"/>
      <c r="K123" s="1"/>
      <c r="L123" s="1"/>
      <c r="M123" s="21">
        <f t="shared" si="0"/>
        <v>0.68</v>
      </c>
    </row>
    <row r="124" spans="1:13" ht="12.75">
      <c r="A124" s="11">
        <v>123</v>
      </c>
      <c r="B124" s="13" t="s">
        <v>347</v>
      </c>
      <c r="C124" s="11" t="s">
        <v>210</v>
      </c>
      <c r="D124">
        <v>3720</v>
      </c>
      <c r="E124" s="1"/>
      <c r="F124" s="144">
        <v>680</v>
      </c>
      <c r="G124" s="11" t="s">
        <v>142</v>
      </c>
      <c r="H124" s="1"/>
      <c r="I124" s="1"/>
      <c r="J124" s="1"/>
      <c r="K124" s="1"/>
      <c r="L124" s="1"/>
      <c r="M124" s="21">
        <f t="shared" si="0"/>
        <v>0.68</v>
      </c>
    </row>
    <row r="125" spans="1:13" ht="12.75">
      <c r="A125" s="11">
        <v>124</v>
      </c>
      <c r="B125" s="13" t="s">
        <v>3</v>
      </c>
      <c r="C125" s="11" t="s">
        <v>210</v>
      </c>
      <c r="D125" t="s">
        <v>683</v>
      </c>
      <c r="E125" s="1"/>
      <c r="F125" s="162">
        <v>420</v>
      </c>
      <c r="G125" s="11" t="s">
        <v>142</v>
      </c>
      <c r="H125" s="1"/>
      <c r="I125" s="1"/>
      <c r="J125" s="1"/>
      <c r="K125" s="1"/>
      <c r="L125" s="1"/>
      <c r="M125" s="21">
        <f t="shared" si="0"/>
        <v>0.42</v>
      </c>
    </row>
    <row r="126" spans="1:13" ht="12.75">
      <c r="A126" s="11">
        <v>125</v>
      </c>
      <c r="B126" s="13" t="s">
        <v>216</v>
      </c>
      <c r="C126" s="11" t="s">
        <v>210</v>
      </c>
      <c r="D126">
        <v>1097</v>
      </c>
      <c r="E126" s="1"/>
      <c r="F126" s="144">
        <v>800</v>
      </c>
      <c r="G126" s="11" t="s">
        <v>142</v>
      </c>
      <c r="H126" s="1"/>
      <c r="I126" s="1"/>
      <c r="J126" s="1"/>
      <c r="K126" s="1"/>
      <c r="L126" s="1"/>
      <c r="M126" s="21">
        <f t="shared" si="0"/>
        <v>0.8</v>
      </c>
    </row>
    <row r="127" spans="1:13" ht="12.75">
      <c r="A127" s="11">
        <v>126</v>
      </c>
      <c r="B127" s="13" t="s">
        <v>348</v>
      </c>
      <c r="C127" s="11" t="s">
        <v>210</v>
      </c>
      <c r="D127">
        <v>4250</v>
      </c>
      <c r="E127" s="1"/>
      <c r="F127" s="144">
        <v>710</v>
      </c>
      <c r="G127" s="11" t="s">
        <v>142</v>
      </c>
      <c r="H127" s="1"/>
      <c r="I127" s="1"/>
      <c r="J127" s="1"/>
      <c r="K127" s="1"/>
      <c r="L127" s="1"/>
      <c r="M127" s="21">
        <f t="shared" si="0"/>
        <v>0.71</v>
      </c>
    </row>
    <row r="128" spans="1:13" ht="12.75">
      <c r="A128" s="11">
        <v>127</v>
      </c>
      <c r="B128" s="13" t="s">
        <v>217</v>
      </c>
      <c r="C128" s="11" t="s">
        <v>210</v>
      </c>
      <c r="D128">
        <v>3230</v>
      </c>
      <c r="E128" s="1"/>
      <c r="F128" s="144">
        <v>140</v>
      </c>
      <c r="G128" s="11" t="s">
        <v>142</v>
      </c>
      <c r="H128" s="1"/>
      <c r="I128" s="1"/>
      <c r="J128" s="1"/>
      <c r="K128" s="1"/>
      <c r="L128" s="1"/>
      <c r="M128" s="21">
        <f t="shared" si="0"/>
        <v>0.14000000000000001</v>
      </c>
    </row>
    <row r="129" spans="1:13" ht="12.75">
      <c r="A129" s="11">
        <v>128</v>
      </c>
      <c r="B129" s="13" t="s">
        <v>349</v>
      </c>
      <c r="C129" s="11" t="s">
        <v>208</v>
      </c>
      <c r="E129" s="1"/>
      <c r="F129" s="144">
        <v>0</v>
      </c>
      <c r="G129" s="11" t="s">
        <v>142</v>
      </c>
      <c r="H129" s="1"/>
      <c r="I129" s="1"/>
      <c r="J129" s="1"/>
      <c r="K129" s="1"/>
      <c r="L129" s="1"/>
      <c r="M129" s="21">
        <f t="shared" si="0"/>
        <v>0</v>
      </c>
    </row>
    <row r="130" spans="1:13" ht="12.75">
      <c r="A130" s="11">
        <v>129</v>
      </c>
      <c r="B130" s="13" t="s">
        <v>350</v>
      </c>
      <c r="C130" s="11" t="s">
        <v>210</v>
      </c>
      <c r="D130">
        <v>2550</v>
      </c>
      <c r="E130" s="1"/>
      <c r="F130" s="162">
        <v>700</v>
      </c>
      <c r="G130" s="11" t="s">
        <v>142</v>
      </c>
      <c r="H130" s="1"/>
      <c r="I130" s="1"/>
      <c r="J130" s="1"/>
      <c r="K130" s="1"/>
      <c r="L130" s="1"/>
      <c r="M130" s="21">
        <f t="shared" si="0"/>
        <v>0.7</v>
      </c>
    </row>
    <row r="131" spans="1:13" ht="12.75">
      <c r="A131" s="11">
        <v>130</v>
      </c>
      <c r="B131" s="13" t="s">
        <v>52</v>
      </c>
      <c r="C131" s="11" t="s">
        <v>210</v>
      </c>
      <c r="D131">
        <v>3750</v>
      </c>
      <c r="E131" s="1"/>
      <c r="F131" s="162">
        <v>650</v>
      </c>
      <c r="G131" s="11" t="s">
        <v>142</v>
      </c>
      <c r="H131" s="1"/>
      <c r="I131" s="1"/>
      <c r="J131" s="1"/>
      <c r="K131" s="1"/>
      <c r="L131" s="1"/>
      <c r="M131" s="21">
        <f t="shared" si="0"/>
        <v>0.65</v>
      </c>
    </row>
    <row r="132" spans="1:13" ht="12.75">
      <c r="A132" s="11">
        <v>131</v>
      </c>
      <c r="B132" s="13" t="s">
        <v>218</v>
      </c>
      <c r="C132" s="11" t="s">
        <v>210</v>
      </c>
      <c r="D132">
        <v>2470</v>
      </c>
      <c r="E132" s="1"/>
      <c r="F132" s="162">
        <v>300</v>
      </c>
      <c r="G132" s="11" t="s">
        <v>142</v>
      </c>
      <c r="H132" s="1"/>
      <c r="I132" s="1"/>
      <c r="J132" s="1"/>
      <c r="K132" s="1"/>
      <c r="L132" s="1"/>
      <c r="M132" s="21">
        <f t="shared" si="0"/>
        <v>0.3</v>
      </c>
    </row>
    <row r="133" spans="1:13" ht="12.75">
      <c r="A133" s="11">
        <v>132</v>
      </c>
      <c r="B133" s="13" t="s">
        <v>351</v>
      </c>
      <c r="C133" s="11" t="s">
        <v>210</v>
      </c>
      <c r="D133">
        <v>3110</v>
      </c>
      <c r="E133" s="1"/>
      <c r="F133" s="162">
        <v>870</v>
      </c>
      <c r="G133" s="11" t="s">
        <v>142</v>
      </c>
      <c r="H133" s="1"/>
      <c r="I133" s="1"/>
      <c r="J133" s="1"/>
      <c r="K133" s="1"/>
      <c r="L133" s="1"/>
      <c r="M133" s="21">
        <f t="shared" si="0"/>
        <v>0.87</v>
      </c>
    </row>
    <row r="134" spans="1:13" ht="12.75">
      <c r="A134" s="11">
        <v>133</v>
      </c>
      <c r="B134" s="13" t="s">
        <v>352</v>
      </c>
      <c r="C134" s="11" t="s">
        <v>210</v>
      </c>
      <c r="D134">
        <v>3110</v>
      </c>
      <c r="E134" s="1"/>
      <c r="F134" s="162">
        <v>1600</v>
      </c>
      <c r="G134" s="11" t="s">
        <v>142</v>
      </c>
      <c r="H134" s="1"/>
      <c r="I134" s="1"/>
      <c r="J134" s="1"/>
      <c r="K134" s="1"/>
      <c r="L134" s="1"/>
      <c r="M134" s="21">
        <f t="shared" si="0"/>
        <v>1.6</v>
      </c>
    </row>
    <row r="135" spans="1:13" ht="12.75">
      <c r="A135" s="11">
        <v>135</v>
      </c>
      <c r="B135" s="13" t="s">
        <v>354</v>
      </c>
      <c r="C135" s="11" t="s">
        <v>210</v>
      </c>
      <c r="E135" s="1"/>
      <c r="F135" s="162"/>
      <c r="G135" s="11" t="s">
        <v>142</v>
      </c>
      <c r="H135" s="1"/>
      <c r="I135" s="1"/>
      <c r="J135" s="1"/>
      <c r="K135" s="1"/>
      <c r="L135" s="1"/>
      <c r="M135" s="21">
        <f t="shared" si="0"/>
        <v>0</v>
      </c>
    </row>
    <row r="136" spans="1:13" ht="12.75">
      <c r="A136" s="11">
        <v>136</v>
      </c>
      <c r="B136" s="13" t="s">
        <v>355</v>
      </c>
      <c r="C136" s="11" t="s">
        <v>208</v>
      </c>
      <c r="D136">
        <v>530</v>
      </c>
      <c r="E136" s="1"/>
      <c r="F136" s="144">
        <v>160</v>
      </c>
      <c r="G136" s="11" t="s">
        <v>142</v>
      </c>
      <c r="H136" s="1"/>
      <c r="I136" s="1"/>
      <c r="J136" s="1"/>
      <c r="K136" s="1"/>
      <c r="L136" s="1"/>
      <c r="M136" s="21">
        <f t="shared" si="0"/>
        <v>0.16</v>
      </c>
    </row>
    <row r="137" spans="1:13" ht="12.75">
      <c r="A137" s="11">
        <v>137</v>
      </c>
      <c r="B137" s="13" t="s">
        <v>356</v>
      </c>
      <c r="C137" s="11" t="s">
        <v>208</v>
      </c>
      <c r="D137">
        <v>0</v>
      </c>
      <c r="E137" s="1"/>
      <c r="F137" s="162">
        <v>130</v>
      </c>
      <c r="G137" s="11" t="s">
        <v>142</v>
      </c>
      <c r="H137" s="1"/>
      <c r="I137" s="1"/>
      <c r="J137" s="1"/>
      <c r="K137" s="1"/>
      <c r="L137" s="1"/>
      <c r="M137" s="21">
        <f t="shared" si="0"/>
        <v>0.13</v>
      </c>
    </row>
    <row r="138" spans="1:13" ht="12.75">
      <c r="A138" s="11">
        <v>138</v>
      </c>
      <c r="B138" s="13" t="s">
        <v>357</v>
      </c>
      <c r="C138" s="11" t="s">
        <v>213</v>
      </c>
      <c r="E138" s="1"/>
      <c r="F138" s="162"/>
      <c r="G138" s="11" t="s">
        <v>142</v>
      </c>
      <c r="H138" s="1"/>
      <c r="I138" s="1"/>
      <c r="J138" s="1"/>
      <c r="K138" s="1"/>
      <c r="L138" s="1"/>
      <c r="M138" s="21">
        <f t="shared" si="0"/>
        <v>0</v>
      </c>
    </row>
    <row r="139" spans="1:13" ht="12.75">
      <c r="A139" s="11">
        <v>139</v>
      </c>
      <c r="B139" s="13" t="s">
        <v>358</v>
      </c>
      <c r="C139" s="11" t="s">
        <v>219</v>
      </c>
      <c r="E139" s="1"/>
      <c r="F139" s="162"/>
      <c r="G139" s="168" t="s">
        <v>220</v>
      </c>
      <c r="H139" s="1"/>
      <c r="I139" s="1"/>
      <c r="J139" s="1"/>
      <c r="K139" s="1"/>
      <c r="L139" s="1"/>
      <c r="M139" s="21">
        <f t="shared" si="0"/>
        <v>0</v>
      </c>
    </row>
    <row r="140" spans="1:13" ht="12.75">
      <c r="A140" s="11">
        <v>140</v>
      </c>
      <c r="B140" s="13" t="s">
        <v>359</v>
      </c>
      <c r="C140" s="11" t="s">
        <v>219</v>
      </c>
      <c r="D140">
        <v>370</v>
      </c>
      <c r="E140" s="1"/>
      <c r="F140" s="144">
        <v>62</v>
      </c>
      <c r="G140" s="168" t="s">
        <v>220</v>
      </c>
      <c r="H140" s="1"/>
      <c r="I140" s="1"/>
      <c r="J140" s="1"/>
      <c r="K140" s="1"/>
      <c r="L140" s="1"/>
      <c r="M140" s="21">
        <f t="shared" si="0"/>
        <v>6.2E-2</v>
      </c>
    </row>
    <row r="141" spans="1:13" ht="12.75">
      <c r="A141" s="11">
        <v>141</v>
      </c>
      <c r="B141" s="13" t="s">
        <v>360</v>
      </c>
      <c r="C141" s="11" t="s">
        <v>219</v>
      </c>
      <c r="D141">
        <v>400</v>
      </c>
      <c r="E141" s="1"/>
      <c r="F141" s="144">
        <v>72</v>
      </c>
      <c r="G141" s="168" t="s">
        <v>220</v>
      </c>
      <c r="H141" s="1"/>
      <c r="I141" s="1"/>
      <c r="J141" s="1"/>
      <c r="K141" s="1"/>
      <c r="L141" s="1"/>
      <c r="M141" s="21">
        <f t="shared" si="0"/>
        <v>7.1999999999999995E-2</v>
      </c>
    </row>
    <row r="142" spans="1:13" ht="12.75">
      <c r="A142" s="11">
        <v>142</v>
      </c>
      <c r="B142" s="13" t="s">
        <v>361</v>
      </c>
      <c r="C142" s="11" t="s">
        <v>219</v>
      </c>
      <c r="D142">
        <v>2600</v>
      </c>
      <c r="E142" s="1"/>
      <c r="F142" s="144">
        <v>72</v>
      </c>
      <c r="G142" s="168" t="s">
        <v>220</v>
      </c>
      <c r="H142" s="1"/>
      <c r="I142" s="1"/>
      <c r="J142" s="1"/>
      <c r="K142" s="1"/>
      <c r="L142" s="1"/>
      <c r="M142" s="21">
        <f t="shared" si="0"/>
        <v>7.1999999999999995E-2</v>
      </c>
    </row>
    <row r="143" spans="1:13" ht="12.75">
      <c r="A143" s="11">
        <v>143</v>
      </c>
      <c r="B143" s="13" t="s">
        <v>362</v>
      </c>
      <c r="C143" s="11" t="s">
        <v>219</v>
      </c>
      <c r="D143">
        <v>180</v>
      </c>
      <c r="E143" s="1"/>
      <c r="F143" s="144">
        <v>46</v>
      </c>
      <c r="G143" s="168" t="s">
        <v>220</v>
      </c>
      <c r="H143" s="1"/>
      <c r="I143" s="1"/>
      <c r="J143" s="1"/>
      <c r="K143" s="1"/>
      <c r="L143" s="1"/>
      <c r="M143" s="21">
        <f t="shared" si="0"/>
        <v>4.5999999999999999E-2</v>
      </c>
    </row>
    <row r="144" spans="1:13" ht="12.75">
      <c r="A144" s="11">
        <v>144</v>
      </c>
      <c r="B144" s="13" t="s">
        <v>221</v>
      </c>
      <c r="C144" s="11" t="s">
        <v>208</v>
      </c>
      <c r="E144" s="1"/>
      <c r="F144" s="144">
        <v>1</v>
      </c>
      <c r="G144" s="168" t="s">
        <v>161</v>
      </c>
      <c r="H144" s="1"/>
      <c r="I144" s="1"/>
      <c r="J144" s="1"/>
      <c r="K144" s="1"/>
      <c r="L144" s="1"/>
      <c r="M144" s="21">
        <f t="shared" si="0"/>
        <v>1</v>
      </c>
    </row>
    <row r="145" spans="1:13" ht="12.75">
      <c r="A145" s="11">
        <v>145</v>
      </c>
      <c r="B145" s="13" t="s">
        <v>222</v>
      </c>
      <c r="C145" s="15" t="s">
        <v>208</v>
      </c>
      <c r="E145" s="1"/>
      <c r="F145" s="162"/>
      <c r="G145" s="168" t="s">
        <v>142</v>
      </c>
      <c r="H145" s="1"/>
      <c r="I145" s="1"/>
      <c r="J145" s="1"/>
      <c r="K145" s="1"/>
      <c r="L145" s="1"/>
      <c r="M145" s="21">
        <f t="shared" si="0"/>
        <v>0</v>
      </c>
    </row>
    <row r="146" spans="1:13" ht="12.75">
      <c r="A146" s="11">
        <v>146</v>
      </c>
      <c r="B146" s="13" t="s">
        <v>363</v>
      </c>
      <c r="C146" s="15" t="s">
        <v>208</v>
      </c>
      <c r="E146" s="1"/>
      <c r="F146" s="162"/>
      <c r="G146" s="168" t="s">
        <v>220</v>
      </c>
      <c r="H146" s="1"/>
      <c r="I146" s="1"/>
      <c r="J146" s="1"/>
      <c r="K146" s="1"/>
      <c r="L146" s="1"/>
      <c r="M146" s="21">
        <f t="shared" si="0"/>
        <v>0</v>
      </c>
    </row>
    <row r="147" spans="1:13" ht="12.75">
      <c r="A147" s="11">
        <v>147</v>
      </c>
      <c r="B147" s="13" t="s">
        <v>364</v>
      </c>
      <c r="C147" s="11" t="s">
        <v>208</v>
      </c>
      <c r="E147" s="1"/>
      <c r="F147" s="162"/>
      <c r="G147" s="168" t="s">
        <v>220</v>
      </c>
      <c r="H147" s="1"/>
      <c r="I147" s="1"/>
      <c r="J147" s="1"/>
      <c r="K147" s="1"/>
      <c r="L147" s="1"/>
      <c r="M147" s="21">
        <f t="shared" si="0"/>
        <v>0</v>
      </c>
    </row>
    <row r="148" spans="1:13" ht="12.75">
      <c r="A148" s="11">
        <v>148</v>
      </c>
      <c r="B148" s="13" t="s">
        <v>365</v>
      </c>
      <c r="C148" s="11" t="s">
        <v>208</v>
      </c>
      <c r="E148" s="1"/>
      <c r="F148" s="162"/>
      <c r="G148" s="168" t="s">
        <v>220</v>
      </c>
      <c r="H148" s="1"/>
      <c r="I148" s="1"/>
      <c r="J148" s="1"/>
      <c r="K148" s="1"/>
      <c r="L148" s="1"/>
      <c r="M148" s="21">
        <f t="shared" si="0"/>
        <v>0</v>
      </c>
    </row>
    <row r="149" spans="1:13" ht="12.75">
      <c r="A149" s="11">
        <v>149</v>
      </c>
      <c r="B149" s="13" t="s">
        <v>366</v>
      </c>
      <c r="C149" s="11" t="s">
        <v>208</v>
      </c>
      <c r="E149" s="1"/>
      <c r="F149" s="162"/>
      <c r="G149" s="168" t="s">
        <v>220</v>
      </c>
      <c r="H149" s="1"/>
      <c r="I149" s="1"/>
      <c r="J149" s="1"/>
      <c r="K149" s="1"/>
      <c r="L149" s="1"/>
      <c r="M149" s="21">
        <f t="shared" si="0"/>
        <v>0</v>
      </c>
    </row>
    <row r="150" spans="1:13" ht="12.75">
      <c r="A150" s="11">
        <v>150</v>
      </c>
      <c r="B150" s="13" t="s">
        <v>223</v>
      </c>
      <c r="C150" s="11" t="s">
        <v>208</v>
      </c>
      <c r="E150" s="1"/>
      <c r="F150" s="144">
        <v>0</v>
      </c>
      <c r="G150" s="168" t="s">
        <v>161</v>
      </c>
      <c r="H150" s="1"/>
      <c r="I150" s="1"/>
      <c r="J150" s="1"/>
      <c r="K150" s="1"/>
      <c r="L150" s="1"/>
      <c r="M150" s="21">
        <f t="shared" si="0"/>
        <v>0</v>
      </c>
    </row>
    <row r="151" spans="1:13" ht="12.75">
      <c r="A151" s="11">
        <v>151</v>
      </c>
      <c r="B151" s="13" t="s">
        <v>224</v>
      </c>
      <c r="C151" s="11" t="s">
        <v>208</v>
      </c>
      <c r="E151" s="1"/>
      <c r="F151" s="144">
        <v>0</v>
      </c>
      <c r="G151" s="168" t="s">
        <v>161</v>
      </c>
      <c r="H151" s="1"/>
      <c r="I151" s="1"/>
      <c r="J151" s="1"/>
      <c r="K151" s="1"/>
      <c r="L151" s="1"/>
      <c r="M151" s="21">
        <f t="shared" si="0"/>
        <v>0</v>
      </c>
    </row>
    <row r="152" spans="1:13" ht="12.75">
      <c r="A152" s="11">
        <v>152</v>
      </c>
      <c r="B152" s="13" t="s">
        <v>225</v>
      </c>
      <c r="C152" s="11" t="s">
        <v>219</v>
      </c>
      <c r="D152">
        <v>380</v>
      </c>
      <c r="E152" s="1"/>
      <c r="F152" s="144">
        <v>80</v>
      </c>
      <c r="G152" s="168" t="s">
        <v>142</v>
      </c>
      <c r="H152" s="1"/>
      <c r="I152" s="1"/>
      <c r="J152" s="1"/>
      <c r="K152" s="1"/>
      <c r="L152" s="1"/>
      <c r="M152" s="21">
        <f t="shared" si="0"/>
        <v>0.08</v>
      </c>
    </row>
    <row r="153" spans="1:13" ht="12.75">
      <c r="A153" s="11">
        <v>153</v>
      </c>
      <c r="B153" s="13" t="s">
        <v>0</v>
      </c>
      <c r="C153" s="11" t="s">
        <v>210</v>
      </c>
      <c r="D153">
        <v>6070</v>
      </c>
      <c r="E153" s="1"/>
      <c r="F153" s="162">
        <v>870</v>
      </c>
      <c r="G153" s="168" t="s">
        <v>142</v>
      </c>
      <c r="H153" s="1"/>
      <c r="I153" s="1"/>
      <c r="J153" s="1"/>
      <c r="K153" s="1"/>
      <c r="L153" s="1"/>
      <c r="M153" s="20">
        <f t="shared" si="0"/>
        <v>0.87</v>
      </c>
    </row>
    <row r="154" spans="1:13" ht="12.75">
      <c r="A154" s="11">
        <v>154</v>
      </c>
      <c r="B154" s="13" t="s">
        <v>367</v>
      </c>
      <c r="C154" s="11" t="s">
        <v>210</v>
      </c>
      <c r="E154" s="1"/>
      <c r="F154" s="162"/>
      <c r="G154" s="168" t="s">
        <v>161</v>
      </c>
      <c r="H154" s="1"/>
      <c r="I154" s="1"/>
      <c r="J154" s="1"/>
      <c r="K154" s="1"/>
      <c r="L154" s="1"/>
      <c r="M154" s="20">
        <f t="shared" si="0"/>
        <v>0</v>
      </c>
    </row>
    <row r="155" spans="1:13" ht="12.75">
      <c r="A155" s="11">
        <v>155</v>
      </c>
      <c r="B155" s="13" t="s">
        <v>368</v>
      </c>
      <c r="C155" s="11" t="s">
        <v>210</v>
      </c>
      <c r="E155" s="1"/>
      <c r="F155" s="162"/>
      <c r="G155" s="168" t="s">
        <v>161</v>
      </c>
      <c r="H155" s="1"/>
      <c r="I155" s="1"/>
      <c r="J155" s="1"/>
      <c r="K155" s="1"/>
      <c r="L155" s="1"/>
      <c r="M155" s="20">
        <f t="shared" si="0"/>
        <v>0</v>
      </c>
    </row>
    <row r="156" spans="1:13" ht="12.75">
      <c r="A156" s="11">
        <v>156</v>
      </c>
      <c r="B156" s="13" t="s">
        <v>369</v>
      </c>
      <c r="C156" s="11" t="s">
        <v>208</v>
      </c>
      <c r="D156" t="s">
        <v>683</v>
      </c>
      <c r="E156" s="1"/>
      <c r="F156" s="144">
        <v>660</v>
      </c>
      <c r="G156" s="168" t="s">
        <v>142</v>
      </c>
      <c r="H156" s="1"/>
      <c r="I156" s="1"/>
      <c r="J156" s="1"/>
      <c r="K156" s="1"/>
      <c r="L156" s="1"/>
      <c r="M156" s="21">
        <f t="shared" si="0"/>
        <v>0.66</v>
      </c>
    </row>
    <row r="157" spans="1:13" ht="12.75">
      <c r="A157" s="11">
        <v>157</v>
      </c>
      <c r="B157" s="13" t="s">
        <v>370</v>
      </c>
      <c r="C157" s="11" t="s">
        <v>208</v>
      </c>
      <c r="D157" t="s">
        <v>683</v>
      </c>
      <c r="E157" s="1"/>
      <c r="F157" s="144">
        <v>660</v>
      </c>
      <c r="G157" s="168" t="s">
        <v>142</v>
      </c>
      <c r="H157" s="1"/>
      <c r="I157" s="1"/>
      <c r="J157" s="1"/>
      <c r="K157" s="1"/>
      <c r="L157" s="1"/>
      <c r="M157" s="21">
        <f t="shared" si="0"/>
        <v>0.66</v>
      </c>
    </row>
    <row r="158" spans="1:13" ht="12.75">
      <c r="A158" s="11">
        <v>158</v>
      </c>
      <c r="B158" s="13" t="s">
        <v>226</v>
      </c>
      <c r="C158" s="11" t="s">
        <v>208</v>
      </c>
      <c r="E158" s="1"/>
      <c r="F158" s="162"/>
      <c r="G158" s="168" t="s">
        <v>161</v>
      </c>
      <c r="H158" s="1"/>
      <c r="I158" s="1"/>
      <c r="J158" s="1"/>
      <c r="K158" s="1"/>
      <c r="L158" s="1"/>
      <c r="M158" s="20">
        <f>IF(OR(G158="Kg",G158="Litre"),F158/1000,F158)</f>
        <v>0</v>
      </c>
    </row>
    <row r="159" spans="1:13" ht="12.75">
      <c r="A159" s="11">
        <v>159</v>
      </c>
      <c r="B159" s="14" t="s">
        <v>227</v>
      </c>
      <c r="C159" s="11" t="s">
        <v>208</v>
      </c>
      <c r="E159" s="1"/>
      <c r="F159" s="162"/>
      <c r="G159" s="168" t="s">
        <v>161</v>
      </c>
      <c r="H159" s="1"/>
      <c r="I159" s="1"/>
      <c r="J159" s="1"/>
      <c r="K159" s="1"/>
      <c r="L159" s="1"/>
      <c r="M159" s="20">
        <f>IF(OR(G159="Kg",G159="Litre"),F159/1000,F159)</f>
        <v>0</v>
      </c>
    </row>
    <row r="160" spans="1:13" ht="12.75">
      <c r="A160" s="11">
        <v>160</v>
      </c>
      <c r="B160" s="13" t="s">
        <v>7</v>
      </c>
      <c r="C160" s="11" t="s">
        <v>208</v>
      </c>
      <c r="E160" s="1"/>
      <c r="F160" s="162"/>
      <c r="G160" s="168" t="s">
        <v>161</v>
      </c>
      <c r="H160" s="1"/>
      <c r="I160" s="1"/>
      <c r="J160" s="1"/>
      <c r="K160" s="1"/>
      <c r="L160" s="1"/>
      <c r="M160" s="20">
        <f>IF(OR(G160="Kg",G160="Litre"),F160/1000,F160)</f>
        <v>0</v>
      </c>
    </row>
    <row r="161" spans="1:13" ht="12.75">
      <c r="A161" s="11">
        <v>161</v>
      </c>
      <c r="B161" s="13" t="s">
        <v>228</v>
      </c>
      <c r="C161" s="11" t="s">
        <v>208</v>
      </c>
      <c r="E161" s="1"/>
      <c r="F161" s="162"/>
      <c r="G161" s="168" t="s">
        <v>161</v>
      </c>
      <c r="H161" s="1"/>
      <c r="I161" s="1"/>
      <c r="J161" s="1"/>
      <c r="K161" s="1"/>
      <c r="L161" s="1"/>
      <c r="M161" s="20">
        <f>IF(OR(G161="Kg",G161="Litre"),F161/1000,F161)</f>
        <v>0</v>
      </c>
    </row>
    <row r="162" spans="1:13" ht="12.75">
      <c r="A162" s="11">
        <v>162</v>
      </c>
      <c r="B162" s="13" t="s">
        <v>372</v>
      </c>
      <c r="C162" s="11" t="s">
        <v>208</v>
      </c>
      <c r="E162" s="1"/>
      <c r="F162" s="162"/>
      <c r="G162" s="168" t="s">
        <v>161</v>
      </c>
      <c r="H162" s="1"/>
      <c r="I162" s="1"/>
      <c r="J162" s="1"/>
      <c r="K162" s="1"/>
      <c r="L162" s="1"/>
      <c r="M162" s="20">
        <f>IF(OR(G162="Kg",G162="Litre"),F162/1000,F162)</f>
        <v>0</v>
      </c>
    </row>
    <row r="163" spans="1:13" ht="12.75">
      <c r="A163" s="11">
        <v>163</v>
      </c>
      <c r="B163" s="13" t="s">
        <v>681</v>
      </c>
      <c r="C163" s="11" t="s">
        <v>141</v>
      </c>
      <c r="D163">
        <v>239</v>
      </c>
      <c r="E163" s="1"/>
      <c r="F163" s="162">
        <v>130</v>
      </c>
      <c r="G163" s="168" t="s">
        <v>142</v>
      </c>
      <c r="H163" s="1"/>
      <c r="I163" s="1"/>
      <c r="J163" s="1"/>
      <c r="K163" s="1"/>
      <c r="L163" s="1"/>
      <c r="M163" s="20">
        <f t="shared" ref="M163:M164" si="1">IF(OR(G163="Kg",G163="Litre"),F163/1000,F163)</f>
        <v>0.13</v>
      </c>
    </row>
    <row r="164" spans="1:13" ht="12.75">
      <c r="A164" s="11">
        <v>164</v>
      </c>
      <c r="B164" s="13" t="s">
        <v>535</v>
      </c>
      <c r="C164" s="11"/>
      <c r="E164" s="1"/>
      <c r="F164" s="162"/>
      <c r="G164" s="168"/>
      <c r="H164" s="1"/>
      <c r="I164" s="1"/>
      <c r="J164" s="1"/>
      <c r="K164" s="1"/>
      <c r="L164" s="1"/>
      <c r="M164" s="20">
        <f t="shared" si="1"/>
        <v>0</v>
      </c>
    </row>
    <row r="165" spans="1:13" ht="12.75">
      <c r="A165" s="11">
        <v>165</v>
      </c>
      <c r="B165" s="13" t="s">
        <v>373</v>
      </c>
      <c r="C165" s="11" t="s">
        <v>210</v>
      </c>
      <c r="E165" s="1"/>
      <c r="F165" s="162"/>
      <c r="G165" s="168" t="s">
        <v>142</v>
      </c>
      <c r="H165" s="1"/>
      <c r="I165" s="1"/>
      <c r="J165" s="1"/>
      <c r="K165" s="1"/>
      <c r="L165" s="1"/>
      <c r="M165" s="21">
        <f t="shared" ref="M165:M228" si="2">IF(OR(G165="Kg",G165="Litre"),F165/1000,F165)</f>
        <v>0</v>
      </c>
    </row>
    <row r="166" spans="1:13" ht="12.75">
      <c r="A166" s="11">
        <v>166</v>
      </c>
      <c r="B166" s="13" t="s">
        <v>374</v>
      </c>
      <c r="C166" s="11" t="s">
        <v>213</v>
      </c>
      <c r="D166">
        <v>3710</v>
      </c>
      <c r="E166" s="1"/>
      <c r="F166" s="144">
        <v>700</v>
      </c>
      <c r="G166" s="168" t="s">
        <v>142</v>
      </c>
      <c r="H166" s="1"/>
      <c r="I166" s="1"/>
      <c r="J166" s="1"/>
      <c r="K166" s="1"/>
      <c r="L166" s="1"/>
      <c r="M166" s="21">
        <f t="shared" si="2"/>
        <v>0.7</v>
      </c>
    </row>
    <row r="167" spans="1:13" ht="12.75">
      <c r="A167" s="11">
        <v>167</v>
      </c>
      <c r="B167" s="13" t="s">
        <v>229</v>
      </c>
      <c r="C167" s="11" t="s">
        <v>208</v>
      </c>
      <c r="D167">
        <v>3800</v>
      </c>
      <c r="E167" s="1"/>
      <c r="F167" s="144">
        <v>80</v>
      </c>
      <c r="G167" s="168" t="s">
        <v>142</v>
      </c>
      <c r="H167" s="1"/>
      <c r="I167" s="1"/>
      <c r="J167" s="1"/>
      <c r="K167" s="1"/>
      <c r="L167" s="1"/>
      <c r="M167" s="21">
        <f t="shared" si="2"/>
        <v>0.08</v>
      </c>
    </row>
    <row r="168" spans="1:13" ht="12.75">
      <c r="A168" s="11">
        <v>168</v>
      </c>
      <c r="B168" s="13" t="s">
        <v>230</v>
      </c>
      <c r="C168" s="11" t="s">
        <v>208</v>
      </c>
      <c r="D168" t="s">
        <v>683</v>
      </c>
      <c r="E168" s="1"/>
      <c r="F168" s="144">
        <v>300</v>
      </c>
      <c r="G168" s="168" t="s">
        <v>142</v>
      </c>
      <c r="H168" s="1"/>
      <c r="I168" s="1"/>
      <c r="J168" s="1"/>
      <c r="K168" s="1"/>
      <c r="L168" s="1"/>
      <c r="M168" s="21">
        <f t="shared" si="2"/>
        <v>0.3</v>
      </c>
    </row>
    <row r="169" spans="1:13" ht="12.75">
      <c r="A169" s="11">
        <v>169</v>
      </c>
      <c r="B169" s="13" t="s">
        <v>231</v>
      </c>
      <c r="C169" s="11" t="s">
        <v>208</v>
      </c>
      <c r="D169">
        <v>6090</v>
      </c>
      <c r="E169" s="1"/>
      <c r="F169" s="144">
        <v>250</v>
      </c>
      <c r="G169" s="168" t="s">
        <v>142</v>
      </c>
      <c r="H169" s="1"/>
      <c r="I169" s="1"/>
      <c r="J169" s="1"/>
      <c r="K169" s="1"/>
      <c r="L169" s="1"/>
      <c r="M169" s="21">
        <f t="shared" si="2"/>
        <v>0.25</v>
      </c>
    </row>
    <row r="170" spans="1:13" ht="12.75">
      <c r="A170" s="11">
        <v>170</v>
      </c>
      <c r="B170" s="13" t="s">
        <v>375</v>
      </c>
      <c r="C170" s="11" t="s">
        <v>208</v>
      </c>
      <c r="D170">
        <v>4020</v>
      </c>
      <c r="E170" s="1"/>
      <c r="F170" s="144">
        <v>100</v>
      </c>
      <c r="G170" s="168" t="s">
        <v>142</v>
      </c>
      <c r="H170" s="1"/>
      <c r="I170" s="1"/>
      <c r="J170" s="1"/>
      <c r="K170" s="1"/>
      <c r="L170" s="1"/>
      <c r="M170" s="21">
        <f t="shared" si="2"/>
        <v>0.1</v>
      </c>
    </row>
    <row r="171" spans="1:13" ht="12.75">
      <c r="A171" s="11">
        <v>171</v>
      </c>
      <c r="B171" s="13" t="s">
        <v>376</v>
      </c>
      <c r="C171" s="11" t="s">
        <v>208</v>
      </c>
      <c r="D171" t="s">
        <v>683</v>
      </c>
      <c r="E171" s="1"/>
      <c r="F171" s="144">
        <v>160</v>
      </c>
      <c r="G171" s="168" t="s">
        <v>142</v>
      </c>
      <c r="H171" s="1"/>
      <c r="I171" s="1"/>
      <c r="J171" s="1"/>
      <c r="K171" s="1"/>
      <c r="L171" s="1"/>
      <c r="M171" s="21">
        <f t="shared" si="2"/>
        <v>0.16</v>
      </c>
    </row>
    <row r="172" spans="1:13" ht="12.75">
      <c r="A172" s="11">
        <v>172</v>
      </c>
      <c r="B172" s="13" t="s">
        <v>377</v>
      </c>
      <c r="C172" s="11" t="s">
        <v>213</v>
      </c>
      <c r="E172" s="1"/>
      <c r="F172" s="162"/>
      <c r="G172" s="168" t="s">
        <v>142</v>
      </c>
      <c r="H172" s="1"/>
      <c r="I172" s="1"/>
      <c r="J172" s="1"/>
      <c r="K172" s="1"/>
      <c r="L172" s="1"/>
      <c r="M172" s="21">
        <f t="shared" si="2"/>
        <v>0</v>
      </c>
    </row>
    <row r="173" spans="1:13" ht="12.75">
      <c r="A173" s="11">
        <v>173</v>
      </c>
      <c r="B173" s="13" t="s">
        <v>378</v>
      </c>
      <c r="C173" s="11" t="s">
        <v>213</v>
      </c>
      <c r="E173" s="1"/>
      <c r="F173" s="162"/>
      <c r="G173" s="168" t="s">
        <v>142</v>
      </c>
      <c r="H173" s="1"/>
      <c r="I173" s="1"/>
      <c r="J173" s="1"/>
      <c r="K173" s="1"/>
      <c r="L173" s="1"/>
      <c r="M173" s="21">
        <f t="shared" si="2"/>
        <v>0</v>
      </c>
    </row>
    <row r="174" spans="1:13" ht="12.75">
      <c r="A174" s="11">
        <v>174</v>
      </c>
      <c r="B174" s="13" t="s">
        <v>379</v>
      </c>
      <c r="C174" s="11" t="s">
        <v>213</v>
      </c>
      <c r="D174">
        <v>700</v>
      </c>
      <c r="E174" s="1"/>
      <c r="F174" s="144">
        <v>80</v>
      </c>
      <c r="G174" s="168" t="s">
        <v>142</v>
      </c>
      <c r="H174" s="1"/>
      <c r="I174" s="1"/>
      <c r="J174" s="1"/>
      <c r="K174" s="1"/>
      <c r="L174" s="1"/>
      <c r="M174" s="21">
        <f t="shared" si="2"/>
        <v>0.08</v>
      </c>
    </row>
    <row r="175" spans="1:13" ht="12.75">
      <c r="A175" s="11">
        <v>175</v>
      </c>
      <c r="B175" s="13" t="s">
        <v>380</v>
      </c>
      <c r="C175" s="11" t="s">
        <v>232</v>
      </c>
      <c r="D175">
        <v>9000</v>
      </c>
      <c r="E175" s="1"/>
      <c r="F175" s="144">
        <v>533.33000000000004</v>
      </c>
      <c r="G175" s="168" t="s">
        <v>220</v>
      </c>
      <c r="H175" s="1"/>
      <c r="I175" s="1"/>
      <c r="J175" s="1"/>
      <c r="K175" s="1"/>
      <c r="L175" s="1"/>
      <c r="M175" s="21">
        <f t="shared" si="2"/>
        <v>0.53333000000000008</v>
      </c>
    </row>
    <row r="176" spans="1:13" ht="12.75">
      <c r="A176" s="11">
        <v>176</v>
      </c>
      <c r="B176" s="13" t="s">
        <v>233</v>
      </c>
      <c r="C176" s="11" t="s">
        <v>232</v>
      </c>
      <c r="D176" t="s">
        <v>683</v>
      </c>
      <c r="E176" s="1"/>
      <c r="F176" s="144">
        <v>115</v>
      </c>
      <c r="G176" s="168" t="s">
        <v>220</v>
      </c>
      <c r="H176" s="1"/>
      <c r="I176" s="1"/>
      <c r="J176" s="1"/>
      <c r="K176" s="1"/>
      <c r="L176" s="1"/>
      <c r="M176" s="21">
        <f t="shared" si="2"/>
        <v>0.115</v>
      </c>
    </row>
    <row r="177" spans="1:13" ht="12.75">
      <c r="A177" s="11">
        <v>177</v>
      </c>
      <c r="B177" s="13" t="s">
        <v>381</v>
      </c>
      <c r="C177" s="11" t="s">
        <v>232</v>
      </c>
      <c r="D177">
        <v>8840</v>
      </c>
      <c r="E177" s="1"/>
      <c r="F177" s="144">
        <v>190</v>
      </c>
      <c r="G177" s="168" t="s">
        <v>220</v>
      </c>
      <c r="H177" s="1"/>
      <c r="I177" s="1"/>
      <c r="J177" s="1"/>
      <c r="K177" s="1"/>
      <c r="L177" s="1"/>
      <c r="M177" s="21">
        <f t="shared" si="2"/>
        <v>0.19</v>
      </c>
    </row>
    <row r="178" spans="1:13" ht="12.75">
      <c r="A178" s="11">
        <v>178</v>
      </c>
      <c r="B178" s="13" t="s">
        <v>26</v>
      </c>
      <c r="C178" s="11" t="s">
        <v>232</v>
      </c>
      <c r="D178">
        <v>8840</v>
      </c>
      <c r="E178" s="1"/>
      <c r="F178" s="144">
        <v>117</v>
      </c>
      <c r="G178" s="168" t="s">
        <v>220</v>
      </c>
      <c r="H178" s="1"/>
      <c r="I178" s="1"/>
      <c r="J178" s="1"/>
      <c r="K178" s="1"/>
      <c r="L178" s="1"/>
      <c r="M178" s="21">
        <f t="shared" si="2"/>
        <v>0.11700000000000001</v>
      </c>
    </row>
    <row r="179" spans="1:13" ht="12.75">
      <c r="A179" s="11">
        <v>179</v>
      </c>
      <c r="B179" s="13" t="s">
        <v>382</v>
      </c>
      <c r="C179" s="11" t="s">
        <v>208</v>
      </c>
      <c r="D179">
        <v>7700</v>
      </c>
      <c r="E179" s="1"/>
      <c r="F179" s="144">
        <v>40</v>
      </c>
      <c r="G179" s="168" t="s">
        <v>142</v>
      </c>
      <c r="H179" s="1"/>
      <c r="I179" s="1"/>
      <c r="J179" s="1"/>
      <c r="K179" s="1"/>
      <c r="L179" s="1"/>
      <c r="M179" s="21">
        <f t="shared" si="2"/>
        <v>0.04</v>
      </c>
    </row>
    <row r="180" spans="1:13" ht="12.75">
      <c r="A180" s="11">
        <v>180</v>
      </c>
      <c r="B180" s="13" t="s">
        <v>234</v>
      </c>
      <c r="C180" s="11" t="s">
        <v>208</v>
      </c>
      <c r="D180">
        <v>4500</v>
      </c>
      <c r="E180" s="1"/>
      <c r="F180" s="144">
        <v>50</v>
      </c>
      <c r="G180" s="168" t="s">
        <v>142</v>
      </c>
      <c r="H180" s="1"/>
      <c r="I180" s="1"/>
      <c r="J180" s="1"/>
      <c r="K180" s="1"/>
      <c r="L180" s="1"/>
      <c r="M180" s="21">
        <f t="shared" si="2"/>
        <v>0.05</v>
      </c>
    </row>
    <row r="181" spans="1:13" ht="12.75">
      <c r="A181" s="11">
        <v>181</v>
      </c>
      <c r="B181" s="13" t="s">
        <v>59</v>
      </c>
      <c r="C181" s="11" t="s">
        <v>208</v>
      </c>
      <c r="D181">
        <v>3830</v>
      </c>
      <c r="E181" s="1"/>
      <c r="F181" s="144">
        <v>70</v>
      </c>
      <c r="G181" s="168" t="s">
        <v>142</v>
      </c>
      <c r="H181" s="1"/>
      <c r="I181" s="1"/>
      <c r="J181" s="1"/>
      <c r="K181" s="1"/>
      <c r="L181" s="1"/>
      <c r="M181" s="21">
        <f t="shared" si="2"/>
        <v>7.0000000000000007E-2</v>
      </c>
    </row>
    <row r="182" spans="1:13" ht="12.75">
      <c r="A182" s="11">
        <v>182</v>
      </c>
      <c r="B182" s="13" t="s">
        <v>383</v>
      </c>
      <c r="C182" s="11" t="s">
        <v>213</v>
      </c>
      <c r="D182">
        <v>3870</v>
      </c>
      <c r="E182" s="1"/>
      <c r="F182" s="144">
        <v>70</v>
      </c>
      <c r="G182" s="168" t="s">
        <v>142</v>
      </c>
      <c r="H182" s="1"/>
      <c r="I182" s="1"/>
      <c r="J182" s="1"/>
      <c r="K182" s="1"/>
      <c r="L182" s="1"/>
      <c r="M182" s="21">
        <f t="shared" si="2"/>
        <v>7.0000000000000007E-2</v>
      </c>
    </row>
    <row r="183" spans="1:13" ht="12.75">
      <c r="A183" s="11">
        <v>183</v>
      </c>
      <c r="B183" s="13" t="s">
        <v>40</v>
      </c>
      <c r="C183" s="11" t="s">
        <v>213</v>
      </c>
      <c r="D183">
        <v>3570</v>
      </c>
      <c r="E183" s="1"/>
      <c r="F183" s="144">
        <v>32</v>
      </c>
      <c r="G183" s="168" t="s">
        <v>142</v>
      </c>
      <c r="H183" s="1"/>
      <c r="I183" s="1"/>
      <c r="J183" s="1"/>
      <c r="K183" s="1"/>
      <c r="L183" s="1"/>
      <c r="M183" s="21">
        <f t="shared" si="2"/>
        <v>3.2000000000000001E-2</v>
      </c>
    </row>
    <row r="184" spans="1:13" ht="12.75">
      <c r="A184" s="11">
        <v>184</v>
      </c>
      <c r="B184" s="13" t="s">
        <v>39</v>
      </c>
      <c r="C184" s="11" t="s">
        <v>213</v>
      </c>
      <c r="D184">
        <v>3650</v>
      </c>
      <c r="E184" s="1"/>
      <c r="F184" s="144">
        <v>35</v>
      </c>
      <c r="G184" s="168" t="s">
        <v>142</v>
      </c>
      <c r="H184" s="1"/>
      <c r="I184" s="1"/>
      <c r="J184" s="1"/>
      <c r="K184" s="1"/>
      <c r="L184" s="1"/>
      <c r="M184" s="21">
        <f t="shared" si="2"/>
        <v>3.5000000000000003E-2</v>
      </c>
    </row>
    <row r="185" spans="1:13" ht="12.75">
      <c r="A185" s="11">
        <v>185</v>
      </c>
      <c r="B185" s="13" t="s">
        <v>384</v>
      </c>
      <c r="C185" s="11" t="s">
        <v>213</v>
      </c>
      <c r="D185">
        <v>3760</v>
      </c>
      <c r="E185" s="1"/>
      <c r="F185" s="144">
        <v>35</v>
      </c>
      <c r="G185" s="168" t="s">
        <v>142</v>
      </c>
      <c r="H185" s="1"/>
      <c r="I185" s="1"/>
      <c r="J185" s="1"/>
      <c r="K185" s="1"/>
      <c r="L185" s="1"/>
      <c r="M185" s="21">
        <f t="shared" si="2"/>
        <v>3.5000000000000003E-2</v>
      </c>
    </row>
    <row r="186" spans="1:13" ht="12.75">
      <c r="A186" s="11">
        <v>186</v>
      </c>
      <c r="B186" s="13" t="s">
        <v>24</v>
      </c>
      <c r="C186" s="11" t="s">
        <v>213</v>
      </c>
      <c r="D186">
        <v>3870</v>
      </c>
      <c r="E186" s="1"/>
      <c r="F186" s="144">
        <v>70</v>
      </c>
      <c r="G186" s="168" t="s">
        <v>142</v>
      </c>
      <c r="H186" s="1"/>
      <c r="I186" s="1"/>
      <c r="J186" s="1"/>
      <c r="K186" s="1"/>
      <c r="L186" s="1"/>
      <c r="M186" s="21">
        <f t="shared" si="2"/>
        <v>7.0000000000000007E-2</v>
      </c>
    </row>
    <row r="187" spans="1:13" ht="12.75">
      <c r="A187" s="11">
        <v>187</v>
      </c>
      <c r="B187" s="13" t="s">
        <v>385</v>
      </c>
      <c r="C187" s="11" t="s">
        <v>208</v>
      </c>
      <c r="D187">
        <v>650</v>
      </c>
      <c r="E187" s="1"/>
      <c r="F187" s="144">
        <v>60</v>
      </c>
      <c r="G187" s="168" t="s">
        <v>142</v>
      </c>
      <c r="H187" s="1"/>
      <c r="I187" s="1"/>
      <c r="J187" s="1"/>
      <c r="K187" s="1"/>
      <c r="L187" s="1"/>
      <c r="M187" s="21">
        <f t="shared" si="2"/>
        <v>0.06</v>
      </c>
    </row>
    <row r="188" spans="1:13" ht="12.75">
      <c r="A188" s="11">
        <v>188</v>
      </c>
      <c r="B188" s="13" t="s">
        <v>386</v>
      </c>
      <c r="C188" s="11" t="s">
        <v>232</v>
      </c>
      <c r="D188">
        <v>5730</v>
      </c>
      <c r="E188" s="1"/>
      <c r="F188" s="144">
        <v>280</v>
      </c>
      <c r="G188" s="168" t="s">
        <v>142</v>
      </c>
      <c r="H188" s="1"/>
      <c r="I188" s="1"/>
      <c r="J188" s="1"/>
      <c r="K188" s="1"/>
      <c r="L188" s="1"/>
      <c r="M188" s="21">
        <f t="shared" si="2"/>
        <v>0.28000000000000003</v>
      </c>
    </row>
    <row r="189" spans="1:13" ht="12.75">
      <c r="A189" s="11">
        <v>189</v>
      </c>
      <c r="B189" s="13" t="s">
        <v>387</v>
      </c>
      <c r="C189" s="11" t="s">
        <v>213</v>
      </c>
      <c r="E189" s="1"/>
      <c r="F189" s="162"/>
      <c r="G189" s="168" t="s">
        <v>142</v>
      </c>
      <c r="H189" s="1"/>
      <c r="I189" s="1"/>
      <c r="J189" s="1"/>
      <c r="K189" s="1"/>
      <c r="L189" s="1"/>
      <c r="M189" s="21">
        <f t="shared" si="2"/>
        <v>0</v>
      </c>
    </row>
    <row r="190" spans="1:13" ht="12.75">
      <c r="A190" s="11">
        <v>190</v>
      </c>
      <c r="B190" s="13" t="s">
        <v>388</v>
      </c>
      <c r="C190" s="11" t="s">
        <v>213</v>
      </c>
      <c r="D190">
        <v>1390</v>
      </c>
      <c r="E190" s="1"/>
      <c r="F190" s="144">
        <v>100</v>
      </c>
      <c r="G190" s="168" t="s">
        <v>142</v>
      </c>
      <c r="H190" s="1"/>
      <c r="I190" s="1"/>
      <c r="J190" s="1"/>
      <c r="K190" s="1"/>
      <c r="L190" s="1"/>
      <c r="M190" s="21">
        <f t="shared" si="2"/>
        <v>0.1</v>
      </c>
    </row>
    <row r="191" spans="1:13" ht="12.75">
      <c r="A191" s="11">
        <v>191</v>
      </c>
      <c r="B191" s="13" t="s">
        <v>389</v>
      </c>
      <c r="C191" s="11" t="s">
        <v>213</v>
      </c>
      <c r="D191" t="s">
        <v>683</v>
      </c>
      <c r="E191" s="1"/>
      <c r="F191" s="144">
        <v>40</v>
      </c>
      <c r="G191" s="168" t="s">
        <v>142</v>
      </c>
      <c r="H191" s="1"/>
      <c r="I191" s="1"/>
      <c r="J191" s="1"/>
      <c r="K191" s="1"/>
      <c r="L191" s="1"/>
      <c r="M191" s="21">
        <f t="shared" si="2"/>
        <v>0.04</v>
      </c>
    </row>
    <row r="192" spans="1:13" ht="12.75">
      <c r="A192" s="11">
        <v>192</v>
      </c>
      <c r="B192" s="13" t="s">
        <v>235</v>
      </c>
      <c r="C192" s="11" t="s">
        <v>213</v>
      </c>
      <c r="D192">
        <v>1620</v>
      </c>
      <c r="E192" s="1"/>
      <c r="F192" s="144">
        <v>100</v>
      </c>
      <c r="G192" s="168" t="s">
        <v>142</v>
      </c>
      <c r="H192" s="1"/>
      <c r="I192" s="1"/>
      <c r="J192" s="1"/>
      <c r="K192" s="1"/>
      <c r="L192" s="1"/>
      <c r="M192" s="21">
        <f t="shared" si="2"/>
        <v>0.1</v>
      </c>
    </row>
    <row r="193" spans="1:13" ht="12.75">
      <c r="A193" s="11">
        <v>193</v>
      </c>
      <c r="B193" s="13" t="s">
        <v>390</v>
      </c>
      <c r="C193" s="11" t="s">
        <v>213</v>
      </c>
      <c r="D193">
        <v>1824</v>
      </c>
      <c r="E193" s="1"/>
      <c r="F193" s="144">
        <v>35</v>
      </c>
      <c r="G193" s="168" t="s">
        <v>142</v>
      </c>
      <c r="H193" s="1"/>
      <c r="I193" s="1"/>
      <c r="J193" s="1"/>
      <c r="K193" s="1"/>
      <c r="L193" s="1"/>
      <c r="M193" s="21">
        <f t="shared" si="2"/>
        <v>3.5000000000000003E-2</v>
      </c>
    </row>
    <row r="194" spans="1:13" ht="12.75">
      <c r="A194" s="11">
        <v>194</v>
      </c>
      <c r="B194" s="13" t="s">
        <v>391</v>
      </c>
      <c r="C194" s="11" t="s">
        <v>213</v>
      </c>
      <c r="D194">
        <v>1640</v>
      </c>
      <c r="E194" s="1"/>
      <c r="F194" s="144">
        <v>100</v>
      </c>
      <c r="G194" s="168" t="s">
        <v>142</v>
      </c>
      <c r="H194" s="1"/>
      <c r="I194" s="1"/>
      <c r="J194" s="1"/>
      <c r="K194" s="1"/>
      <c r="L194" s="1"/>
      <c r="M194" s="21">
        <f t="shared" si="2"/>
        <v>0.1</v>
      </c>
    </row>
    <row r="195" spans="1:13" ht="12.75">
      <c r="A195" s="11">
        <v>195</v>
      </c>
      <c r="B195" s="13" t="s">
        <v>392</v>
      </c>
      <c r="C195" s="11" t="s">
        <v>213</v>
      </c>
      <c r="D195">
        <v>2520</v>
      </c>
      <c r="E195" s="1"/>
      <c r="F195" s="144">
        <v>65</v>
      </c>
      <c r="G195" s="168" t="s">
        <v>142</v>
      </c>
      <c r="H195" s="1"/>
      <c r="I195" s="1"/>
      <c r="J195" s="1"/>
      <c r="K195" s="1"/>
      <c r="L195" s="1"/>
      <c r="M195" s="21">
        <f t="shared" si="2"/>
        <v>6.5000000000000002E-2</v>
      </c>
    </row>
    <row r="196" spans="1:13" ht="12.75">
      <c r="A196" s="11">
        <v>196</v>
      </c>
      <c r="B196" s="13" t="s">
        <v>393</v>
      </c>
      <c r="C196" s="11" t="s">
        <v>213</v>
      </c>
      <c r="D196" t="s">
        <v>683</v>
      </c>
      <c r="E196" s="1"/>
      <c r="F196" s="144">
        <v>100</v>
      </c>
      <c r="G196" s="168" t="s">
        <v>142</v>
      </c>
      <c r="H196" s="1"/>
      <c r="I196" s="1"/>
      <c r="J196" s="1"/>
      <c r="K196" s="1"/>
      <c r="L196" s="1"/>
      <c r="M196" s="21">
        <f t="shared" si="2"/>
        <v>0.1</v>
      </c>
    </row>
    <row r="197" spans="1:13" ht="12.75">
      <c r="A197" s="11">
        <v>197</v>
      </c>
      <c r="B197" s="13" t="s">
        <v>394</v>
      </c>
      <c r="C197" s="11" t="s">
        <v>213</v>
      </c>
      <c r="D197">
        <v>1270</v>
      </c>
      <c r="E197" s="1"/>
      <c r="F197" s="144">
        <v>140</v>
      </c>
      <c r="G197" s="168" t="s">
        <v>142</v>
      </c>
      <c r="H197" s="1"/>
      <c r="I197" s="1"/>
      <c r="J197" s="1"/>
      <c r="K197" s="1"/>
      <c r="L197" s="1"/>
      <c r="M197" s="21">
        <f t="shared" si="2"/>
        <v>0.14000000000000001</v>
      </c>
    </row>
    <row r="198" spans="1:13" ht="12.75">
      <c r="A198" s="11">
        <v>198</v>
      </c>
      <c r="B198" s="13" t="s">
        <v>236</v>
      </c>
      <c r="C198" s="11" t="s">
        <v>213</v>
      </c>
      <c r="E198" s="1"/>
      <c r="F198" s="162"/>
      <c r="G198" s="168" t="s">
        <v>142</v>
      </c>
      <c r="H198" s="1"/>
      <c r="I198" s="1"/>
      <c r="J198" s="1"/>
      <c r="K198" s="1"/>
      <c r="L198" s="1"/>
      <c r="M198" s="21">
        <f t="shared" si="2"/>
        <v>0</v>
      </c>
    </row>
    <row r="199" spans="1:13" ht="12.75">
      <c r="A199" s="11">
        <v>199</v>
      </c>
      <c r="B199" s="13" t="s">
        <v>395</v>
      </c>
      <c r="C199" s="11" t="s">
        <v>213</v>
      </c>
      <c r="D199">
        <v>3470</v>
      </c>
      <c r="E199" s="1"/>
      <c r="F199" s="144">
        <v>130</v>
      </c>
      <c r="G199" s="168" t="s">
        <v>142</v>
      </c>
      <c r="H199" s="1"/>
      <c r="I199" s="1"/>
      <c r="J199" s="1"/>
      <c r="K199" s="1"/>
      <c r="L199" s="1"/>
      <c r="M199" s="21">
        <f t="shared" si="2"/>
        <v>0.13</v>
      </c>
    </row>
    <row r="200" spans="1:13" ht="12.75">
      <c r="A200" s="11">
        <v>200</v>
      </c>
      <c r="B200" s="13" t="s">
        <v>237</v>
      </c>
      <c r="C200" s="11" t="s">
        <v>213</v>
      </c>
      <c r="D200">
        <v>3400</v>
      </c>
      <c r="E200" s="1"/>
      <c r="F200" s="144">
        <v>100</v>
      </c>
      <c r="G200" s="168" t="s">
        <v>142</v>
      </c>
      <c r="H200" s="1"/>
      <c r="I200" s="1"/>
      <c r="J200" s="1"/>
      <c r="K200" s="1"/>
      <c r="L200" s="1"/>
      <c r="M200" s="21">
        <f t="shared" si="2"/>
        <v>0.1</v>
      </c>
    </row>
    <row r="201" spans="1:13" ht="12.75">
      <c r="A201" s="11">
        <v>201</v>
      </c>
      <c r="B201" s="13" t="s">
        <v>396</v>
      </c>
      <c r="C201" s="11" t="s">
        <v>213</v>
      </c>
      <c r="D201">
        <v>3400</v>
      </c>
      <c r="E201" s="1"/>
      <c r="F201" s="144">
        <v>120</v>
      </c>
      <c r="G201" s="168" t="s">
        <v>142</v>
      </c>
      <c r="H201" s="1"/>
      <c r="I201" s="1"/>
      <c r="J201" s="1"/>
      <c r="K201" s="1"/>
      <c r="L201" s="1"/>
      <c r="M201" s="21">
        <f t="shared" si="2"/>
        <v>0.12</v>
      </c>
    </row>
    <row r="202" spans="1:13" ht="12.75">
      <c r="A202" s="11">
        <v>202</v>
      </c>
      <c r="B202" s="13" t="s">
        <v>238</v>
      </c>
      <c r="C202" s="11" t="s">
        <v>213</v>
      </c>
      <c r="D202">
        <v>2200</v>
      </c>
      <c r="E202" s="1"/>
      <c r="F202" s="144">
        <v>70</v>
      </c>
      <c r="G202" s="168" t="s">
        <v>142</v>
      </c>
      <c r="H202" s="1"/>
      <c r="I202" s="1"/>
      <c r="J202" s="1"/>
      <c r="K202" s="1"/>
      <c r="L202" s="1"/>
      <c r="M202" s="21">
        <f t="shared" si="2"/>
        <v>7.0000000000000007E-2</v>
      </c>
    </row>
    <row r="203" spans="1:13" ht="12.75">
      <c r="A203" s="11">
        <v>203</v>
      </c>
      <c r="B203" s="13" t="s">
        <v>239</v>
      </c>
      <c r="C203" s="11" t="s">
        <v>213</v>
      </c>
      <c r="D203">
        <v>3430</v>
      </c>
      <c r="E203" s="1"/>
      <c r="F203" s="144">
        <v>110</v>
      </c>
      <c r="G203" s="168" t="s">
        <v>142</v>
      </c>
      <c r="H203" s="1"/>
      <c r="I203" s="1"/>
      <c r="J203" s="1"/>
      <c r="K203" s="1"/>
      <c r="L203" s="1"/>
      <c r="M203" s="21">
        <f t="shared" si="2"/>
        <v>0.11</v>
      </c>
    </row>
    <row r="204" spans="1:13" ht="12.75">
      <c r="A204" s="11">
        <v>204</v>
      </c>
      <c r="B204" s="13" t="s">
        <v>397</v>
      </c>
      <c r="C204" s="11" t="s">
        <v>213</v>
      </c>
      <c r="D204">
        <v>3400</v>
      </c>
      <c r="E204" s="1"/>
      <c r="F204" s="144">
        <v>90</v>
      </c>
      <c r="G204" s="168" t="s">
        <v>142</v>
      </c>
      <c r="H204" s="1"/>
      <c r="I204" s="1"/>
      <c r="J204" s="1"/>
      <c r="K204" s="1"/>
      <c r="L204" s="1"/>
      <c r="M204" s="21">
        <f t="shared" si="2"/>
        <v>0.09</v>
      </c>
    </row>
    <row r="205" spans="1:13" ht="12.75">
      <c r="A205" s="11">
        <v>205</v>
      </c>
      <c r="B205" s="13" t="s">
        <v>398</v>
      </c>
      <c r="C205" s="11" t="s">
        <v>213</v>
      </c>
      <c r="D205">
        <v>2420</v>
      </c>
      <c r="E205" s="1"/>
      <c r="F205" s="144">
        <v>90</v>
      </c>
      <c r="G205" s="168" t="s">
        <v>142</v>
      </c>
      <c r="H205" s="1"/>
      <c r="I205" s="1"/>
      <c r="J205" s="1"/>
      <c r="K205" s="1"/>
      <c r="L205" s="1"/>
      <c r="M205" s="21">
        <f t="shared" si="2"/>
        <v>0.09</v>
      </c>
    </row>
    <row r="206" spans="1:13" ht="12.75">
      <c r="A206" s="11">
        <v>206</v>
      </c>
      <c r="B206" s="13" t="s">
        <v>399</v>
      </c>
      <c r="C206" s="11" t="s">
        <v>210</v>
      </c>
      <c r="E206" s="1"/>
      <c r="F206" s="162"/>
      <c r="G206" s="168" t="s">
        <v>142</v>
      </c>
      <c r="H206" s="1"/>
      <c r="I206" s="1"/>
      <c r="J206" s="1"/>
      <c r="K206" s="1"/>
      <c r="L206" s="1"/>
      <c r="M206" s="21">
        <f t="shared" si="2"/>
        <v>0</v>
      </c>
    </row>
    <row r="207" spans="1:13" ht="12.75">
      <c r="A207" s="11">
        <v>207</v>
      </c>
      <c r="B207" s="13" t="s">
        <v>400</v>
      </c>
      <c r="C207" s="11" t="s">
        <v>213</v>
      </c>
      <c r="E207" s="1"/>
      <c r="F207" s="162"/>
      <c r="G207" s="168" t="s">
        <v>142</v>
      </c>
      <c r="H207" s="1"/>
      <c r="I207" s="1"/>
      <c r="J207" s="1"/>
      <c r="K207" s="1"/>
      <c r="L207" s="1"/>
      <c r="M207" s="21">
        <f t="shared" si="2"/>
        <v>0</v>
      </c>
    </row>
    <row r="208" spans="1:13" ht="12.75">
      <c r="A208" s="11">
        <v>208</v>
      </c>
      <c r="B208" s="13" t="s">
        <v>401</v>
      </c>
      <c r="C208" s="11" t="s">
        <v>210</v>
      </c>
      <c r="D208">
        <v>3680</v>
      </c>
      <c r="E208" s="1"/>
      <c r="F208" s="144">
        <v>240</v>
      </c>
      <c r="G208" s="168" t="s">
        <v>142</v>
      </c>
      <c r="H208" s="1"/>
      <c r="I208" s="1"/>
      <c r="J208" s="1"/>
      <c r="K208" s="1"/>
      <c r="L208" s="1"/>
      <c r="M208" s="21">
        <f t="shared" si="2"/>
        <v>0.24</v>
      </c>
    </row>
    <row r="209" spans="1:13" ht="12.75">
      <c r="A209" s="11">
        <v>209</v>
      </c>
      <c r="B209" s="13" t="s">
        <v>402</v>
      </c>
      <c r="C209" s="11" t="s">
        <v>213</v>
      </c>
      <c r="D209">
        <v>1730</v>
      </c>
      <c r="E209" s="1"/>
      <c r="F209" s="144">
        <v>80</v>
      </c>
      <c r="G209" s="168" t="s">
        <v>142</v>
      </c>
      <c r="H209" s="1"/>
      <c r="I209" s="1"/>
      <c r="J209" s="1"/>
      <c r="K209" s="1"/>
      <c r="L209" s="1"/>
      <c r="M209" s="21">
        <f t="shared" si="2"/>
        <v>0.08</v>
      </c>
    </row>
    <row r="210" spans="1:13" ht="12.75">
      <c r="A210" s="11">
        <v>210</v>
      </c>
      <c r="B210" s="13" t="s">
        <v>240</v>
      </c>
      <c r="C210" s="11" t="s">
        <v>208</v>
      </c>
      <c r="E210" s="1"/>
      <c r="F210" s="162"/>
      <c r="G210" s="168" t="s">
        <v>220</v>
      </c>
      <c r="H210" s="1"/>
      <c r="I210" s="1"/>
      <c r="J210" s="1"/>
      <c r="K210" s="1"/>
      <c r="L210" s="1"/>
      <c r="M210" s="21">
        <f t="shared" si="2"/>
        <v>0</v>
      </c>
    </row>
    <row r="211" spans="1:13" ht="12.75">
      <c r="A211" s="11">
        <v>211</v>
      </c>
      <c r="B211" s="13" t="s">
        <v>403</v>
      </c>
      <c r="C211" s="11" t="s">
        <v>208</v>
      </c>
      <c r="E211" s="1"/>
      <c r="F211" s="162"/>
      <c r="G211" s="168" t="s">
        <v>241</v>
      </c>
      <c r="H211" s="1"/>
      <c r="I211" s="1"/>
      <c r="J211" s="1"/>
      <c r="K211" s="1"/>
      <c r="L211" s="1"/>
      <c r="M211" s="20">
        <f t="shared" si="2"/>
        <v>0</v>
      </c>
    </row>
    <row r="212" spans="1:13" ht="12.75">
      <c r="A212" s="11">
        <v>212</v>
      </c>
      <c r="B212" s="13" t="s">
        <v>242</v>
      </c>
      <c r="C212" s="11" t="s">
        <v>208</v>
      </c>
      <c r="E212" s="1"/>
      <c r="F212" s="162"/>
      <c r="G212" s="168" t="s">
        <v>241</v>
      </c>
      <c r="H212" s="1"/>
      <c r="I212" s="1"/>
      <c r="J212" s="1"/>
      <c r="K212" s="1"/>
      <c r="L212" s="1"/>
      <c r="M212" s="20">
        <f t="shared" si="2"/>
        <v>0</v>
      </c>
    </row>
    <row r="213" spans="1:13" ht="12.75">
      <c r="A213" s="11">
        <v>213</v>
      </c>
      <c r="B213" s="13" t="s">
        <v>243</v>
      </c>
      <c r="C213" s="11" t="s">
        <v>208</v>
      </c>
      <c r="D213">
        <v>5600</v>
      </c>
      <c r="E213" s="1"/>
      <c r="F213" s="144">
        <v>450</v>
      </c>
      <c r="G213" s="168" t="s">
        <v>241</v>
      </c>
      <c r="H213" s="1"/>
      <c r="I213" s="1"/>
      <c r="J213" s="1"/>
      <c r="K213" s="1"/>
      <c r="L213" s="1"/>
      <c r="M213" s="21">
        <f t="shared" si="2"/>
        <v>450</v>
      </c>
    </row>
    <row r="214" spans="1:13" ht="12.75">
      <c r="A214" s="11">
        <v>214</v>
      </c>
      <c r="B214" s="13" t="s">
        <v>404</v>
      </c>
      <c r="C214" s="11" t="s">
        <v>208</v>
      </c>
      <c r="E214" s="1"/>
      <c r="F214" s="162"/>
      <c r="G214" s="168" t="s">
        <v>241</v>
      </c>
      <c r="H214" s="1"/>
      <c r="I214" s="1"/>
      <c r="J214" s="1"/>
      <c r="K214" s="1"/>
      <c r="L214" s="1"/>
      <c r="M214" s="20">
        <f t="shared" si="2"/>
        <v>0</v>
      </c>
    </row>
    <row r="215" spans="1:13" ht="14.25">
      <c r="A215" s="11">
        <v>215</v>
      </c>
      <c r="B215" s="16" t="s">
        <v>244</v>
      </c>
      <c r="C215" s="11" t="s">
        <v>210</v>
      </c>
      <c r="D215">
        <v>5250</v>
      </c>
      <c r="E215" s="1"/>
      <c r="F215" s="162">
        <v>900</v>
      </c>
      <c r="G215" s="168" t="s">
        <v>142</v>
      </c>
      <c r="H215" s="1"/>
      <c r="I215" s="1"/>
      <c r="J215" s="1"/>
      <c r="K215" s="1"/>
      <c r="L215" s="1"/>
      <c r="M215" s="21">
        <f t="shared" si="2"/>
        <v>0.9</v>
      </c>
    </row>
    <row r="216" spans="1:13" ht="14.25">
      <c r="A216" s="11">
        <v>216</v>
      </c>
      <c r="B216" s="16" t="s">
        <v>245</v>
      </c>
      <c r="C216" s="11" t="s">
        <v>210</v>
      </c>
      <c r="E216" s="1"/>
      <c r="F216" s="162"/>
      <c r="G216" s="168" t="s">
        <v>142</v>
      </c>
      <c r="H216" s="1"/>
      <c r="I216" s="1"/>
      <c r="J216" s="1"/>
      <c r="K216" s="1"/>
      <c r="L216" s="1"/>
      <c r="M216" s="21">
        <f t="shared" si="2"/>
        <v>0</v>
      </c>
    </row>
    <row r="217" spans="1:13" ht="14.25">
      <c r="A217" s="11">
        <v>217</v>
      </c>
      <c r="B217" s="16" t="s">
        <v>405</v>
      </c>
      <c r="C217" s="11" t="s">
        <v>210</v>
      </c>
      <c r="D217">
        <v>3140</v>
      </c>
      <c r="E217" s="1"/>
      <c r="F217" s="162">
        <v>160</v>
      </c>
      <c r="G217" s="168" t="s">
        <v>142</v>
      </c>
      <c r="H217" s="1"/>
      <c r="I217" s="1"/>
      <c r="J217" s="1"/>
      <c r="K217" s="17"/>
      <c r="L217" s="1"/>
      <c r="M217" s="21">
        <f t="shared" si="2"/>
        <v>0.16</v>
      </c>
    </row>
    <row r="218" spans="1:13" ht="14.25">
      <c r="A218" s="11">
        <v>218</v>
      </c>
      <c r="B218" s="16" t="s">
        <v>406</v>
      </c>
      <c r="C218" s="11" t="s">
        <v>210</v>
      </c>
      <c r="E218" s="1"/>
      <c r="F218" s="162"/>
      <c r="G218" s="168" t="s">
        <v>142</v>
      </c>
      <c r="H218" s="1"/>
      <c r="I218" s="1"/>
      <c r="J218" s="1"/>
      <c r="K218" s="1"/>
      <c r="L218" s="1"/>
      <c r="M218" s="21">
        <f t="shared" si="2"/>
        <v>0</v>
      </c>
    </row>
    <row r="219" spans="1:13" ht="14.25">
      <c r="A219" s="11">
        <v>219</v>
      </c>
      <c r="B219" s="16" t="s">
        <v>407</v>
      </c>
      <c r="C219" s="11" t="s">
        <v>210</v>
      </c>
      <c r="E219" s="1"/>
      <c r="F219" s="144">
        <v>0</v>
      </c>
      <c r="G219" s="168" t="s">
        <v>142</v>
      </c>
      <c r="H219" s="1"/>
      <c r="I219" s="1"/>
      <c r="J219" s="1"/>
      <c r="K219" s="1"/>
      <c r="L219" s="1"/>
      <c r="M219" s="21">
        <f t="shared" si="2"/>
        <v>0</v>
      </c>
    </row>
    <row r="220" spans="1:13" ht="14.25">
      <c r="A220" s="11">
        <v>220</v>
      </c>
      <c r="B220" s="16" t="s">
        <v>246</v>
      </c>
      <c r="C220" s="11" t="s">
        <v>210</v>
      </c>
      <c r="E220" s="1"/>
      <c r="F220" s="162"/>
      <c r="G220" s="168" t="s">
        <v>142</v>
      </c>
      <c r="H220" s="1"/>
      <c r="I220" s="1"/>
      <c r="J220" s="1"/>
      <c r="K220" s="1"/>
      <c r="L220" s="1"/>
      <c r="M220" s="21">
        <f t="shared" si="2"/>
        <v>0</v>
      </c>
    </row>
    <row r="221" spans="1:13" ht="14.25">
      <c r="A221" s="11">
        <v>221</v>
      </c>
      <c r="B221" s="16" t="s">
        <v>247</v>
      </c>
      <c r="C221" s="11" t="s">
        <v>210</v>
      </c>
      <c r="E221" s="1"/>
      <c r="F221" s="162"/>
      <c r="G221" s="168" t="s">
        <v>142</v>
      </c>
      <c r="H221" s="1"/>
      <c r="I221" s="1"/>
      <c r="J221" s="1"/>
      <c r="K221" s="1"/>
      <c r="L221" s="1"/>
      <c r="M221" s="21">
        <f t="shared" si="2"/>
        <v>0</v>
      </c>
    </row>
    <row r="222" spans="1:13" ht="14.25">
      <c r="A222" s="11">
        <v>222</v>
      </c>
      <c r="B222" s="16" t="s">
        <v>248</v>
      </c>
      <c r="C222" s="11" t="s">
        <v>210</v>
      </c>
      <c r="E222" s="1"/>
      <c r="F222" s="162"/>
      <c r="G222" s="168" t="s">
        <v>142</v>
      </c>
      <c r="H222" s="1"/>
      <c r="I222" s="1"/>
      <c r="J222" s="1"/>
      <c r="K222" s="1"/>
      <c r="L222" s="1"/>
      <c r="M222" s="21">
        <f t="shared" si="2"/>
        <v>0</v>
      </c>
    </row>
    <row r="223" spans="1:13" ht="14.25">
      <c r="A223" s="11">
        <v>223</v>
      </c>
      <c r="B223" s="16" t="s">
        <v>11</v>
      </c>
      <c r="C223" s="11" t="s">
        <v>210</v>
      </c>
      <c r="D223">
        <v>5570</v>
      </c>
      <c r="E223" s="1"/>
      <c r="F223" s="162">
        <v>710</v>
      </c>
      <c r="G223" s="168" t="s">
        <v>142</v>
      </c>
      <c r="H223" s="1"/>
      <c r="I223" s="1"/>
      <c r="J223" s="1"/>
      <c r="K223" s="1"/>
      <c r="L223" s="1"/>
      <c r="M223" s="21">
        <f t="shared" si="2"/>
        <v>0.71</v>
      </c>
    </row>
    <row r="224" spans="1:13" ht="14.25">
      <c r="A224" s="11">
        <v>224</v>
      </c>
      <c r="B224" s="16" t="s">
        <v>408</v>
      </c>
      <c r="C224" s="11" t="s">
        <v>210</v>
      </c>
      <c r="E224" s="1"/>
      <c r="F224" s="162"/>
      <c r="G224" s="168" t="s">
        <v>142</v>
      </c>
      <c r="H224" s="1"/>
      <c r="I224" s="1"/>
      <c r="J224" s="1"/>
      <c r="K224" s="1"/>
      <c r="L224" s="1"/>
      <c r="M224" s="21">
        <f t="shared" si="2"/>
        <v>0</v>
      </c>
    </row>
    <row r="225" spans="1:13" ht="14.25">
      <c r="A225" s="11">
        <v>225</v>
      </c>
      <c r="B225" s="16" t="s">
        <v>409</v>
      </c>
      <c r="C225" s="11" t="s">
        <v>210</v>
      </c>
      <c r="E225" s="1"/>
      <c r="F225" s="162"/>
      <c r="G225" s="168" t="s">
        <v>142</v>
      </c>
      <c r="H225" s="1"/>
      <c r="I225" s="1"/>
      <c r="J225" s="1"/>
      <c r="K225" s="1"/>
      <c r="L225" s="1"/>
      <c r="M225" s="21">
        <f t="shared" si="2"/>
        <v>0</v>
      </c>
    </row>
    <row r="226" spans="1:13" ht="14.25">
      <c r="A226" s="11">
        <v>226</v>
      </c>
      <c r="B226" s="16" t="s">
        <v>410</v>
      </c>
      <c r="C226" s="11" t="s">
        <v>210</v>
      </c>
      <c r="E226" s="1"/>
      <c r="F226" s="162"/>
      <c r="G226" s="168" t="s">
        <v>142</v>
      </c>
      <c r="H226" s="1"/>
      <c r="I226" s="1"/>
      <c r="J226" s="1"/>
      <c r="K226" s="1"/>
      <c r="L226" s="1"/>
      <c r="M226" s="21">
        <f t="shared" si="2"/>
        <v>0</v>
      </c>
    </row>
    <row r="227" spans="1:13" ht="12.75">
      <c r="A227" s="11">
        <v>227</v>
      </c>
      <c r="B227" s="13" t="s">
        <v>60</v>
      </c>
      <c r="C227" s="11" t="s">
        <v>210</v>
      </c>
      <c r="D227">
        <v>6560</v>
      </c>
      <c r="E227" s="1"/>
      <c r="F227" s="162">
        <v>1350</v>
      </c>
      <c r="G227" s="168" t="s">
        <v>142</v>
      </c>
      <c r="H227" s="1"/>
      <c r="I227" s="1"/>
      <c r="J227" s="1"/>
      <c r="K227" s="1"/>
      <c r="L227" s="1"/>
      <c r="M227" s="21">
        <f t="shared" si="2"/>
        <v>1.35</v>
      </c>
    </row>
    <row r="228" spans="1:13" ht="14.25">
      <c r="A228" s="11">
        <v>228</v>
      </c>
      <c r="B228" s="16" t="s">
        <v>411</v>
      </c>
      <c r="C228" s="11" t="s">
        <v>210</v>
      </c>
      <c r="D228">
        <v>3100</v>
      </c>
      <c r="E228" s="1"/>
      <c r="F228" s="144">
        <v>105000</v>
      </c>
      <c r="G228" s="168" t="s">
        <v>142</v>
      </c>
      <c r="H228" s="1"/>
      <c r="I228" s="1"/>
      <c r="J228" s="1"/>
      <c r="K228" s="1"/>
      <c r="L228" s="1"/>
      <c r="M228" s="21">
        <f t="shared" si="2"/>
        <v>105</v>
      </c>
    </row>
    <row r="229" spans="1:13" ht="14.25">
      <c r="A229" s="11">
        <v>229</v>
      </c>
      <c r="B229" s="16" t="s">
        <v>412</v>
      </c>
      <c r="C229" s="11" t="s">
        <v>210</v>
      </c>
      <c r="D229">
        <v>5530</v>
      </c>
      <c r="E229" s="1"/>
      <c r="F229" s="162">
        <v>740</v>
      </c>
      <c r="G229" s="168" t="s">
        <v>142</v>
      </c>
      <c r="H229" s="1"/>
      <c r="I229" s="1"/>
      <c r="J229" s="1"/>
      <c r="K229" s="1"/>
      <c r="L229" s="1"/>
      <c r="M229" s="21">
        <f>IF(OR(G229="Kg",G229="Litre"),F229/1000,F229)</f>
        <v>0.74</v>
      </c>
    </row>
    <row r="230" spans="1:13" ht="14.25">
      <c r="A230" s="11">
        <v>230</v>
      </c>
      <c r="B230" s="16" t="s">
        <v>413</v>
      </c>
      <c r="C230" s="11" t="s">
        <v>210</v>
      </c>
      <c r="D230">
        <v>5530</v>
      </c>
      <c r="E230" s="1"/>
      <c r="F230" s="162">
        <v>650</v>
      </c>
      <c r="G230" s="168" t="s">
        <v>142</v>
      </c>
      <c r="H230" s="1"/>
      <c r="I230" s="1"/>
      <c r="J230" s="1"/>
      <c r="K230" s="1"/>
      <c r="L230" s="1"/>
      <c r="M230" s="21">
        <f>IF(OR(G230="Kg",G230="Litre"),F230/1000,F230)</f>
        <v>0.65</v>
      </c>
    </row>
    <row r="231" spans="1:13" ht="14.25">
      <c r="A231" s="11">
        <v>231</v>
      </c>
      <c r="B231" s="16" t="s">
        <v>414</v>
      </c>
      <c r="C231" s="11" t="s">
        <v>210</v>
      </c>
      <c r="D231">
        <v>5800</v>
      </c>
      <c r="E231" s="1"/>
      <c r="F231" s="162">
        <v>510</v>
      </c>
      <c r="G231" s="168" t="s">
        <v>142</v>
      </c>
      <c r="H231" s="1"/>
      <c r="I231" s="1"/>
      <c r="J231" s="1"/>
      <c r="K231" s="1"/>
      <c r="L231" s="1"/>
      <c r="M231" s="21">
        <f t="shared" ref="M231:M402" si="3">IF(OR(G231="Kg",G231="Litre"),F231/1000,F231)</f>
        <v>0.51</v>
      </c>
    </row>
    <row r="232" spans="1:13" ht="14.25">
      <c r="A232" s="11">
        <v>232</v>
      </c>
      <c r="B232" s="16" t="s">
        <v>415</v>
      </c>
      <c r="C232" s="11" t="s">
        <v>210</v>
      </c>
      <c r="D232">
        <v>2990</v>
      </c>
      <c r="E232" s="1"/>
      <c r="F232" s="162">
        <v>300</v>
      </c>
      <c r="G232" s="168" t="s">
        <v>142</v>
      </c>
      <c r="H232" s="1"/>
      <c r="I232" s="1"/>
      <c r="J232" s="1"/>
      <c r="K232" s="1"/>
      <c r="L232" s="1"/>
      <c r="M232" s="21">
        <f t="shared" si="3"/>
        <v>0.3</v>
      </c>
    </row>
    <row r="233" spans="1:13" ht="14.25">
      <c r="A233" s="11">
        <v>233</v>
      </c>
      <c r="B233" s="16" t="s">
        <v>416</v>
      </c>
      <c r="C233" s="11" t="s">
        <v>210</v>
      </c>
      <c r="E233" s="1"/>
      <c r="F233" s="162"/>
      <c r="G233" s="168" t="s">
        <v>142</v>
      </c>
      <c r="H233" s="1"/>
      <c r="I233" s="1"/>
      <c r="J233" s="1"/>
      <c r="K233" s="1"/>
      <c r="L233" s="1"/>
      <c r="M233" s="21">
        <f t="shared" si="3"/>
        <v>0</v>
      </c>
    </row>
    <row r="234" spans="1:13" ht="12.75">
      <c r="A234" s="11">
        <v>234</v>
      </c>
      <c r="B234" s="13" t="s">
        <v>249</v>
      </c>
      <c r="C234" s="11" t="s">
        <v>208</v>
      </c>
      <c r="E234" s="1"/>
      <c r="F234" s="144">
        <v>0</v>
      </c>
      <c r="G234" s="168" t="s">
        <v>161</v>
      </c>
      <c r="H234" s="1"/>
      <c r="I234" s="1"/>
      <c r="J234" s="1"/>
      <c r="K234" s="1"/>
      <c r="L234" s="1"/>
      <c r="M234" s="21">
        <f t="shared" si="3"/>
        <v>0</v>
      </c>
    </row>
    <row r="235" spans="1:13" ht="14.25">
      <c r="A235" s="11">
        <v>235</v>
      </c>
      <c r="B235" s="16" t="s">
        <v>417</v>
      </c>
      <c r="C235" s="11" t="s">
        <v>208</v>
      </c>
      <c r="E235" s="1"/>
      <c r="F235" s="144">
        <v>0</v>
      </c>
      <c r="G235" s="168" t="s">
        <v>161</v>
      </c>
      <c r="H235" s="1"/>
      <c r="I235" s="1"/>
      <c r="J235" s="1"/>
      <c r="K235" s="1"/>
      <c r="L235" s="1"/>
      <c r="M235" s="21">
        <f t="shared" si="3"/>
        <v>0</v>
      </c>
    </row>
    <row r="236" spans="1:13" ht="14.25">
      <c r="A236" s="11">
        <v>236</v>
      </c>
      <c r="B236" s="16" t="s">
        <v>418</v>
      </c>
      <c r="C236" s="11" t="s">
        <v>208</v>
      </c>
      <c r="D236">
        <v>0</v>
      </c>
      <c r="E236" s="1"/>
      <c r="F236" s="162">
        <v>70</v>
      </c>
      <c r="G236" s="168" t="s">
        <v>161</v>
      </c>
      <c r="H236" s="1"/>
      <c r="I236" s="1"/>
      <c r="J236" s="1"/>
      <c r="K236" s="1"/>
      <c r="L236" s="1"/>
      <c r="M236" s="20">
        <f t="shared" si="3"/>
        <v>70</v>
      </c>
    </row>
    <row r="237" spans="1:13" ht="14.25">
      <c r="A237" s="11">
        <v>237</v>
      </c>
      <c r="B237" s="16" t="s">
        <v>419</v>
      </c>
      <c r="C237" s="11" t="s">
        <v>208</v>
      </c>
      <c r="E237" s="1"/>
      <c r="F237" s="144">
        <v>10</v>
      </c>
      <c r="G237" s="168" t="s">
        <v>161</v>
      </c>
      <c r="H237" s="1"/>
      <c r="I237" s="1"/>
      <c r="J237" s="1"/>
      <c r="K237" s="1"/>
      <c r="L237" s="1"/>
      <c r="M237" s="21">
        <f t="shared" si="3"/>
        <v>10</v>
      </c>
    </row>
    <row r="238" spans="1:13" ht="14.25">
      <c r="A238" s="11">
        <v>238</v>
      </c>
      <c r="B238" s="16" t="s">
        <v>420</v>
      </c>
      <c r="C238" s="11" t="s">
        <v>250</v>
      </c>
      <c r="D238">
        <v>420</v>
      </c>
      <c r="E238" s="1"/>
      <c r="F238" s="144">
        <v>66</v>
      </c>
      <c r="G238" s="168" t="s">
        <v>220</v>
      </c>
      <c r="H238" s="1"/>
      <c r="I238" s="1"/>
      <c r="J238" s="1"/>
      <c r="K238" s="1"/>
      <c r="L238" s="1"/>
      <c r="M238" s="21">
        <f t="shared" si="3"/>
        <v>6.6000000000000003E-2</v>
      </c>
    </row>
    <row r="239" spans="1:13" ht="14.25">
      <c r="A239" s="11">
        <v>239</v>
      </c>
      <c r="B239" s="16" t="s">
        <v>421</v>
      </c>
      <c r="C239" s="11" t="s">
        <v>250</v>
      </c>
      <c r="D239">
        <v>420</v>
      </c>
      <c r="E239" s="1"/>
      <c r="F239" s="144">
        <v>54</v>
      </c>
      <c r="G239" s="168" t="s">
        <v>220</v>
      </c>
      <c r="H239" s="1"/>
      <c r="I239" s="1"/>
      <c r="J239" s="1"/>
      <c r="K239" s="1"/>
      <c r="L239" s="1"/>
      <c r="M239" s="21">
        <f t="shared" si="3"/>
        <v>5.3999999999999999E-2</v>
      </c>
    </row>
    <row r="240" spans="1:13" ht="14.25">
      <c r="A240" s="11">
        <v>240</v>
      </c>
      <c r="B240" s="16" t="s">
        <v>422</v>
      </c>
      <c r="C240" s="11" t="s">
        <v>250</v>
      </c>
      <c r="D240">
        <v>980</v>
      </c>
      <c r="E240" s="1"/>
      <c r="F240" s="144">
        <v>70</v>
      </c>
      <c r="G240" s="168" t="s">
        <v>220</v>
      </c>
      <c r="H240" s="1"/>
      <c r="I240" s="1"/>
      <c r="J240" s="1"/>
      <c r="K240" s="1"/>
      <c r="L240" s="1"/>
      <c r="M240" s="21">
        <f t="shared" si="3"/>
        <v>7.0000000000000007E-2</v>
      </c>
    </row>
    <row r="241" spans="1:13" ht="14.25">
      <c r="A241" s="11">
        <v>241</v>
      </c>
      <c r="B241" s="16" t="s">
        <v>4</v>
      </c>
      <c r="C241" s="11" t="s">
        <v>250</v>
      </c>
      <c r="D241">
        <v>1960</v>
      </c>
      <c r="E241" s="1"/>
      <c r="F241" s="144">
        <v>213</v>
      </c>
      <c r="G241" s="168" t="s">
        <v>220</v>
      </c>
      <c r="H241" s="1"/>
      <c r="I241" s="1"/>
      <c r="J241" s="1"/>
      <c r="K241" s="1"/>
      <c r="L241" s="1"/>
      <c r="M241" s="21">
        <f t="shared" si="3"/>
        <v>0.21299999999999999</v>
      </c>
    </row>
    <row r="242" spans="1:13" ht="14.25">
      <c r="A242" s="11">
        <v>242</v>
      </c>
      <c r="B242" s="16" t="s">
        <v>423</v>
      </c>
      <c r="C242" s="11" t="s">
        <v>208</v>
      </c>
      <c r="D242">
        <v>2780</v>
      </c>
      <c r="E242" s="1"/>
      <c r="F242" s="144">
        <v>240</v>
      </c>
      <c r="G242" s="168" t="s">
        <v>142</v>
      </c>
      <c r="H242" s="1"/>
      <c r="I242" s="1"/>
      <c r="J242" s="1"/>
      <c r="K242" s="1"/>
      <c r="L242" s="1"/>
      <c r="M242" s="21">
        <f t="shared" si="3"/>
        <v>0.24</v>
      </c>
    </row>
    <row r="243" spans="1:13" ht="14.25">
      <c r="A243" s="11">
        <v>243</v>
      </c>
      <c r="B243" s="16" t="s">
        <v>424</v>
      </c>
      <c r="C243" s="11" t="s">
        <v>250</v>
      </c>
      <c r="D243">
        <v>7000</v>
      </c>
      <c r="E243" s="1"/>
      <c r="F243" s="144">
        <v>520</v>
      </c>
      <c r="G243" s="168" t="s">
        <v>142</v>
      </c>
      <c r="H243" s="1"/>
      <c r="I243" s="1"/>
      <c r="J243" s="1"/>
      <c r="K243" s="1"/>
      <c r="L243" s="1"/>
      <c r="M243" s="21">
        <f t="shared" si="3"/>
        <v>0.52</v>
      </c>
    </row>
    <row r="244" spans="1:13" ht="14.25">
      <c r="A244" s="11">
        <v>244</v>
      </c>
      <c r="B244" s="16" t="s">
        <v>425</v>
      </c>
      <c r="C244" s="11" t="s">
        <v>250</v>
      </c>
      <c r="D244">
        <v>7220</v>
      </c>
      <c r="E244" s="1"/>
      <c r="F244" s="144">
        <v>470</v>
      </c>
      <c r="G244" s="168" t="s">
        <v>142</v>
      </c>
      <c r="H244" s="1"/>
      <c r="I244" s="1"/>
      <c r="J244" s="1"/>
      <c r="K244" s="1"/>
      <c r="L244" s="1"/>
      <c r="M244" s="21">
        <f t="shared" si="3"/>
        <v>0.47</v>
      </c>
    </row>
    <row r="245" spans="1:13" ht="14.25">
      <c r="A245" s="11">
        <v>245</v>
      </c>
      <c r="B245" s="16" t="s">
        <v>251</v>
      </c>
      <c r="C245" s="11" t="s">
        <v>250</v>
      </c>
      <c r="D245">
        <v>2760</v>
      </c>
      <c r="E245" s="1"/>
      <c r="F245" s="144">
        <v>650</v>
      </c>
      <c r="G245" s="168" t="s">
        <v>142</v>
      </c>
      <c r="H245" s="1"/>
      <c r="I245" s="1"/>
      <c r="J245" s="1"/>
      <c r="K245" s="1"/>
      <c r="L245" s="1"/>
      <c r="M245" s="21">
        <f t="shared" si="3"/>
        <v>0.65</v>
      </c>
    </row>
    <row r="246" spans="1:13" ht="14.25">
      <c r="A246" s="11">
        <v>246</v>
      </c>
      <c r="B246" s="16" t="s">
        <v>426</v>
      </c>
      <c r="C246" s="11" t="s">
        <v>208</v>
      </c>
      <c r="D246">
        <v>1380</v>
      </c>
      <c r="E246" s="1"/>
      <c r="F246" s="144">
        <v>40</v>
      </c>
      <c r="G246" s="168" t="s">
        <v>142</v>
      </c>
      <c r="H246" s="1"/>
      <c r="I246" s="1"/>
      <c r="J246" s="1"/>
      <c r="K246" s="1"/>
      <c r="L246" s="1"/>
      <c r="M246" s="21">
        <f t="shared" si="3"/>
        <v>0.04</v>
      </c>
    </row>
    <row r="247" spans="1:13" ht="14.25">
      <c r="A247" s="11">
        <v>247</v>
      </c>
      <c r="B247" s="16" t="s">
        <v>427</v>
      </c>
      <c r="C247" s="11" t="s">
        <v>250</v>
      </c>
      <c r="D247" t="s">
        <v>683</v>
      </c>
      <c r="E247" s="11"/>
      <c r="F247" s="144">
        <v>48</v>
      </c>
      <c r="G247" s="168" t="s">
        <v>142</v>
      </c>
      <c r="H247" s="1"/>
      <c r="I247" s="1"/>
      <c r="J247" s="1"/>
      <c r="K247" s="1"/>
      <c r="L247" s="1"/>
      <c r="M247" s="21">
        <f t="shared" si="3"/>
        <v>4.8000000000000001E-2</v>
      </c>
    </row>
    <row r="248" spans="1:13" ht="14.25">
      <c r="A248" s="11">
        <v>248</v>
      </c>
      <c r="B248" s="16" t="s">
        <v>428</v>
      </c>
      <c r="C248" s="11" t="s">
        <v>208</v>
      </c>
      <c r="D248">
        <v>211</v>
      </c>
      <c r="E248" s="11"/>
      <c r="F248" s="144">
        <v>45</v>
      </c>
      <c r="G248" s="11" t="s">
        <v>161</v>
      </c>
      <c r="H248" s="1"/>
      <c r="I248" s="1"/>
      <c r="J248" s="1"/>
      <c r="K248" s="1"/>
      <c r="L248" s="1"/>
      <c r="M248" s="21">
        <f t="shared" si="3"/>
        <v>45</v>
      </c>
    </row>
    <row r="249" spans="1:13" ht="14.25">
      <c r="A249" s="11">
        <v>249</v>
      </c>
      <c r="B249" s="16" t="s">
        <v>429</v>
      </c>
      <c r="C249" s="11" t="s">
        <v>250</v>
      </c>
      <c r="D249">
        <v>2760</v>
      </c>
      <c r="E249" s="11"/>
      <c r="F249" s="144">
        <v>650</v>
      </c>
      <c r="G249" s="11" t="s">
        <v>220</v>
      </c>
      <c r="H249" s="1"/>
      <c r="I249" s="1"/>
      <c r="J249" s="1"/>
      <c r="K249" s="1"/>
      <c r="L249" s="1"/>
      <c r="M249" s="21">
        <f t="shared" si="3"/>
        <v>0.65</v>
      </c>
    </row>
    <row r="250" spans="1:13" ht="14.25">
      <c r="A250" s="11">
        <v>250</v>
      </c>
      <c r="B250" s="16" t="s">
        <v>17</v>
      </c>
      <c r="C250" s="11" t="s">
        <v>250</v>
      </c>
      <c r="D250">
        <v>2650</v>
      </c>
      <c r="E250" s="11"/>
      <c r="F250" s="144">
        <v>270</v>
      </c>
      <c r="G250" s="11" t="s">
        <v>220</v>
      </c>
      <c r="H250" s="1"/>
      <c r="I250" s="1"/>
      <c r="J250" s="1"/>
      <c r="K250" s="1"/>
      <c r="L250" s="1"/>
      <c r="M250" s="21">
        <f t="shared" si="3"/>
        <v>0.27</v>
      </c>
    </row>
    <row r="251" spans="1:13" ht="14.25">
      <c r="A251" s="11">
        <v>251</v>
      </c>
      <c r="B251" s="16" t="s">
        <v>252</v>
      </c>
      <c r="C251" s="11" t="s">
        <v>141</v>
      </c>
      <c r="D251">
        <v>810</v>
      </c>
      <c r="E251" s="11"/>
      <c r="F251" s="144">
        <v>105</v>
      </c>
      <c r="G251" s="11" t="s">
        <v>142</v>
      </c>
      <c r="H251" s="1"/>
      <c r="I251" s="1"/>
      <c r="J251" s="1"/>
      <c r="K251" s="1"/>
      <c r="L251" s="1"/>
      <c r="M251" s="21">
        <f t="shared" si="3"/>
        <v>0.105</v>
      </c>
    </row>
    <row r="252" spans="1:13" ht="15">
      <c r="A252" s="11">
        <v>252</v>
      </c>
      <c r="B252" s="18" t="s">
        <v>253</v>
      </c>
      <c r="C252" s="11" t="s">
        <v>141</v>
      </c>
      <c r="E252" s="11"/>
      <c r="F252" s="144">
        <v>0</v>
      </c>
      <c r="G252" s="11" t="s">
        <v>142</v>
      </c>
      <c r="H252" s="1"/>
      <c r="I252" s="1"/>
      <c r="J252" s="1"/>
      <c r="K252" s="1"/>
      <c r="L252" s="1"/>
      <c r="M252" s="21">
        <f t="shared" si="3"/>
        <v>0</v>
      </c>
    </row>
    <row r="253" spans="1:13" ht="14.25">
      <c r="A253" s="11">
        <v>253</v>
      </c>
      <c r="B253" s="16" t="s">
        <v>430</v>
      </c>
      <c r="C253" s="11" t="s">
        <v>250</v>
      </c>
      <c r="D253">
        <v>670</v>
      </c>
      <c r="E253" s="11"/>
      <c r="F253" s="144">
        <v>270</v>
      </c>
      <c r="G253" s="11" t="s">
        <v>142</v>
      </c>
      <c r="H253" s="1"/>
      <c r="I253" s="1"/>
      <c r="J253" s="1"/>
      <c r="K253" s="1"/>
      <c r="L253" s="1"/>
      <c r="M253" s="21">
        <f t="shared" si="3"/>
        <v>0.27</v>
      </c>
    </row>
    <row r="254" spans="1:13" ht="14.25">
      <c r="A254" s="11">
        <v>254</v>
      </c>
      <c r="B254" s="16" t="s">
        <v>431</v>
      </c>
      <c r="C254" s="11" t="s">
        <v>250</v>
      </c>
      <c r="D254" t="s">
        <v>683</v>
      </c>
      <c r="E254" s="11"/>
      <c r="F254" s="144">
        <v>1</v>
      </c>
      <c r="G254" s="11" t="s">
        <v>142</v>
      </c>
      <c r="H254" s="1"/>
      <c r="I254" s="1"/>
      <c r="J254" s="1"/>
      <c r="K254" s="1"/>
      <c r="L254" s="1"/>
      <c r="M254" s="21">
        <f t="shared" si="3"/>
        <v>1E-3</v>
      </c>
    </row>
    <row r="255" spans="1:13" ht="14.25">
      <c r="A255" s="11">
        <v>255</v>
      </c>
      <c r="B255" s="16" t="s">
        <v>254</v>
      </c>
      <c r="C255" s="11" t="s">
        <v>208</v>
      </c>
      <c r="D255">
        <v>2420</v>
      </c>
      <c r="E255" s="1"/>
      <c r="F255" s="144">
        <v>80</v>
      </c>
      <c r="G255" s="11" t="s">
        <v>142</v>
      </c>
      <c r="H255" s="1"/>
      <c r="I255" s="1"/>
      <c r="J255" s="1"/>
      <c r="K255" s="1"/>
      <c r="L255" s="1"/>
      <c r="M255" s="21">
        <f t="shared" si="3"/>
        <v>0.08</v>
      </c>
    </row>
    <row r="256" spans="1:13" ht="14.25">
      <c r="A256" s="11">
        <v>256</v>
      </c>
      <c r="B256" s="16" t="s">
        <v>255</v>
      </c>
      <c r="C256" s="11" t="s">
        <v>208</v>
      </c>
      <c r="E256" s="11"/>
      <c r="F256" s="144">
        <v>0</v>
      </c>
      <c r="G256" s="11" t="s">
        <v>142</v>
      </c>
      <c r="H256" s="1"/>
      <c r="I256" s="1"/>
      <c r="J256" s="1"/>
      <c r="K256" s="1"/>
      <c r="L256" s="1"/>
      <c r="M256" s="21">
        <f t="shared" si="3"/>
        <v>0</v>
      </c>
    </row>
    <row r="257" spans="1:13" ht="14.25">
      <c r="A257" s="11">
        <v>257</v>
      </c>
      <c r="B257" s="16" t="s">
        <v>432</v>
      </c>
      <c r="C257" s="11" t="s">
        <v>208</v>
      </c>
      <c r="D257">
        <v>3790</v>
      </c>
      <c r="E257" s="11"/>
      <c r="F257" s="144">
        <v>280</v>
      </c>
      <c r="G257" s="11" t="s">
        <v>142</v>
      </c>
      <c r="H257" s="1"/>
      <c r="I257" s="1"/>
      <c r="J257" s="1"/>
      <c r="K257" s="1"/>
      <c r="L257" s="1"/>
      <c r="M257" s="21">
        <f t="shared" si="3"/>
        <v>0.28000000000000003</v>
      </c>
    </row>
    <row r="258" spans="1:13" ht="14.25">
      <c r="A258" s="11">
        <v>258</v>
      </c>
      <c r="B258" s="16" t="s">
        <v>256</v>
      </c>
      <c r="C258" s="11" t="s">
        <v>208</v>
      </c>
      <c r="D258">
        <v>2700</v>
      </c>
      <c r="E258" s="11"/>
      <c r="F258" s="144">
        <v>280</v>
      </c>
      <c r="G258" s="11" t="s">
        <v>142</v>
      </c>
      <c r="H258" s="1"/>
      <c r="I258" s="1"/>
      <c r="J258" s="1"/>
      <c r="K258" s="1"/>
      <c r="L258" s="1"/>
      <c r="M258" s="21">
        <f t="shared" si="3"/>
        <v>0.28000000000000003</v>
      </c>
    </row>
    <row r="259" spans="1:13" ht="14.25">
      <c r="A259" s="11">
        <v>259</v>
      </c>
      <c r="B259" s="16" t="s">
        <v>257</v>
      </c>
      <c r="C259" s="11" t="s">
        <v>208</v>
      </c>
      <c r="E259" s="11"/>
      <c r="F259" s="144">
        <v>0</v>
      </c>
      <c r="G259" s="11" t="s">
        <v>142</v>
      </c>
      <c r="H259" s="1"/>
      <c r="I259" s="1"/>
      <c r="J259" s="1"/>
      <c r="K259" s="1"/>
      <c r="L259" s="1"/>
      <c r="M259" s="21">
        <f t="shared" si="3"/>
        <v>0</v>
      </c>
    </row>
    <row r="260" spans="1:13" ht="14.25">
      <c r="A260" s="11">
        <v>260</v>
      </c>
      <c r="B260" s="16" t="s">
        <v>433</v>
      </c>
      <c r="C260" s="11" t="s">
        <v>208</v>
      </c>
      <c r="E260" s="11"/>
      <c r="F260" s="144">
        <v>0</v>
      </c>
      <c r="G260" s="11" t="s">
        <v>142</v>
      </c>
      <c r="H260" s="1"/>
      <c r="I260" s="1"/>
      <c r="J260" s="1"/>
      <c r="K260" s="1"/>
      <c r="L260" s="1"/>
      <c r="M260" s="21">
        <f t="shared" si="3"/>
        <v>0</v>
      </c>
    </row>
    <row r="261" spans="1:13" ht="14.25">
      <c r="A261" s="11">
        <v>261</v>
      </c>
      <c r="B261" s="16" t="s">
        <v>258</v>
      </c>
      <c r="C261" s="11" t="s">
        <v>208</v>
      </c>
      <c r="E261" s="11"/>
      <c r="F261" s="144">
        <v>0</v>
      </c>
      <c r="G261" s="11" t="s">
        <v>142</v>
      </c>
      <c r="H261" s="1"/>
      <c r="I261" s="1"/>
      <c r="J261" s="1"/>
      <c r="K261" s="1"/>
      <c r="L261" s="1"/>
      <c r="M261" s="21">
        <f t="shared" si="3"/>
        <v>0</v>
      </c>
    </row>
    <row r="262" spans="1:13" ht="14.25">
      <c r="A262" s="11">
        <v>262</v>
      </c>
      <c r="B262" s="16" t="s">
        <v>434</v>
      </c>
      <c r="C262" s="11" t="s">
        <v>208</v>
      </c>
      <c r="E262" s="11"/>
      <c r="F262" s="144">
        <v>0</v>
      </c>
      <c r="G262" s="11" t="s">
        <v>142</v>
      </c>
      <c r="H262" s="1"/>
      <c r="I262" s="1"/>
      <c r="J262" s="1"/>
      <c r="K262" s="1"/>
      <c r="L262" s="1"/>
      <c r="M262" s="21">
        <f t="shared" si="3"/>
        <v>0</v>
      </c>
    </row>
    <row r="263" spans="1:13" ht="14.25">
      <c r="A263" s="11">
        <v>263</v>
      </c>
      <c r="B263" s="16" t="s">
        <v>259</v>
      </c>
      <c r="C263" s="11" t="s">
        <v>208</v>
      </c>
      <c r="E263" s="11"/>
      <c r="F263" s="144">
        <v>0</v>
      </c>
      <c r="G263" s="11" t="s">
        <v>142</v>
      </c>
      <c r="H263" s="1"/>
      <c r="I263" s="1"/>
      <c r="J263" s="1"/>
      <c r="K263" s="1"/>
      <c r="L263" s="1"/>
      <c r="M263" s="21">
        <f t="shared" si="3"/>
        <v>0</v>
      </c>
    </row>
    <row r="264" spans="1:13" ht="14.25">
      <c r="A264" s="11">
        <v>264</v>
      </c>
      <c r="B264" s="16" t="s">
        <v>435</v>
      </c>
      <c r="C264" s="11" t="s">
        <v>208</v>
      </c>
      <c r="E264" s="1"/>
      <c r="F264" s="144">
        <v>0</v>
      </c>
      <c r="G264" s="11" t="s">
        <v>142</v>
      </c>
      <c r="H264" s="1"/>
      <c r="I264" s="1"/>
      <c r="J264" s="1"/>
      <c r="K264" s="1"/>
      <c r="L264" s="1"/>
      <c r="M264" s="21">
        <f t="shared" si="3"/>
        <v>0</v>
      </c>
    </row>
    <row r="265" spans="1:13" ht="14.25">
      <c r="A265" s="11">
        <v>265</v>
      </c>
      <c r="B265" s="16" t="s">
        <v>436</v>
      </c>
      <c r="C265" s="11" t="s">
        <v>208</v>
      </c>
      <c r="E265" s="1"/>
      <c r="F265" s="144">
        <v>0</v>
      </c>
      <c r="G265" s="11" t="s">
        <v>142</v>
      </c>
      <c r="H265" s="1"/>
      <c r="I265" s="1"/>
      <c r="J265" s="1"/>
      <c r="K265" s="1"/>
      <c r="L265" s="1"/>
      <c r="M265" s="21">
        <f t="shared" si="3"/>
        <v>0</v>
      </c>
    </row>
    <row r="266" spans="1:13" ht="14.25">
      <c r="A266" s="11">
        <v>266</v>
      </c>
      <c r="B266" s="16" t="s">
        <v>103</v>
      </c>
      <c r="C266" s="11" t="s">
        <v>208</v>
      </c>
      <c r="E266" s="11"/>
      <c r="F266" s="144">
        <v>1800</v>
      </c>
      <c r="G266" s="11" t="s">
        <v>142</v>
      </c>
      <c r="H266" s="1"/>
      <c r="I266" s="1"/>
      <c r="J266" s="1"/>
      <c r="K266" s="1"/>
      <c r="L266" s="1"/>
      <c r="M266" s="21">
        <f t="shared" si="3"/>
        <v>1.8</v>
      </c>
    </row>
    <row r="267" spans="1:13" ht="14.25">
      <c r="A267" s="11">
        <v>267</v>
      </c>
      <c r="B267" s="16" t="s">
        <v>437</v>
      </c>
      <c r="C267" s="11" t="s">
        <v>213</v>
      </c>
      <c r="E267" s="11"/>
      <c r="F267" s="144">
        <v>80</v>
      </c>
      <c r="G267" s="11" t="s">
        <v>142</v>
      </c>
      <c r="H267" s="1"/>
      <c r="I267" s="1"/>
      <c r="J267" s="1"/>
      <c r="K267" s="1"/>
      <c r="L267" s="1"/>
      <c r="M267" s="21">
        <f t="shared" si="3"/>
        <v>0.08</v>
      </c>
    </row>
    <row r="268" spans="1:13" ht="14.25">
      <c r="A268" s="11">
        <v>268</v>
      </c>
      <c r="B268" s="16" t="s">
        <v>260</v>
      </c>
      <c r="C268" s="11" t="s">
        <v>213</v>
      </c>
      <c r="E268" s="11"/>
      <c r="F268" s="144">
        <v>80</v>
      </c>
      <c r="G268" s="11" t="s">
        <v>142</v>
      </c>
      <c r="H268" s="1"/>
      <c r="I268" s="1"/>
      <c r="J268" s="1"/>
      <c r="K268" s="1"/>
      <c r="L268" s="1"/>
      <c r="M268" s="21">
        <f t="shared" si="3"/>
        <v>0.08</v>
      </c>
    </row>
    <row r="269" spans="1:13" ht="14.25">
      <c r="A269" s="11">
        <v>269</v>
      </c>
      <c r="B269" s="16" t="s">
        <v>438</v>
      </c>
      <c r="C269" s="11" t="s">
        <v>213</v>
      </c>
      <c r="E269" s="11"/>
      <c r="F269" s="144">
        <v>80</v>
      </c>
      <c r="G269" s="11" t="s">
        <v>142</v>
      </c>
      <c r="H269" s="1"/>
      <c r="I269" s="1"/>
      <c r="J269" s="1"/>
      <c r="K269" s="1"/>
      <c r="L269" s="1"/>
      <c r="M269" s="21">
        <f t="shared" si="3"/>
        <v>0.08</v>
      </c>
    </row>
    <row r="270" spans="1:13" ht="14.25">
      <c r="A270" s="11">
        <v>270</v>
      </c>
      <c r="B270" s="16" t="s">
        <v>261</v>
      </c>
      <c r="C270" s="11" t="s">
        <v>213</v>
      </c>
      <c r="E270" s="11"/>
      <c r="F270" s="144">
        <v>80</v>
      </c>
      <c r="G270" s="11" t="s">
        <v>142</v>
      </c>
      <c r="H270" s="1"/>
      <c r="I270" s="1"/>
      <c r="J270" s="1"/>
      <c r="K270" s="1"/>
      <c r="L270" s="1"/>
      <c r="M270" s="21">
        <f t="shared" si="3"/>
        <v>0.08</v>
      </c>
    </row>
    <row r="271" spans="1:13" ht="14.25">
      <c r="A271" s="11">
        <v>271</v>
      </c>
      <c r="B271" s="16" t="s">
        <v>439</v>
      </c>
      <c r="C271" s="11" t="s">
        <v>213</v>
      </c>
      <c r="E271" s="11"/>
      <c r="F271" s="162"/>
      <c r="G271" s="11" t="s">
        <v>142</v>
      </c>
      <c r="H271" s="1"/>
      <c r="I271" s="1"/>
      <c r="J271" s="1"/>
      <c r="K271" s="1"/>
      <c r="L271" s="1"/>
      <c r="M271" s="21">
        <f t="shared" si="3"/>
        <v>0</v>
      </c>
    </row>
    <row r="272" spans="1:13" ht="14.25">
      <c r="A272" s="11">
        <v>272</v>
      </c>
      <c r="B272" s="16" t="s">
        <v>440</v>
      </c>
      <c r="C272" s="11" t="s">
        <v>208</v>
      </c>
      <c r="E272" s="11"/>
      <c r="F272" s="144">
        <v>45</v>
      </c>
      <c r="G272" s="11" t="s">
        <v>161</v>
      </c>
      <c r="H272" s="1"/>
      <c r="I272" s="1"/>
      <c r="J272" s="1"/>
      <c r="K272" s="1"/>
      <c r="L272" s="1"/>
      <c r="M272" s="21">
        <f t="shared" si="3"/>
        <v>45</v>
      </c>
    </row>
    <row r="273" spans="1:13" ht="14.25">
      <c r="A273" s="11">
        <v>273</v>
      </c>
      <c r="B273" s="16" t="s">
        <v>5</v>
      </c>
      <c r="C273" s="11" t="s">
        <v>208</v>
      </c>
      <c r="E273" s="11"/>
      <c r="F273" s="144">
        <v>35</v>
      </c>
      <c r="G273" s="11" t="s">
        <v>161</v>
      </c>
      <c r="H273" s="1"/>
      <c r="I273" s="1"/>
      <c r="J273" s="1"/>
      <c r="K273" s="1"/>
      <c r="L273" s="1"/>
      <c r="M273" s="21">
        <f t="shared" si="3"/>
        <v>35</v>
      </c>
    </row>
    <row r="274" spans="1:13" ht="14.25">
      <c r="A274" s="11">
        <v>274</v>
      </c>
      <c r="B274" s="16" t="s">
        <v>441</v>
      </c>
      <c r="C274" s="11" t="s">
        <v>213</v>
      </c>
      <c r="E274" s="11"/>
      <c r="F274" s="144">
        <v>135</v>
      </c>
      <c r="G274" s="11" t="s">
        <v>142</v>
      </c>
      <c r="H274" s="1"/>
      <c r="I274" s="1"/>
      <c r="J274" s="1"/>
      <c r="K274" s="1"/>
      <c r="L274" s="1"/>
      <c r="M274" s="21">
        <f t="shared" si="3"/>
        <v>0.13500000000000001</v>
      </c>
    </row>
    <row r="275" spans="1:13" ht="14.25">
      <c r="A275" s="11">
        <v>275</v>
      </c>
      <c r="B275" s="16" t="s">
        <v>262</v>
      </c>
      <c r="C275" s="11" t="s">
        <v>213</v>
      </c>
      <c r="E275" s="11"/>
      <c r="F275" s="144">
        <v>135</v>
      </c>
      <c r="G275" s="11" t="s">
        <v>142</v>
      </c>
      <c r="H275" s="1"/>
      <c r="I275" s="1"/>
      <c r="J275" s="1"/>
      <c r="K275" s="1"/>
      <c r="L275" s="1"/>
      <c r="M275" s="21">
        <f t="shared" si="3"/>
        <v>0.13500000000000001</v>
      </c>
    </row>
    <row r="276" spans="1:13" ht="14.25">
      <c r="A276" s="11">
        <v>276</v>
      </c>
      <c r="B276" s="16" t="s">
        <v>263</v>
      </c>
      <c r="C276" s="11" t="s">
        <v>213</v>
      </c>
      <c r="E276" s="11"/>
      <c r="F276" s="144">
        <v>135</v>
      </c>
      <c r="G276" s="11" t="s">
        <v>142</v>
      </c>
      <c r="H276" s="1"/>
      <c r="I276" s="1"/>
      <c r="J276" s="1"/>
      <c r="K276" s="1"/>
      <c r="L276" s="1"/>
      <c r="M276" s="21">
        <f t="shared" si="3"/>
        <v>0.13500000000000001</v>
      </c>
    </row>
    <row r="277" spans="1:13" ht="12.75">
      <c r="A277" s="11">
        <v>277</v>
      </c>
      <c r="B277" s="13" t="s">
        <v>442</v>
      </c>
      <c r="C277" s="11" t="s">
        <v>213</v>
      </c>
      <c r="E277" s="11"/>
      <c r="F277" s="144">
        <v>0</v>
      </c>
      <c r="G277" s="11" t="s">
        <v>142</v>
      </c>
      <c r="H277" s="1"/>
      <c r="I277" s="1"/>
      <c r="J277" s="1"/>
      <c r="K277" s="1"/>
      <c r="L277" s="1"/>
      <c r="M277" s="21">
        <f t="shared" si="3"/>
        <v>0</v>
      </c>
    </row>
    <row r="278" spans="1:13" ht="14.25">
      <c r="A278" s="11">
        <v>278</v>
      </c>
      <c r="B278" s="16" t="s">
        <v>443</v>
      </c>
      <c r="C278" s="11" t="s">
        <v>208</v>
      </c>
      <c r="E278" s="11"/>
      <c r="F278" s="162"/>
      <c r="G278" s="11" t="s">
        <v>161</v>
      </c>
      <c r="H278" s="1"/>
      <c r="I278" s="1"/>
      <c r="J278" s="1"/>
      <c r="K278" s="1"/>
      <c r="L278" s="1"/>
      <c r="M278" s="20">
        <f t="shared" si="3"/>
        <v>0</v>
      </c>
    </row>
    <row r="279" spans="1:13" ht="14.25">
      <c r="A279" s="11">
        <v>279</v>
      </c>
      <c r="B279" s="16" t="s">
        <v>444</v>
      </c>
      <c r="C279" s="11" t="s">
        <v>208</v>
      </c>
      <c r="E279" s="11"/>
      <c r="F279" s="162"/>
      <c r="G279" s="11" t="s">
        <v>161</v>
      </c>
      <c r="H279" s="1"/>
      <c r="I279" s="1"/>
      <c r="J279" s="1"/>
      <c r="K279" s="1"/>
      <c r="L279" s="1"/>
      <c r="M279" s="20">
        <f t="shared" si="3"/>
        <v>0</v>
      </c>
    </row>
    <row r="280" spans="1:13" ht="14.25">
      <c r="A280" s="11">
        <v>280</v>
      </c>
      <c r="B280" s="16" t="s">
        <v>445</v>
      </c>
      <c r="C280" s="11" t="s">
        <v>208</v>
      </c>
      <c r="E280" s="11"/>
      <c r="F280" s="162"/>
      <c r="G280" s="11" t="s">
        <v>161</v>
      </c>
      <c r="H280" s="1"/>
      <c r="I280" s="1"/>
      <c r="J280" s="1"/>
      <c r="K280" s="1"/>
      <c r="L280" s="1"/>
      <c r="M280" s="20">
        <f t="shared" si="3"/>
        <v>0</v>
      </c>
    </row>
    <row r="281" spans="1:13" ht="12.75">
      <c r="A281" s="11">
        <v>281</v>
      </c>
      <c r="B281" s="13" t="s">
        <v>446</v>
      </c>
      <c r="C281" s="11" t="s">
        <v>208</v>
      </c>
      <c r="E281" s="11"/>
      <c r="F281" s="162"/>
      <c r="G281" s="11" t="s">
        <v>161</v>
      </c>
      <c r="H281" s="1"/>
      <c r="I281" s="1"/>
      <c r="J281" s="1"/>
      <c r="K281" s="1"/>
      <c r="L281" s="1"/>
      <c r="M281" s="20">
        <f t="shared" si="3"/>
        <v>0</v>
      </c>
    </row>
    <row r="282" spans="1:13" ht="14.25">
      <c r="A282" s="11">
        <v>282</v>
      </c>
      <c r="B282" s="16" t="s">
        <v>264</v>
      </c>
      <c r="C282" s="11" t="s">
        <v>208</v>
      </c>
      <c r="E282" s="11"/>
      <c r="F282" s="162"/>
      <c r="G282" s="11" t="s">
        <v>161</v>
      </c>
      <c r="H282" s="1"/>
      <c r="I282" s="1"/>
      <c r="J282" s="1"/>
      <c r="K282" s="1"/>
      <c r="L282" s="1"/>
      <c r="M282" s="20">
        <f t="shared" si="3"/>
        <v>0</v>
      </c>
    </row>
    <row r="283" spans="1:13" ht="14.25">
      <c r="A283" s="11">
        <v>283</v>
      </c>
      <c r="B283" s="16" t="s">
        <v>447</v>
      </c>
      <c r="C283" s="11" t="s">
        <v>208</v>
      </c>
      <c r="E283" s="11"/>
      <c r="F283" s="162"/>
      <c r="G283" s="11" t="s">
        <v>161</v>
      </c>
      <c r="H283" s="1"/>
      <c r="I283" s="1"/>
      <c r="J283" s="1"/>
      <c r="K283" s="1"/>
      <c r="L283" s="1"/>
      <c r="M283" s="20">
        <f t="shared" si="3"/>
        <v>0</v>
      </c>
    </row>
    <row r="284" spans="1:13" ht="14.25">
      <c r="A284" s="11">
        <v>284</v>
      </c>
      <c r="B284" s="16" t="s">
        <v>448</v>
      </c>
      <c r="C284" s="11" t="s">
        <v>208</v>
      </c>
      <c r="E284" s="11"/>
      <c r="F284" s="162"/>
      <c r="G284" s="11" t="s">
        <v>161</v>
      </c>
      <c r="H284" s="1"/>
      <c r="I284" s="1"/>
      <c r="J284" s="1"/>
      <c r="K284" s="1"/>
      <c r="L284" s="1"/>
      <c r="M284" s="20">
        <f t="shared" si="3"/>
        <v>0</v>
      </c>
    </row>
    <row r="285" spans="1:13" ht="14.25">
      <c r="A285" s="11">
        <v>285</v>
      </c>
      <c r="B285" s="16" t="s">
        <v>449</v>
      </c>
      <c r="C285" s="11" t="s">
        <v>208</v>
      </c>
      <c r="E285" s="11"/>
      <c r="F285" s="162"/>
      <c r="G285" s="11" t="s">
        <v>161</v>
      </c>
      <c r="H285" s="1"/>
      <c r="I285" s="1"/>
      <c r="J285" s="1"/>
      <c r="K285" s="1"/>
      <c r="L285" s="1"/>
      <c r="M285" s="20">
        <f t="shared" si="3"/>
        <v>0</v>
      </c>
    </row>
    <row r="286" spans="1:13" ht="14.25">
      <c r="A286" s="11">
        <v>286</v>
      </c>
      <c r="B286" s="16" t="s">
        <v>450</v>
      </c>
      <c r="C286" s="11" t="s">
        <v>208</v>
      </c>
      <c r="E286" s="11"/>
      <c r="F286" s="162"/>
      <c r="G286" s="11" t="s">
        <v>161</v>
      </c>
      <c r="H286" s="1"/>
      <c r="I286" s="1"/>
      <c r="J286" s="1"/>
      <c r="K286" s="1"/>
      <c r="L286" s="1"/>
      <c r="M286" s="20">
        <f t="shared" si="3"/>
        <v>0</v>
      </c>
    </row>
    <row r="287" spans="1:13" ht="14.25">
      <c r="A287" s="11">
        <v>287</v>
      </c>
      <c r="B287" s="16" t="s">
        <v>451</v>
      </c>
      <c r="C287" s="11" t="s">
        <v>208</v>
      </c>
      <c r="E287" s="11"/>
      <c r="F287" s="162"/>
      <c r="G287" s="11" t="s">
        <v>161</v>
      </c>
      <c r="H287" s="1"/>
      <c r="I287" s="1"/>
      <c r="J287" s="1"/>
      <c r="K287" s="1"/>
      <c r="L287" s="1"/>
      <c r="M287" s="20">
        <f t="shared" si="3"/>
        <v>0</v>
      </c>
    </row>
    <row r="288" spans="1:13" ht="14.25">
      <c r="A288" s="11">
        <v>288</v>
      </c>
      <c r="B288" s="16" t="s">
        <v>452</v>
      </c>
      <c r="C288" s="11" t="s">
        <v>208</v>
      </c>
      <c r="E288" s="11"/>
      <c r="F288" s="162"/>
      <c r="G288" s="11" t="s">
        <v>161</v>
      </c>
      <c r="H288" s="1"/>
      <c r="I288" s="1"/>
      <c r="J288" s="1"/>
      <c r="K288" s="1"/>
      <c r="L288" s="1"/>
      <c r="M288" s="20">
        <f t="shared" si="3"/>
        <v>0</v>
      </c>
    </row>
    <row r="289" spans="1:13" ht="14.25">
      <c r="A289" s="11">
        <v>289</v>
      </c>
      <c r="B289" s="16" t="s">
        <v>453</v>
      </c>
      <c r="C289" s="11" t="s">
        <v>208</v>
      </c>
      <c r="E289" s="11"/>
      <c r="F289" s="162"/>
      <c r="G289" s="11" t="s">
        <v>161</v>
      </c>
      <c r="H289" s="1"/>
      <c r="I289" s="1"/>
      <c r="J289" s="1"/>
      <c r="K289" s="1"/>
      <c r="L289" s="1"/>
      <c r="M289" s="20">
        <f t="shared" si="3"/>
        <v>0</v>
      </c>
    </row>
    <row r="290" spans="1:13" ht="14.25">
      <c r="A290" s="11">
        <v>290</v>
      </c>
      <c r="B290" s="16" t="s">
        <v>454</v>
      </c>
      <c r="C290" s="11" t="s">
        <v>208</v>
      </c>
      <c r="E290" s="11"/>
      <c r="F290" s="162"/>
      <c r="G290" s="11" t="s">
        <v>161</v>
      </c>
      <c r="H290" s="1"/>
      <c r="I290" s="1"/>
      <c r="J290" s="1"/>
      <c r="K290" s="1"/>
      <c r="L290" s="1"/>
      <c r="M290" s="20">
        <f t="shared" si="3"/>
        <v>0</v>
      </c>
    </row>
    <row r="291" spans="1:13" ht="14.25">
      <c r="A291" s="11">
        <v>291</v>
      </c>
      <c r="B291" s="16" t="s">
        <v>455</v>
      </c>
      <c r="C291" s="11" t="s">
        <v>208</v>
      </c>
      <c r="E291" s="11"/>
      <c r="F291" s="162"/>
      <c r="G291" s="11" t="s">
        <v>161</v>
      </c>
      <c r="H291" s="1"/>
      <c r="I291" s="1"/>
      <c r="J291" s="1"/>
      <c r="K291" s="1"/>
      <c r="L291" s="1"/>
      <c r="M291" s="20">
        <f t="shared" si="3"/>
        <v>0</v>
      </c>
    </row>
    <row r="292" spans="1:13" ht="14.25">
      <c r="A292" s="11">
        <v>292</v>
      </c>
      <c r="B292" s="16" t="s">
        <v>456</v>
      </c>
      <c r="C292" s="11" t="s">
        <v>208</v>
      </c>
      <c r="E292" s="11"/>
      <c r="F292" s="162"/>
      <c r="G292" s="11" t="s">
        <v>161</v>
      </c>
      <c r="H292" s="1"/>
      <c r="I292" s="1"/>
      <c r="J292" s="1"/>
      <c r="K292" s="1"/>
      <c r="L292" s="1"/>
      <c r="M292" s="20">
        <f t="shared" si="3"/>
        <v>0</v>
      </c>
    </row>
    <row r="293" spans="1:13" ht="14.25">
      <c r="A293" s="11">
        <v>293</v>
      </c>
      <c r="B293" s="16" t="s">
        <v>457</v>
      </c>
      <c r="C293" s="11" t="s">
        <v>208</v>
      </c>
      <c r="E293" s="11"/>
      <c r="F293" s="162"/>
      <c r="G293" s="11" t="s">
        <v>161</v>
      </c>
      <c r="H293" s="1"/>
      <c r="I293" s="1"/>
      <c r="J293" s="1"/>
      <c r="K293" s="1"/>
      <c r="L293" s="1"/>
      <c r="M293" s="20">
        <f t="shared" si="3"/>
        <v>0</v>
      </c>
    </row>
    <row r="294" spans="1:13" ht="14.25">
      <c r="A294" s="11">
        <v>294</v>
      </c>
      <c r="B294" s="16" t="s">
        <v>458</v>
      </c>
      <c r="C294" s="11" t="s">
        <v>208</v>
      </c>
      <c r="E294" s="11"/>
      <c r="F294" s="162"/>
      <c r="G294" s="11" t="s">
        <v>161</v>
      </c>
      <c r="H294" s="1"/>
      <c r="I294" s="1"/>
      <c r="J294" s="1"/>
      <c r="K294" s="1"/>
      <c r="L294" s="1"/>
      <c r="M294" s="20">
        <f t="shared" si="3"/>
        <v>0</v>
      </c>
    </row>
    <row r="295" spans="1:13" ht="12.75">
      <c r="A295" s="11">
        <v>295</v>
      </c>
      <c r="B295" s="1" t="s">
        <v>459</v>
      </c>
      <c r="C295" s="11" t="s">
        <v>208</v>
      </c>
      <c r="E295" s="11"/>
      <c r="F295" s="162"/>
      <c r="G295" s="11" t="s">
        <v>161</v>
      </c>
      <c r="H295" s="1"/>
      <c r="I295" s="1"/>
      <c r="J295" s="1"/>
      <c r="K295" s="1"/>
      <c r="L295" s="1"/>
      <c r="M295" s="20">
        <f t="shared" si="3"/>
        <v>0</v>
      </c>
    </row>
    <row r="296" spans="1:13" ht="12.75">
      <c r="A296" s="11">
        <v>296</v>
      </c>
      <c r="B296" s="1" t="s">
        <v>460</v>
      </c>
      <c r="C296" s="11" t="s">
        <v>208</v>
      </c>
      <c r="E296" s="11"/>
      <c r="F296" s="162"/>
      <c r="G296" s="11" t="s">
        <v>161</v>
      </c>
      <c r="H296" s="1"/>
      <c r="I296" s="1"/>
      <c r="J296" s="1"/>
      <c r="K296" s="1"/>
      <c r="L296" s="1"/>
      <c r="M296" s="20">
        <f t="shared" si="3"/>
        <v>0</v>
      </c>
    </row>
    <row r="297" spans="1:13" ht="12.75">
      <c r="A297" s="11">
        <v>297</v>
      </c>
      <c r="B297" s="1" t="s">
        <v>461</v>
      </c>
      <c r="C297" s="11" t="s">
        <v>208</v>
      </c>
      <c r="E297" s="11"/>
      <c r="F297" s="162"/>
      <c r="G297" s="11" t="s">
        <v>161</v>
      </c>
      <c r="H297" s="1"/>
      <c r="I297" s="1"/>
      <c r="J297" s="1"/>
      <c r="K297" s="1"/>
      <c r="L297" s="1"/>
      <c r="M297" s="20">
        <f t="shared" si="3"/>
        <v>0</v>
      </c>
    </row>
    <row r="298" spans="1:13" ht="14.25">
      <c r="A298" s="11">
        <v>298</v>
      </c>
      <c r="B298" s="16" t="s">
        <v>265</v>
      </c>
      <c r="C298" s="11" t="s">
        <v>208</v>
      </c>
      <c r="E298" s="11"/>
      <c r="F298" s="162"/>
      <c r="G298" s="11" t="s">
        <v>161</v>
      </c>
      <c r="H298" s="1"/>
      <c r="I298" s="1"/>
      <c r="J298" s="1"/>
      <c r="K298" s="1"/>
      <c r="L298" s="1"/>
      <c r="M298" s="20">
        <f t="shared" si="3"/>
        <v>0</v>
      </c>
    </row>
    <row r="299" spans="1:13" ht="14.25">
      <c r="A299" s="11">
        <v>299</v>
      </c>
      <c r="B299" s="16" t="s">
        <v>462</v>
      </c>
      <c r="C299" s="11" t="s">
        <v>208</v>
      </c>
      <c r="E299" s="11"/>
      <c r="F299" s="162"/>
      <c r="G299" s="11" t="s">
        <v>161</v>
      </c>
      <c r="H299" s="1"/>
      <c r="I299" s="1"/>
      <c r="J299" s="1"/>
      <c r="K299" s="1"/>
      <c r="L299" s="1"/>
      <c r="M299" s="20">
        <f t="shared" si="3"/>
        <v>0</v>
      </c>
    </row>
    <row r="300" spans="1:13" ht="14.25">
      <c r="A300" s="11">
        <v>300</v>
      </c>
      <c r="B300" s="16" t="s">
        <v>463</v>
      </c>
      <c r="C300" s="11" t="s">
        <v>208</v>
      </c>
      <c r="E300" s="11"/>
      <c r="F300" s="162"/>
      <c r="G300" s="11" t="s">
        <v>161</v>
      </c>
      <c r="H300" s="1"/>
      <c r="I300" s="1"/>
      <c r="J300" s="1"/>
      <c r="K300" s="1"/>
      <c r="L300" s="1"/>
      <c r="M300" s="20">
        <f t="shared" si="3"/>
        <v>0</v>
      </c>
    </row>
    <row r="301" spans="1:13" ht="14.25">
      <c r="A301" s="11">
        <v>301</v>
      </c>
      <c r="B301" s="16" t="s">
        <v>464</v>
      </c>
      <c r="C301" s="11" t="s">
        <v>208</v>
      </c>
      <c r="E301" s="11"/>
      <c r="F301" s="162"/>
      <c r="G301" s="11" t="s">
        <v>161</v>
      </c>
      <c r="H301" s="1"/>
      <c r="I301" s="1"/>
      <c r="J301" s="1"/>
      <c r="K301" s="1"/>
      <c r="L301" s="1"/>
      <c r="M301" s="20">
        <f t="shared" si="3"/>
        <v>0</v>
      </c>
    </row>
    <row r="302" spans="1:13" ht="14.25">
      <c r="A302" s="11">
        <v>302</v>
      </c>
      <c r="B302" s="16" t="s">
        <v>465</v>
      </c>
      <c r="C302" s="11" t="s">
        <v>208</v>
      </c>
      <c r="E302" s="11"/>
      <c r="F302" s="162"/>
      <c r="G302" s="11" t="s">
        <v>161</v>
      </c>
      <c r="H302" s="1"/>
      <c r="I302" s="1"/>
      <c r="J302" s="1"/>
      <c r="K302" s="1"/>
      <c r="L302" s="1"/>
      <c r="M302" s="20">
        <f t="shared" si="3"/>
        <v>0</v>
      </c>
    </row>
    <row r="303" spans="1:13" ht="14.25">
      <c r="A303" s="11">
        <v>303</v>
      </c>
      <c r="B303" s="16" t="s">
        <v>466</v>
      </c>
      <c r="C303" s="11" t="s">
        <v>208</v>
      </c>
      <c r="E303" s="11"/>
      <c r="F303" s="162"/>
      <c r="G303" s="11" t="s">
        <v>161</v>
      </c>
      <c r="H303" s="1"/>
      <c r="I303" s="1"/>
      <c r="J303" s="1"/>
      <c r="K303" s="1"/>
      <c r="L303" s="1"/>
      <c r="M303" s="20">
        <f t="shared" si="3"/>
        <v>0</v>
      </c>
    </row>
    <row r="304" spans="1:13" ht="14.25">
      <c r="A304" s="11">
        <v>304</v>
      </c>
      <c r="B304" s="16" t="s">
        <v>467</v>
      </c>
      <c r="C304" s="11" t="s">
        <v>208</v>
      </c>
      <c r="E304" s="11"/>
      <c r="F304" s="162"/>
      <c r="G304" s="11" t="s">
        <v>161</v>
      </c>
      <c r="H304" s="1"/>
      <c r="I304" s="1"/>
      <c r="J304" s="1"/>
      <c r="K304" s="1"/>
      <c r="L304" s="1"/>
      <c r="M304" s="20">
        <f t="shared" si="3"/>
        <v>0</v>
      </c>
    </row>
    <row r="305" spans="1:13" ht="14.25">
      <c r="A305" s="11">
        <v>305</v>
      </c>
      <c r="B305" s="16" t="s">
        <v>266</v>
      </c>
      <c r="C305" s="11" t="s">
        <v>208</v>
      </c>
      <c r="E305" s="11"/>
      <c r="F305" s="162"/>
      <c r="G305" s="11" t="s">
        <v>161</v>
      </c>
      <c r="H305" s="1"/>
      <c r="I305" s="1"/>
      <c r="J305" s="1"/>
      <c r="K305" s="1"/>
      <c r="L305" s="1"/>
      <c r="M305" s="20">
        <f t="shared" si="3"/>
        <v>0</v>
      </c>
    </row>
    <row r="306" spans="1:13" ht="14.25">
      <c r="A306" s="11">
        <v>306</v>
      </c>
      <c r="B306" s="16" t="s">
        <v>468</v>
      </c>
      <c r="C306" s="11" t="s">
        <v>208</v>
      </c>
      <c r="E306" s="1"/>
      <c r="F306" s="162"/>
      <c r="G306" s="11" t="s">
        <v>161</v>
      </c>
      <c r="H306" s="1"/>
      <c r="I306" s="1"/>
      <c r="J306" s="1"/>
      <c r="K306" s="1"/>
      <c r="L306" s="1"/>
      <c r="M306" s="20">
        <f t="shared" si="3"/>
        <v>0</v>
      </c>
    </row>
    <row r="307" spans="1:13" ht="14.25">
      <c r="A307" s="11">
        <v>307</v>
      </c>
      <c r="B307" s="16" t="s">
        <v>469</v>
      </c>
      <c r="C307" s="11" t="s">
        <v>208</v>
      </c>
      <c r="E307" s="11"/>
      <c r="F307" s="162"/>
      <c r="G307" s="11" t="s">
        <v>161</v>
      </c>
      <c r="H307" s="1"/>
      <c r="I307" s="1"/>
      <c r="J307" s="1"/>
      <c r="K307" s="1"/>
      <c r="L307" s="1"/>
      <c r="M307" s="20">
        <f t="shared" si="3"/>
        <v>0</v>
      </c>
    </row>
    <row r="308" spans="1:13" ht="14.25">
      <c r="A308" s="11">
        <v>308</v>
      </c>
      <c r="B308" s="16" t="s">
        <v>470</v>
      </c>
      <c r="C308" s="11" t="s">
        <v>208</v>
      </c>
      <c r="E308" s="11"/>
      <c r="F308" s="162"/>
      <c r="G308" s="11" t="s">
        <v>161</v>
      </c>
      <c r="H308" s="1"/>
      <c r="I308" s="1"/>
      <c r="J308" s="1"/>
      <c r="K308" s="1"/>
      <c r="L308" s="1"/>
      <c r="M308" s="20">
        <f t="shared" si="3"/>
        <v>0</v>
      </c>
    </row>
    <row r="309" spans="1:13" ht="14.25">
      <c r="A309" s="11">
        <v>309</v>
      </c>
      <c r="B309" s="16" t="s">
        <v>267</v>
      </c>
      <c r="C309" s="11" t="s">
        <v>208</v>
      </c>
      <c r="E309" s="11"/>
      <c r="F309" s="162"/>
      <c r="G309" s="11" t="s">
        <v>161</v>
      </c>
      <c r="H309" s="1"/>
      <c r="I309" s="1"/>
      <c r="J309" s="1"/>
      <c r="K309" s="1"/>
      <c r="L309" s="1"/>
      <c r="M309" s="20">
        <f t="shared" si="3"/>
        <v>0</v>
      </c>
    </row>
    <row r="310" spans="1:13" ht="14.25">
      <c r="A310" s="11">
        <v>310</v>
      </c>
      <c r="B310" s="16" t="s">
        <v>471</v>
      </c>
      <c r="C310" s="11" t="s">
        <v>208</v>
      </c>
      <c r="E310" s="11"/>
      <c r="F310" s="162"/>
      <c r="G310" s="11" t="s">
        <v>161</v>
      </c>
      <c r="H310" s="1"/>
      <c r="I310" s="1"/>
      <c r="J310" s="1"/>
      <c r="K310" s="1"/>
      <c r="L310" s="1"/>
      <c r="M310" s="20">
        <f t="shared" si="3"/>
        <v>0</v>
      </c>
    </row>
    <row r="311" spans="1:13" ht="14.25">
      <c r="A311" s="11">
        <v>311</v>
      </c>
      <c r="B311" s="16" t="s">
        <v>472</v>
      </c>
      <c r="C311" s="11" t="s">
        <v>208</v>
      </c>
      <c r="E311" s="11"/>
      <c r="F311" s="144">
        <v>320</v>
      </c>
      <c r="G311" s="11" t="s">
        <v>161</v>
      </c>
      <c r="H311" s="1"/>
      <c r="I311" s="1"/>
      <c r="J311" s="1"/>
      <c r="K311" s="1"/>
      <c r="L311" s="1"/>
      <c r="M311" s="21">
        <f t="shared" si="3"/>
        <v>320</v>
      </c>
    </row>
    <row r="312" spans="1:13" ht="14.25">
      <c r="A312" s="11">
        <v>312</v>
      </c>
      <c r="B312" s="16" t="s">
        <v>473</v>
      </c>
      <c r="C312" s="11" t="s">
        <v>208</v>
      </c>
      <c r="E312" s="11"/>
      <c r="F312" s="144">
        <v>1856</v>
      </c>
      <c r="G312" s="11" t="s">
        <v>161</v>
      </c>
      <c r="H312" s="1"/>
      <c r="I312" s="1"/>
      <c r="J312" s="1"/>
      <c r="K312" s="1"/>
      <c r="L312" s="1"/>
      <c r="M312" s="21">
        <f t="shared" si="3"/>
        <v>1856</v>
      </c>
    </row>
    <row r="313" spans="1:13" ht="14.25">
      <c r="A313" s="11">
        <v>313</v>
      </c>
      <c r="B313" s="16" t="s">
        <v>474</v>
      </c>
      <c r="C313" s="11" t="s">
        <v>208</v>
      </c>
      <c r="E313" s="11"/>
      <c r="F313" s="162"/>
      <c r="G313" s="11" t="s">
        <v>161</v>
      </c>
      <c r="H313" s="1"/>
      <c r="I313" s="1"/>
      <c r="J313" s="1"/>
      <c r="K313" s="1"/>
      <c r="L313" s="1"/>
      <c r="M313" s="20">
        <f t="shared" si="3"/>
        <v>0</v>
      </c>
    </row>
    <row r="314" spans="1:13" ht="14.25">
      <c r="A314" s="11">
        <v>314</v>
      </c>
      <c r="B314" s="16" t="s">
        <v>475</v>
      </c>
      <c r="C314" s="11" t="s">
        <v>208</v>
      </c>
      <c r="E314" s="11"/>
      <c r="F314" s="162"/>
      <c r="G314" s="11" t="s">
        <v>161</v>
      </c>
      <c r="H314" s="1"/>
      <c r="I314" s="1"/>
      <c r="J314" s="1"/>
      <c r="K314" s="1"/>
      <c r="L314" s="1"/>
      <c r="M314" s="20">
        <f t="shared" si="3"/>
        <v>0</v>
      </c>
    </row>
    <row r="315" spans="1:13" ht="14.25">
      <c r="A315" s="11">
        <v>315</v>
      </c>
      <c r="B315" s="16" t="s">
        <v>268</v>
      </c>
      <c r="C315" s="11" t="s">
        <v>208</v>
      </c>
      <c r="E315" s="11"/>
      <c r="F315" s="162"/>
      <c r="G315" s="11" t="s">
        <v>161</v>
      </c>
      <c r="H315" s="1"/>
      <c r="I315" s="1"/>
      <c r="J315" s="1"/>
      <c r="K315" s="1"/>
      <c r="L315" s="1"/>
      <c r="M315" s="20">
        <f t="shared" si="3"/>
        <v>0</v>
      </c>
    </row>
    <row r="316" spans="1:13" ht="14.25">
      <c r="A316" s="11">
        <v>316</v>
      </c>
      <c r="B316" s="16" t="s">
        <v>269</v>
      </c>
      <c r="C316" s="11" t="s">
        <v>208</v>
      </c>
      <c r="E316" s="11"/>
      <c r="F316" s="162"/>
      <c r="G316" s="11" t="s">
        <v>161</v>
      </c>
      <c r="H316" s="1"/>
      <c r="I316" s="1"/>
      <c r="J316" s="1"/>
      <c r="K316" s="1"/>
      <c r="L316" s="1"/>
      <c r="M316" s="20">
        <f t="shared" si="3"/>
        <v>0</v>
      </c>
    </row>
    <row r="317" spans="1:13" ht="14.25">
      <c r="A317" s="11">
        <v>317</v>
      </c>
      <c r="B317" s="16" t="s">
        <v>476</v>
      </c>
      <c r="C317" s="11" t="s">
        <v>208</v>
      </c>
      <c r="E317" s="11"/>
      <c r="F317" s="162"/>
      <c r="G317" s="11" t="s">
        <v>161</v>
      </c>
      <c r="H317" s="1"/>
      <c r="I317" s="1"/>
      <c r="J317" s="1"/>
      <c r="K317" s="1"/>
      <c r="L317" s="1"/>
      <c r="M317" s="20">
        <f t="shared" si="3"/>
        <v>0</v>
      </c>
    </row>
    <row r="318" spans="1:13" ht="14.25">
      <c r="A318" s="11">
        <v>318</v>
      </c>
      <c r="B318" s="16" t="s">
        <v>477</v>
      </c>
      <c r="C318" s="11" t="s">
        <v>208</v>
      </c>
      <c r="E318" s="11"/>
      <c r="F318" s="162"/>
      <c r="G318" s="11" t="s">
        <v>161</v>
      </c>
      <c r="H318" s="1"/>
      <c r="I318" s="1"/>
      <c r="J318" s="1"/>
      <c r="K318" s="1"/>
      <c r="L318" s="1"/>
      <c r="M318" s="20">
        <f t="shared" si="3"/>
        <v>0</v>
      </c>
    </row>
    <row r="319" spans="1:13" ht="14.25">
      <c r="A319" s="11">
        <v>319</v>
      </c>
      <c r="B319" s="16" t="s">
        <v>270</v>
      </c>
      <c r="C319" s="11" t="s">
        <v>208</v>
      </c>
      <c r="E319" s="11"/>
      <c r="F319" s="162"/>
      <c r="G319" s="11" t="s">
        <v>161</v>
      </c>
      <c r="H319" s="1"/>
      <c r="I319" s="1"/>
      <c r="J319" s="1"/>
      <c r="K319" s="1"/>
      <c r="L319" s="1"/>
      <c r="M319" s="20">
        <f t="shared" si="3"/>
        <v>0</v>
      </c>
    </row>
    <row r="320" spans="1:13" ht="14.25">
      <c r="A320" s="11">
        <v>320</v>
      </c>
      <c r="B320" s="16" t="s">
        <v>271</v>
      </c>
      <c r="C320" s="11" t="s">
        <v>208</v>
      </c>
      <c r="E320" s="11"/>
      <c r="F320" s="162"/>
      <c r="G320" s="11" t="s">
        <v>161</v>
      </c>
      <c r="H320" s="1"/>
      <c r="I320" s="1"/>
      <c r="J320" s="1"/>
      <c r="K320" s="1"/>
      <c r="L320" s="1"/>
      <c r="M320" s="20">
        <f t="shared" si="3"/>
        <v>0</v>
      </c>
    </row>
    <row r="321" spans="1:13" ht="14.25">
      <c r="A321" s="11">
        <v>321</v>
      </c>
      <c r="B321" s="16" t="s">
        <v>272</v>
      </c>
      <c r="C321" s="11" t="s">
        <v>208</v>
      </c>
      <c r="E321" s="11"/>
      <c r="F321" s="162"/>
      <c r="G321" s="11" t="s">
        <v>161</v>
      </c>
      <c r="H321" s="1"/>
      <c r="I321" s="1"/>
      <c r="J321" s="1"/>
      <c r="K321" s="1"/>
      <c r="L321" s="1"/>
      <c r="M321" s="20">
        <f t="shared" si="3"/>
        <v>0</v>
      </c>
    </row>
    <row r="322" spans="1:13" ht="14.25">
      <c r="A322" s="11">
        <v>322</v>
      </c>
      <c r="B322" s="16" t="s">
        <v>273</v>
      </c>
      <c r="C322" s="11" t="s">
        <v>208</v>
      </c>
      <c r="E322" s="11"/>
      <c r="F322" s="162"/>
      <c r="G322" s="11" t="s">
        <v>161</v>
      </c>
      <c r="H322" s="1"/>
      <c r="I322" s="1"/>
      <c r="J322" s="1"/>
      <c r="K322" s="1"/>
      <c r="L322" s="1"/>
      <c r="M322" s="20">
        <f t="shared" si="3"/>
        <v>0</v>
      </c>
    </row>
    <row r="323" spans="1:13" ht="14.25">
      <c r="A323" s="11">
        <v>323</v>
      </c>
      <c r="B323" s="16" t="s">
        <v>478</v>
      </c>
      <c r="C323" s="11" t="s">
        <v>208</v>
      </c>
      <c r="E323" s="11"/>
      <c r="F323" s="162"/>
      <c r="G323" s="11" t="s">
        <v>161</v>
      </c>
      <c r="H323" s="1"/>
      <c r="I323" s="1"/>
      <c r="J323" s="1"/>
      <c r="K323" s="1"/>
      <c r="L323" s="1"/>
      <c r="M323" s="20">
        <f t="shared" si="3"/>
        <v>0</v>
      </c>
    </row>
    <row r="324" spans="1:13" ht="14.25">
      <c r="A324" s="11">
        <v>324</v>
      </c>
      <c r="B324" s="16" t="s">
        <v>479</v>
      </c>
      <c r="C324" s="11" t="s">
        <v>208</v>
      </c>
      <c r="E324" s="11"/>
      <c r="F324" s="162"/>
      <c r="G324" s="11" t="s">
        <v>161</v>
      </c>
      <c r="H324" s="1"/>
      <c r="I324" s="1"/>
      <c r="J324" s="1"/>
      <c r="K324" s="1"/>
      <c r="L324" s="1"/>
      <c r="M324" s="20">
        <f t="shared" si="3"/>
        <v>0</v>
      </c>
    </row>
    <row r="325" spans="1:13" ht="14.25">
      <c r="A325" s="11">
        <v>325</v>
      </c>
      <c r="B325" s="16" t="s">
        <v>274</v>
      </c>
      <c r="C325" s="11" t="s">
        <v>208</v>
      </c>
      <c r="E325" s="11"/>
      <c r="F325" s="162"/>
      <c r="G325" s="11" t="s">
        <v>161</v>
      </c>
      <c r="H325" s="1"/>
      <c r="I325" s="1"/>
      <c r="J325" s="1"/>
      <c r="K325" s="1"/>
      <c r="L325" s="1"/>
      <c r="M325" s="20">
        <f t="shared" si="3"/>
        <v>0</v>
      </c>
    </row>
    <row r="326" spans="1:13" ht="14.25">
      <c r="A326" s="11">
        <v>326</v>
      </c>
      <c r="B326" s="16" t="s">
        <v>275</v>
      </c>
      <c r="C326" s="11" t="s">
        <v>208</v>
      </c>
      <c r="E326" s="11"/>
      <c r="F326" s="162"/>
      <c r="G326" s="11" t="s">
        <v>161</v>
      </c>
      <c r="H326" s="1"/>
      <c r="I326" s="1"/>
      <c r="J326" s="1"/>
      <c r="K326" s="1"/>
      <c r="L326" s="1"/>
      <c r="M326" s="20">
        <f t="shared" si="3"/>
        <v>0</v>
      </c>
    </row>
    <row r="327" spans="1:13" ht="14.25">
      <c r="A327" s="11">
        <v>327</v>
      </c>
      <c r="B327" s="19" t="s">
        <v>480</v>
      </c>
      <c r="C327" s="11" t="s">
        <v>208</v>
      </c>
      <c r="E327" s="11"/>
      <c r="F327" s="144">
        <v>52</v>
      </c>
      <c r="G327" s="11" t="s">
        <v>142</v>
      </c>
      <c r="H327" s="1"/>
      <c r="I327" s="1"/>
      <c r="J327" s="1"/>
      <c r="K327" s="1"/>
      <c r="L327" s="1"/>
      <c r="M327" s="21">
        <f t="shared" si="3"/>
        <v>5.1999999999999998E-2</v>
      </c>
    </row>
    <row r="328" spans="1:13" ht="14.25">
      <c r="A328" s="11">
        <v>328</v>
      </c>
      <c r="B328" s="19" t="s">
        <v>481</v>
      </c>
      <c r="C328" s="11" t="s">
        <v>208</v>
      </c>
      <c r="E328" s="11"/>
      <c r="F328" s="162"/>
      <c r="G328" s="11" t="s">
        <v>142</v>
      </c>
      <c r="H328" s="1"/>
      <c r="I328" s="1"/>
      <c r="J328" s="1"/>
      <c r="K328" s="1"/>
      <c r="L328" s="1"/>
      <c r="M328" s="21">
        <f t="shared" si="3"/>
        <v>0</v>
      </c>
    </row>
    <row r="329" spans="1:13" ht="14.25">
      <c r="A329" s="11">
        <v>329</v>
      </c>
      <c r="B329" s="19" t="s">
        <v>482</v>
      </c>
      <c r="C329" s="11" t="s">
        <v>208</v>
      </c>
      <c r="E329" s="1"/>
      <c r="F329" s="162"/>
      <c r="G329" s="11" t="s">
        <v>220</v>
      </c>
      <c r="H329" s="1"/>
      <c r="I329" s="1"/>
      <c r="J329" s="1"/>
      <c r="K329" s="1"/>
      <c r="L329" s="1"/>
      <c r="M329" s="21">
        <f t="shared" si="3"/>
        <v>0</v>
      </c>
    </row>
    <row r="330" spans="1:13" ht="15">
      <c r="A330" s="11">
        <v>330</v>
      </c>
      <c r="B330" s="19" t="s">
        <v>483</v>
      </c>
      <c r="C330" s="11" t="s">
        <v>208</v>
      </c>
      <c r="E330" s="1"/>
      <c r="F330" s="163">
        <v>30.4</v>
      </c>
      <c r="G330" s="11" t="s">
        <v>220</v>
      </c>
      <c r="H330" s="1"/>
      <c r="I330" s="1"/>
      <c r="J330" s="1"/>
      <c r="K330" s="1"/>
      <c r="L330" s="1"/>
      <c r="M330" s="21">
        <f t="shared" si="3"/>
        <v>3.04E-2</v>
      </c>
    </row>
    <row r="331" spans="1:13" ht="15">
      <c r="A331" s="11">
        <v>331</v>
      </c>
      <c r="B331" s="19" t="s">
        <v>484</v>
      </c>
      <c r="C331" s="11" t="s">
        <v>208</v>
      </c>
      <c r="E331" s="1"/>
      <c r="F331" s="163">
        <v>11</v>
      </c>
      <c r="G331" s="11" t="s">
        <v>220</v>
      </c>
      <c r="H331" s="1"/>
      <c r="I331" s="1"/>
      <c r="J331" s="1"/>
      <c r="K331" s="1"/>
      <c r="L331" s="1"/>
      <c r="M331" s="21">
        <f t="shared" si="3"/>
        <v>1.0999999999999999E-2</v>
      </c>
    </row>
    <row r="332" spans="1:13" ht="14.25">
      <c r="A332" s="11">
        <v>332</v>
      </c>
      <c r="B332" s="19" t="s">
        <v>485</v>
      </c>
      <c r="C332" s="11" t="s">
        <v>208</v>
      </c>
      <c r="E332" s="1"/>
      <c r="F332" s="162"/>
      <c r="G332" s="11" t="s">
        <v>220</v>
      </c>
      <c r="H332" s="1"/>
      <c r="I332" s="1"/>
      <c r="J332" s="1"/>
      <c r="K332" s="1"/>
      <c r="L332" s="1"/>
      <c r="M332" s="21">
        <f t="shared" si="3"/>
        <v>0</v>
      </c>
    </row>
    <row r="333" spans="1:13" ht="14.25">
      <c r="A333" s="11">
        <v>333</v>
      </c>
      <c r="B333" s="19" t="s">
        <v>486</v>
      </c>
      <c r="C333" s="11" t="s">
        <v>208</v>
      </c>
      <c r="E333" s="1"/>
      <c r="F333" s="162"/>
      <c r="G333" s="11" t="s">
        <v>161</v>
      </c>
      <c r="H333" s="1"/>
      <c r="I333" s="1"/>
      <c r="J333" s="1"/>
      <c r="K333" s="1"/>
      <c r="L333" s="1"/>
      <c r="M333" s="20">
        <f t="shared" si="3"/>
        <v>0</v>
      </c>
    </row>
    <row r="334" spans="1:13" ht="15">
      <c r="A334" s="11">
        <v>334</v>
      </c>
      <c r="B334" s="19" t="s">
        <v>487</v>
      </c>
      <c r="C334" s="11" t="s">
        <v>250</v>
      </c>
      <c r="E334" s="1"/>
      <c r="F334" s="163">
        <v>210</v>
      </c>
      <c r="G334" s="11" t="s">
        <v>220</v>
      </c>
      <c r="H334" s="1"/>
      <c r="I334" s="1"/>
      <c r="J334" s="1"/>
      <c r="K334" s="1"/>
      <c r="L334" s="1"/>
      <c r="M334" s="21">
        <f t="shared" si="3"/>
        <v>0.21</v>
      </c>
    </row>
    <row r="335" spans="1:13" ht="15">
      <c r="A335" s="11">
        <v>335</v>
      </c>
      <c r="B335" s="19" t="s">
        <v>488</v>
      </c>
      <c r="C335" s="11" t="s">
        <v>250</v>
      </c>
      <c r="E335" s="1"/>
      <c r="F335" s="163">
        <v>470</v>
      </c>
      <c r="G335" s="11" t="s">
        <v>220</v>
      </c>
      <c r="H335" s="1"/>
      <c r="I335" s="1"/>
      <c r="J335" s="1"/>
      <c r="K335" s="1"/>
      <c r="L335" s="1"/>
      <c r="M335" s="21">
        <f t="shared" si="3"/>
        <v>0.47</v>
      </c>
    </row>
    <row r="336" spans="1:13" ht="15">
      <c r="A336" s="11">
        <v>336</v>
      </c>
      <c r="B336" s="19" t="s">
        <v>17</v>
      </c>
      <c r="C336" s="11" t="s">
        <v>250</v>
      </c>
      <c r="E336" s="1"/>
      <c r="F336" s="163">
        <v>270</v>
      </c>
      <c r="G336" s="11" t="s">
        <v>220</v>
      </c>
      <c r="H336" s="1"/>
      <c r="I336" s="1"/>
      <c r="J336" s="1"/>
      <c r="K336" s="1"/>
      <c r="L336" s="1"/>
      <c r="M336" s="21">
        <f t="shared" si="3"/>
        <v>0.27</v>
      </c>
    </row>
    <row r="337" spans="1:13" ht="14.25">
      <c r="A337" s="11">
        <v>337</v>
      </c>
      <c r="B337" s="19" t="s">
        <v>489</v>
      </c>
      <c r="C337" s="11" t="s">
        <v>250</v>
      </c>
      <c r="E337" s="1"/>
      <c r="F337" s="162"/>
      <c r="G337" s="11" t="s">
        <v>220</v>
      </c>
      <c r="H337" s="1"/>
      <c r="I337" s="1"/>
      <c r="J337" s="1"/>
      <c r="K337" s="1"/>
      <c r="L337" s="1"/>
      <c r="M337" s="21">
        <f t="shared" si="3"/>
        <v>0</v>
      </c>
    </row>
    <row r="338" spans="1:13" ht="14.25">
      <c r="A338" s="11">
        <v>338</v>
      </c>
      <c r="B338" s="19" t="s">
        <v>490</v>
      </c>
      <c r="C338" s="11" t="s">
        <v>250</v>
      </c>
      <c r="E338" s="1"/>
      <c r="F338" s="162"/>
      <c r="G338" s="11" t="s">
        <v>220</v>
      </c>
      <c r="H338" s="1"/>
      <c r="I338" s="1"/>
      <c r="J338" s="1"/>
      <c r="K338" s="1"/>
      <c r="L338" s="1"/>
      <c r="M338" s="21">
        <f t="shared" si="3"/>
        <v>0</v>
      </c>
    </row>
    <row r="339" spans="1:13" ht="14.25">
      <c r="A339" s="11">
        <v>339</v>
      </c>
      <c r="B339" s="19" t="s">
        <v>491</v>
      </c>
      <c r="C339" s="11" t="s">
        <v>250</v>
      </c>
      <c r="E339" s="1"/>
      <c r="F339" s="162"/>
      <c r="G339" s="11" t="s">
        <v>142</v>
      </c>
      <c r="H339" s="1"/>
      <c r="I339" s="1"/>
      <c r="J339" s="1"/>
      <c r="K339" s="1"/>
      <c r="L339" s="1"/>
      <c r="M339" s="21">
        <f t="shared" si="3"/>
        <v>0</v>
      </c>
    </row>
    <row r="340" spans="1:13" ht="15">
      <c r="A340" s="11">
        <v>340</v>
      </c>
      <c r="B340" s="19" t="s">
        <v>492</v>
      </c>
      <c r="C340" s="11" t="s">
        <v>250</v>
      </c>
      <c r="E340" s="1"/>
      <c r="F340" s="163">
        <v>80</v>
      </c>
      <c r="G340" s="11" t="s">
        <v>142</v>
      </c>
      <c r="H340" s="1"/>
      <c r="I340" s="1"/>
      <c r="J340" s="1"/>
      <c r="K340" s="1"/>
      <c r="L340" s="1"/>
      <c r="M340" s="21">
        <f t="shared" si="3"/>
        <v>0.08</v>
      </c>
    </row>
    <row r="341" spans="1:13" ht="15">
      <c r="A341" s="11">
        <v>341</v>
      </c>
      <c r="B341" s="19" t="s">
        <v>424</v>
      </c>
      <c r="C341" s="11" t="s">
        <v>250</v>
      </c>
      <c r="E341" s="1"/>
      <c r="F341" s="163">
        <v>515</v>
      </c>
      <c r="G341" s="11" t="s">
        <v>142</v>
      </c>
      <c r="H341" s="1"/>
      <c r="I341" s="1"/>
      <c r="J341" s="1"/>
      <c r="K341" s="1"/>
      <c r="L341" s="1"/>
      <c r="M341" s="21">
        <f t="shared" si="3"/>
        <v>0.51500000000000001</v>
      </c>
    </row>
    <row r="342" spans="1:13" ht="15">
      <c r="A342" s="11">
        <v>342</v>
      </c>
      <c r="B342" s="19" t="s">
        <v>122</v>
      </c>
      <c r="C342" s="11" t="s">
        <v>250</v>
      </c>
      <c r="E342" s="1"/>
      <c r="F342" s="163">
        <v>280</v>
      </c>
      <c r="G342" s="11" t="s">
        <v>142</v>
      </c>
      <c r="H342" s="1"/>
      <c r="I342" s="1"/>
      <c r="J342" s="1"/>
      <c r="K342" s="1"/>
      <c r="L342" s="1"/>
      <c r="M342" s="21">
        <f t="shared" si="3"/>
        <v>0.28000000000000003</v>
      </c>
    </row>
    <row r="343" spans="1:13" ht="14.25">
      <c r="A343" s="11">
        <v>343</v>
      </c>
      <c r="B343" s="19" t="s">
        <v>493</v>
      </c>
      <c r="C343" s="11" t="s">
        <v>208</v>
      </c>
      <c r="E343" s="1"/>
      <c r="F343" s="144">
        <v>280</v>
      </c>
      <c r="G343" s="11" t="s">
        <v>142</v>
      </c>
      <c r="H343" s="1"/>
      <c r="I343" s="1"/>
      <c r="J343" s="1"/>
      <c r="K343" s="1"/>
      <c r="L343" s="1"/>
      <c r="M343" s="21">
        <f t="shared" si="3"/>
        <v>0.28000000000000003</v>
      </c>
    </row>
    <row r="344" spans="1:13" ht="14.25">
      <c r="A344" s="11">
        <v>344</v>
      </c>
      <c r="B344" s="19" t="s">
        <v>494</v>
      </c>
      <c r="C344" s="11" t="s">
        <v>250</v>
      </c>
      <c r="E344" s="1"/>
      <c r="F344" s="144">
        <v>280</v>
      </c>
      <c r="G344" s="11" t="s">
        <v>142</v>
      </c>
      <c r="H344" s="1"/>
      <c r="I344" s="1"/>
      <c r="J344" s="1"/>
      <c r="K344" s="1"/>
      <c r="L344" s="1"/>
      <c r="M344" s="21">
        <f t="shared" si="3"/>
        <v>0.28000000000000003</v>
      </c>
    </row>
    <row r="345" spans="1:13" ht="14.25">
      <c r="A345" s="11">
        <v>345</v>
      </c>
      <c r="B345" s="19" t="s">
        <v>495</v>
      </c>
      <c r="C345" s="11" t="s">
        <v>210</v>
      </c>
      <c r="E345" s="1"/>
      <c r="F345" s="162">
        <v>140</v>
      </c>
      <c r="G345" s="11" t="s">
        <v>142</v>
      </c>
      <c r="H345" s="1"/>
      <c r="I345" s="1"/>
      <c r="J345" s="1"/>
      <c r="K345" s="1"/>
      <c r="L345" s="1"/>
      <c r="M345" s="21">
        <f t="shared" si="3"/>
        <v>0.14000000000000001</v>
      </c>
    </row>
    <row r="346" spans="1:13" ht="14.25">
      <c r="A346" s="11">
        <v>346</v>
      </c>
      <c r="B346" s="19" t="s">
        <v>496</v>
      </c>
      <c r="C346" s="11" t="s">
        <v>210</v>
      </c>
      <c r="E346" s="1"/>
      <c r="F346" s="144">
        <v>160</v>
      </c>
      <c r="G346" s="11" t="s">
        <v>142</v>
      </c>
      <c r="H346" s="1"/>
      <c r="I346" s="1"/>
      <c r="J346" s="1"/>
      <c r="K346" s="1"/>
      <c r="L346" s="1"/>
      <c r="M346" s="21">
        <f t="shared" si="3"/>
        <v>0.16</v>
      </c>
    </row>
    <row r="347" spans="1:13" ht="14.25">
      <c r="A347" s="11">
        <v>347</v>
      </c>
      <c r="B347" s="19" t="s">
        <v>497</v>
      </c>
      <c r="C347" s="11" t="s">
        <v>208</v>
      </c>
      <c r="E347" s="1"/>
      <c r="F347" s="162"/>
      <c r="G347" s="11" t="s">
        <v>142</v>
      </c>
      <c r="H347" s="1"/>
      <c r="I347" s="1"/>
      <c r="J347" s="1"/>
      <c r="K347" s="1"/>
      <c r="L347" s="1"/>
      <c r="M347" s="21">
        <f t="shared" si="3"/>
        <v>0</v>
      </c>
    </row>
    <row r="348" spans="1:13" ht="14.25">
      <c r="A348" s="11">
        <v>348</v>
      </c>
      <c r="B348" s="19" t="s">
        <v>498</v>
      </c>
      <c r="C348" s="11" t="s">
        <v>208</v>
      </c>
      <c r="E348" s="1"/>
      <c r="F348" s="144">
        <v>250</v>
      </c>
      <c r="G348" s="11" t="s">
        <v>142</v>
      </c>
      <c r="H348" s="1"/>
      <c r="I348" s="1"/>
      <c r="J348" s="1"/>
      <c r="K348" s="1"/>
      <c r="L348" s="1"/>
      <c r="M348" s="21">
        <f t="shared" si="3"/>
        <v>0.25</v>
      </c>
    </row>
    <row r="349" spans="1:13" ht="14.25">
      <c r="A349" s="11">
        <v>349</v>
      </c>
      <c r="B349" s="19" t="s">
        <v>6</v>
      </c>
      <c r="C349" s="11" t="s">
        <v>208</v>
      </c>
      <c r="E349" s="1"/>
      <c r="F349" s="162"/>
      <c r="G349" s="11" t="s">
        <v>142</v>
      </c>
      <c r="H349" s="1"/>
      <c r="I349" s="1"/>
      <c r="J349" s="1"/>
      <c r="K349" s="1"/>
      <c r="L349" s="1"/>
      <c r="M349" s="21">
        <f t="shared" si="3"/>
        <v>0</v>
      </c>
    </row>
    <row r="350" spans="1:13" ht="14.25">
      <c r="A350" s="11">
        <v>350</v>
      </c>
      <c r="B350" s="19" t="s">
        <v>499</v>
      </c>
      <c r="C350" s="11" t="s">
        <v>208</v>
      </c>
      <c r="E350" s="1"/>
      <c r="F350" s="144">
        <v>205</v>
      </c>
      <c r="G350" s="11" t="s">
        <v>220</v>
      </c>
      <c r="H350" s="1"/>
      <c r="I350" s="1"/>
      <c r="J350" s="1"/>
      <c r="K350" s="1"/>
      <c r="L350" s="1"/>
      <c r="M350" s="21">
        <f t="shared" si="3"/>
        <v>0.20499999999999999</v>
      </c>
    </row>
    <row r="351" spans="1:13" ht="14.25">
      <c r="A351" s="11">
        <v>351</v>
      </c>
      <c r="B351" s="19" t="s">
        <v>500</v>
      </c>
      <c r="C351" s="11" t="s">
        <v>232</v>
      </c>
      <c r="E351" s="1"/>
      <c r="F351" s="144">
        <v>80</v>
      </c>
      <c r="G351" s="11" t="s">
        <v>220</v>
      </c>
      <c r="H351" s="1"/>
      <c r="I351" s="1"/>
      <c r="J351" s="1"/>
      <c r="K351" s="1"/>
      <c r="L351" s="1"/>
      <c r="M351" s="21">
        <f t="shared" si="3"/>
        <v>0.08</v>
      </c>
    </row>
    <row r="352" spans="1:13" ht="14.25">
      <c r="A352" s="11">
        <v>352</v>
      </c>
      <c r="B352" s="19" t="s">
        <v>501</v>
      </c>
      <c r="C352" s="11" t="s">
        <v>208</v>
      </c>
      <c r="E352" s="1"/>
      <c r="F352" s="144">
        <v>320</v>
      </c>
      <c r="G352" s="11" t="s">
        <v>142</v>
      </c>
      <c r="H352" s="1"/>
      <c r="I352" s="1"/>
      <c r="J352" s="1"/>
      <c r="K352" s="1"/>
      <c r="L352" s="1"/>
      <c r="M352" s="21">
        <f t="shared" si="3"/>
        <v>0.32</v>
      </c>
    </row>
    <row r="353" spans="1:13" ht="14.25">
      <c r="A353" s="11">
        <v>353</v>
      </c>
      <c r="B353" s="19" t="s">
        <v>502</v>
      </c>
      <c r="C353" s="11" t="s">
        <v>208</v>
      </c>
      <c r="E353" s="1"/>
      <c r="F353" s="162"/>
      <c r="G353" s="11" t="s">
        <v>161</v>
      </c>
      <c r="H353" s="1"/>
      <c r="I353" s="1"/>
      <c r="J353" s="1"/>
      <c r="K353" s="1"/>
      <c r="L353" s="1"/>
      <c r="M353" s="21">
        <f t="shared" si="3"/>
        <v>0</v>
      </c>
    </row>
    <row r="354" spans="1:13" ht="14.25">
      <c r="A354" s="11">
        <v>354</v>
      </c>
      <c r="B354" s="19" t="s">
        <v>503</v>
      </c>
      <c r="C354" s="11" t="s">
        <v>208</v>
      </c>
      <c r="E354" s="1"/>
      <c r="F354" s="162">
        <v>430</v>
      </c>
      <c r="G354" s="11" t="s">
        <v>142</v>
      </c>
      <c r="H354" s="1"/>
      <c r="I354" s="1"/>
      <c r="J354" s="1"/>
      <c r="K354" s="1"/>
      <c r="L354" s="1"/>
      <c r="M354" s="21">
        <f t="shared" si="3"/>
        <v>0.43</v>
      </c>
    </row>
    <row r="355" spans="1:13" ht="14.25">
      <c r="A355" s="11">
        <v>355</v>
      </c>
      <c r="B355" s="19" t="s">
        <v>504</v>
      </c>
      <c r="C355" s="11" t="s">
        <v>208</v>
      </c>
      <c r="E355" s="1"/>
      <c r="F355" s="144">
        <v>650</v>
      </c>
      <c r="G355" s="11" t="s">
        <v>220</v>
      </c>
      <c r="H355" s="1"/>
      <c r="I355" s="1"/>
      <c r="J355" s="1"/>
      <c r="K355" s="1"/>
      <c r="L355" s="1"/>
      <c r="M355" s="21">
        <f t="shared" si="3"/>
        <v>0.65</v>
      </c>
    </row>
    <row r="356" spans="1:13" ht="14.25">
      <c r="A356" s="11">
        <v>356</v>
      </c>
      <c r="B356" s="19" t="s">
        <v>505</v>
      </c>
      <c r="C356" s="11" t="s">
        <v>208</v>
      </c>
      <c r="E356" s="1"/>
      <c r="F356" s="162"/>
      <c r="G356" s="11" t="s">
        <v>220</v>
      </c>
      <c r="H356" s="1"/>
      <c r="I356" s="1"/>
      <c r="J356" s="1"/>
      <c r="K356" s="1"/>
      <c r="L356" s="1"/>
      <c r="M356" s="21">
        <f t="shared" si="3"/>
        <v>0</v>
      </c>
    </row>
    <row r="357" spans="1:13" ht="14.25">
      <c r="A357" s="11">
        <v>357</v>
      </c>
      <c r="B357" s="19" t="s">
        <v>506</v>
      </c>
      <c r="C357" s="11" t="s">
        <v>208</v>
      </c>
      <c r="E357" s="1"/>
      <c r="F357" s="144">
        <v>1000</v>
      </c>
      <c r="G357" s="11" t="s">
        <v>220</v>
      </c>
      <c r="H357" s="1"/>
      <c r="I357" s="1"/>
      <c r="J357" s="1"/>
      <c r="K357" s="1"/>
      <c r="L357" s="1"/>
      <c r="M357" s="21">
        <f t="shared" si="3"/>
        <v>1</v>
      </c>
    </row>
    <row r="358" spans="1:13" ht="14.25">
      <c r="A358" s="11">
        <v>358</v>
      </c>
      <c r="B358" s="19" t="s">
        <v>507</v>
      </c>
      <c r="C358" s="11" t="s">
        <v>208</v>
      </c>
      <c r="E358" s="1"/>
      <c r="F358" s="144">
        <v>1000</v>
      </c>
      <c r="G358" s="11" t="s">
        <v>220</v>
      </c>
      <c r="H358" s="1"/>
      <c r="I358" s="1"/>
      <c r="J358" s="1"/>
      <c r="K358" s="1"/>
      <c r="L358" s="1"/>
      <c r="M358" s="21">
        <f t="shared" si="3"/>
        <v>1</v>
      </c>
    </row>
    <row r="359" spans="1:13" ht="14.25">
      <c r="A359" s="11">
        <v>359</v>
      </c>
      <c r="B359" s="19" t="s">
        <v>508</v>
      </c>
      <c r="C359" s="11" t="s">
        <v>213</v>
      </c>
      <c r="E359" s="1"/>
      <c r="F359" s="162">
        <v>48</v>
      </c>
      <c r="G359" s="11" t="s">
        <v>142</v>
      </c>
      <c r="H359" s="1"/>
      <c r="I359" s="1"/>
      <c r="J359" s="1"/>
      <c r="K359" s="1"/>
      <c r="L359" s="1"/>
      <c r="M359" s="21">
        <f t="shared" si="3"/>
        <v>4.8000000000000001E-2</v>
      </c>
    </row>
    <row r="360" spans="1:13" ht="14.25">
      <c r="A360" s="11">
        <v>360</v>
      </c>
      <c r="B360" s="19" t="s">
        <v>509</v>
      </c>
      <c r="C360" s="11" t="s">
        <v>208</v>
      </c>
      <c r="E360" s="1"/>
      <c r="F360" s="144">
        <v>42</v>
      </c>
      <c r="G360" s="11" t="s">
        <v>142</v>
      </c>
      <c r="H360" s="1"/>
      <c r="I360" s="1"/>
      <c r="J360" s="1"/>
      <c r="K360" s="1"/>
      <c r="L360" s="1"/>
      <c r="M360" s="21">
        <f t="shared" si="3"/>
        <v>4.2000000000000003E-2</v>
      </c>
    </row>
    <row r="361" spans="1:13" ht="14.25">
      <c r="A361" s="11">
        <v>361</v>
      </c>
      <c r="B361" s="19" t="s">
        <v>510</v>
      </c>
      <c r="C361" s="11" t="s">
        <v>208</v>
      </c>
      <c r="E361" s="1"/>
      <c r="F361" s="144">
        <v>80</v>
      </c>
      <c r="G361" s="11" t="s">
        <v>142</v>
      </c>
      <c r="H361" s="1"/>
      <c r="I361" s="1"/>
      <c r="J361" s="1"/>
      <c r="K361" s="1"/>
      <c r="L361" s="1"/>
      <c r="M361" s="21">
        <f t="shared" si="3"/>
        <v>0.08</v>
      </c>
    </row>
    <row r="362" spans="1:13" ht="14.25">
      <c r="A362" s="11">
        <v>362</v>
      </c>
      <c r="B362" s="19" t="s">
        <v>511</v>
      </c>
      <c r="C362" s="11" t="s">
        <v>208</v>
      </c>
      <c r="E362" s="1"/>
      <c r="F362" s="144">
        <v>40</v>
      </c>
      <c r="G362" s="11" t="s">
        <v>142</v>
      </c>
      <c r="H362" s="1"/>
      <c r="I362" s="1"/>
      <c r="J362" s="1"/>
      <c r="K362" s="1"/>
      <c r="L362" s="1"/>
      <c r="M362" s="21">
        <f t="shared" si="3"/>
        <v>0.04</v>
      </c>
    </row>
    <row r="363" spans="1:13" ht="14.25">
      <c r="A363" s="11">
        <v>363</v>
      </c>
      <c r="B363" s="19" t="s">
        <v>512</v>
      </c>
      <c r="C363" s="11" t="s">
        <v>208</v>
      </c>
      <c r="E363" s="1"/>
      <c r="F363" s="144">
        <v>50</v>
      </c>
      <c r="G363" s="11" t="s">
        <v>142</v>
      </c>
      <c r="H363" s="1"/>
      <c r="I363" s="1"/>
      <c r="J363" s="1"/>
      <c r="K363" s="1"/>
      <c r="L363" s="1"/>
      <c r="M363" s="21">
        <f t="shared" si="3"/>
        <v>0.05</v>
      </c>
    </row>
    <row r="364" spans="1:13" ht="14.25">
      <c r="A364" s="11">
        <v>364</v>
      </c>
      <c r="B364" s="19" t="s">
        <v>513</v>
      </c>
      <c r="C364" s="11" t="s">
        <v>208</v>
      </c>
      <c r="E364" s="1"/>
      <c r="F364" s="144">
        <v>80</v>
      </c>
      <c r="G364" s="11" t="s">
        <v>142</v>
      </c>
      <c r="H364" s="1"/>
      <c r="I364" s="1"/>
      <c r="J364" s="1"/>
      <c r="K364" s="1"/>
      <c r="L364" s="1"/>
      <c r="M364" s="21">
        <f t="shared" si="3"/>
        <v>0.08</v>
      </c>
    </row>
    <row r="365" spans="1:13" ht="12.75">
      <c r="A365" s="11">
        <v>365</v>
      </c>
      <c r="B365" s="3" t="s">
        <v>101</v>
      </c>
      <c r="C365" s="11" t="s">
        <v>208</v>
      </c>
      <c r="F365" s="164">
        <v>0</v>
      </c>
      <c r="G365" s="11" t="s">
        <v>142</v>
      </c>
      <c r="H365" s="1"/>
      <c r="M365" s="21">
        <f t="shared" si="3"/>
        <v>0</v>
      </c>
    </row>
    <row r="366" spans="1:13" ht="15">
      <c r="A366" s="11">
        <v>366</v>
      </c>
      <c r="B366" s="2" t="s">
        <v>0</v>
      </c>
      <c r="C366" s="11" t="s">
        <v>208</v>
      </c>
      <c r="G366" s="11" t="s">
        <v>142</v>
      </c>
      <c r="H366" s="1"/>
      <c r="M366" s="21">
        <f t="shared" si="3"/>
        <v>0</v>
      </c>
    </row>
    <row r="367" spans="1:13" ht="12.75">
      <c r="A367" s="11">
        <v>367</v>
      </c>
      <c r="B367" s="1" t="s">
        <v>276</v>
      </c>
      <c r="C367" s="11" t="s">
        <v>208</v>
      </c>
      <c r="F367" s="165">
        <v>240</v>
      </c>
      <c r="G367" s="11" t="s">
        <v>142</v>
      </c>
      <c r="H367" s="1"/>
      <c r="M367" s="21">
        <f t="shared" si="3"/>
        <v>0.24</v>
      </c>
    </row>
    <row r="368" spans="1:13" ht="12.75">
      <c r="A368" s="11">
        <v>368</v>
      </c>
      <c r="B368" s="1" t="s">
        <v>514</v>
      </c>
      <c r="C368" s="11" t="s">
        <v>210</v>
      </c>
      <c r="F368" s="164">
        <v>724</v>
      </c>
      <c r="G368" s="11" t="s">
        <v>142</v>
      </c>
      <c r="H368" s="1"/>
      <c r="M368" s="21">
        <f t="shared" si="3"/>
        <v>0.72399999999999998</v>
      </c>
    </row>
    <row r="369" spans="1:13" ht="12.75">
      <c r="A369" s="11">
        <v>369</v>
      </c>
      <c r="B369" s="1" t="s">
        <v>515</v>
      </c>
      <c r="C369" s="11" t="s">
        <v>208</v>
      </c>
      <c r="G369" s="11" t="s">
        <v>142</v>
      </c>
      <c r="H369" s="1"/>
      <c r="M369" s="21">
        <f t="shared" si="3"/>
        <v>0</v>
      </c>
    </row>
    <row r="370" spans="1:13" ht="15">
      <c r="A370" s="11">
        <v>370</v>
      </c>
      <c r="B370" s="2" t="s">
        <v>60</v>
      </c>
      <c r="C370" s="11" t="s">
        <v>210</v>
      </c>
      <c r="G370" s="11" t="s">
        <v>142</v>
      </c>
      <c r="H370" s="1"/>
      <c r="M370" s="21">
        <f t="shared" si="3"/>
        <v>0</v>
      </c>
    </row>
    <row r="371" spans="1:13" ht="12.75">
      <c r="A371" s="11">
        <v>371</v>
      </c>
      <c r="B371" s="1" t="s">
        <v>516</v>
      </c>
      <c r="C371" s="11" t="s">
        <v>192</v>
      </c>
      <c r="F371" s="164">
        <v>30</v>
      </c>
      <c r="G371" s="11" t="s">
        <v>161</v>
      </c>
      <c r="H371" s="1"/>
      <c r="M371" s="21">
        <f t="shared" si="3"/>
        <v>30</v>
      </c>
    </row>
    <row r="372" spans="1:13" ht="12.75">
      <c r="A372" s="11">
        <v>372</v>
      </c>
      <c r="B372" s="1" t="s">
        <v>517</v>
      </c>
      <c r="C372" s="11" t="s">
        <v>208</v>
      </c>
      <c r="F372" s="165">
        <v>40</v>
      </c>
      <c r="G372" s="11" t="s">
        <v>161</v>
      </c>
      <c r="H372" s="1"/>
      <c r="M372" s="21">
        <f t="shared" si="3"/>
        <v>40</v>
      </c>
    </row>
    <row r="373" spans="1:13" ht="15">
      <c r="A373" s="11">
        <v>373</v>
      </c>
      <c r="B373" s="2" t="s">
        <v>508</v>
      </c>
      <c r="C373" s="11" t="s">
        <v>208</v>
      </c>
      <c r="G373" s="11" t="s">
        <v>142</v>
      </c>
      <c r="H373" s="1"/>
      <c r="M373" s="21">
        <f t="shared" si="3"/>
        <v>0</v>
      </c>
    </row>
    <row r="374" spans="1:13" ht="12.75">
      <c r="A374" s="11">
        <v>374</v>
      </c>
      <c r="B374" s="1" t="s">
        <v>518</v>
      </c>
      <c r="C374" s="11" t="s">
        <v>213</v>
      </c>
      <c r="F374" s="165">
        <v>45</v>
      </c>
      <c r="G374" s="11" t="s">
        <v>142</v>
      </c>
      <c r="H374" s="1"/>
      <c r="M374" s="21">
        <f t="shared" si="3"/>
        <v>4.4999999999999998E-2</v>
      </c>
    </row>
    <row r="375" spans="1:13" ht="12.75">
      <c r="A375" s="11">
        <v>375</v>
      </c>
      <c r="B375" s="1" t="s">
        <v>218</v>
      </c>
      <c r="C375" s="11" t="s">
        <v>210</v>
      </c>
      <c r="G375" s="11" t="s">
        <v>142</v>
      </c>
      <c r="H375" s="1"/>
      <c r="M375" s="21">
        <f t="shared" si="3"/>
        <v>0</v>
      </c>
    </row>
    <row r="376" spans="1:13" ht="12.75">
      <c r="A376" s="11">
        <v>376</v>
      </c>
      <c r="B376" s="1" t="s">
        <v>353</v>
      </c>
      <c r="C376" s="11" t="s">
        <v>210</v>
      </c>
      <c r="F376" s="165">
        <v>1400</v>
      </c>
      <c r="G376" s="11" t="s">
        <v>142</v>
      </c>
      <c r="H376" s="1"/>
      <c r="M376" s="21">
        <f t="shared" si="3"/>
        <v>1.4</v>
      </c>
    </row>
    <row r="377" spans="1:13" ht="12.75">
      <c r="A377" s="11">
        <v>377</v>
      </c>
      <c r="B377" s="1" t="s">
        <v>519</v>
      </c>
      <c r="C377" s="11" t="s">
        <v>208</v>
      </c>
      <c r="F377" s="164">
        <v>200</v>
      </c>
      <c r="G377" s="11" t="s">
        <v>142</v>
      </c>
      <c r="H377" s="1"/>
      <c r="M377" s="21">
        <f t="shared" si="3"/>
        <v>0.2</v>
      </c>
    </row>
    <row r="378" spans="1:13" ht="12.75">
      <c r="A378" s="11">
        <v>378</v>
      </c>
      <c r="B378" s="1" t="s">
        <v>277</v>
      </c>
      <c r="C378" s="11" t="s">
        <v>208</v>
      </c>
      <c r="G378" s="11" t="s">
        <v>142</v>
      </c>
      <c r="H378" s="1"/>
      <c r="M378" s="21">
        <f t="shared" si="3"/>
        <v>0</v>
      </c>
    </row>
    <row r="379" spans="1:13" ht="12.75">
      <c r="A379" s="11">
        <v>379</v>
      </c>
      <c r="B379" s="1" t="s">
        <v>340</v>
      </c>
      <c r="C379" s="11" t="s">
        <v>210</v>
      </c>
      <c r="G379" s="11" t="s">
        <v>142</v>
      </c>
      <c r="H379" s="1"/>
      <c r="M379" s="21">
        <f t="shared" si="3"/>
        <v>0</v>
      </c>
    </row>
    <row r="380" spans="1:13" ht="12.75">
      <c r="A380" s="11">
        <v>380</v>
      </c>
      <c r="B380" s="1" t="s">
        <v>520</v>
      </c>
      <c r="C380" s="11" t="s">
        <v>210</v>
      </c>
      <c r="F380" s="164">
        <v>850</v>
      </c>
      <c r="G380" s="11" t="s">
        <v>142</v>
      </c>
      <c r="H380" s="1"/>
      <c r="M380" s="21">
        <f t="shared" si="3"/>
        <v>0.85</v>
      </c>
    </row>
    <row r="381" spans="1:13" ht="12.75">
      <c r="A381" s="11">
        <v>381</v>
      </c>
      <c r="B381" s="1" t="s">
        <v>521</v>
      </c>
      <c r="C381" s="11" t="s">
        <v>210</v>
      </c>
      <c r="F381" s="164">
        <v>1220</v>
      </c>
      <c r="G381" s="11" t="s">
        <v>142</v>
      </c>
      <c r="H381" s="1"/>
      <c r="M381" s="21">
        <f t="shared" si="3"/>
        <v>1.22</v>
      </c>
    </row>
    <row r="382" spans="1:13" ht="12.75">
      <c r="A382" s="11">
        <v>382</v>
      </c>
      <c r="B382" s="1" t="s">
        <v>522</v>
      </c>
      <c r="C382" s="11" t="s">
        <v>141</v>
      </c>
      <c r="F382" s="165">
        <v>40</v>
      </c>
      <c r="G382" s="11" t="s">
        <v>142</v>
      </c>
      <c r="H382" s="1"/>
      <c r="M382" s="21">
        <f t="shared" si="3"/>
        <v>0.04</v>
      </c>
    </row>
    <row r="383" spans="1:13" ht="12.75">
      <c r="A383" s="11">
        <v>383</v>
      </c>
      <c r="B383" s="1" t="s">
        <v>523</v>
      </c>
      <c r="C383" s="11" t="s">
        <v>208</v>
      </c>
      <c r="F383" s="164">
        <v>660</v>
      </c>
      <c r="G383" s="11" t="s">
        <v>142</v>
      </c>
      <c r="H383" s="1"/>
      <c r="M383" s="21">
        <f t="shared" si="3"/>
        <v>0.66</v>
      </c>
    </row>
    <row r="384" spans="1:13" ht="15">
      <c r="A384" s="11">
        <v>384</v>
      </c>
      <c r="B384" s="2" t="s">
        <v>524</v>
      </c>
      <c r="C384" s="11" t="s">
        <v>208</v>
      </c>
      <c r="F384" s="165">
        <v>220</v>
      </c>
      <c r="G384" s="11" t="s">
        <v>142</v>
      </c>
      <c r="H384" s="1"/>
      <c r="M384" s="21">
        <f t="shared" si="3"/>
        <v>0.22</v>
      </c>
    </row>
    <row r="385" spans="1:13" ht="12.75">
      <c r="A385" s="11">
        <v>385</v>
      </c>
      <c r="B385" s="1" t="s">
        <v>525</v>
      </c>
      <c r="C385" s="11" t="s">
        <v>213</v>
      </c>
      <c r="G385" s="11" t="s">
        <v>142</v>
      </c>
      <c r="H385" s="1"/>
      <c r="M385" s="21">
        <f t="shared" si="3"/>
        <v>0</v>
      </c>
    </row>
    <row r="386" spans="1:13" ht="12.75">
      <c r="A386" s="11">
        <v>387</v>
      </c>
      <c r="B386" s="1" t="s">
        <v>103</v>
      </c>
      <c r="C386" s="11" t="s">
        <v>208</v>
      </c>
      <c r="G386" s="11" t="s">
        <v>142</v>
      </c>
      <c r="H386" s="1"/>
      <c r="M386" s="21">
        <f t="shared" si="3"/>
        <v>0</v>
      </c>
    </row>
    <row r="387" spans="1:13" ht="12.75">
      <c r="A387" s="11">
        <v>388</v>
      </c>
      <c r="B387" s="1" t="s">
        <v>526</v>
      </c>
      <c r="C387" s="11" t="s">
        <v>208</v>
      </c>
      <c r="F387" s="164">
        <v>660</v>
      </c>
      <c r="G387" s="11" t="s">
        <v>142</v>
      </c>
      <c r="H387" s="1"/>
      <c r="M387" s="21">
        <f t="shared" si="3"/>
        <v>0.66</v>
      </c>
    </row>
    <row r="388" spans="1:13" ht="12.75">
      <c r="A388" s="11">
        <v>389</v>
      </c>
      <c r="B388" s="1" t="s">
        <v>29</v>
      </c>
      <c r="C388" s="11" t="s">
        <v>208</v>
      </c>
      <c r="F388" s="164">
        <v>5</v>
      </c>
      <c r="G388" s="11" t="s">
        <v>161</v>
      </c>
      <c r="H388" s="1"/>
      <c r="M388" s="21">
        <f t="shared" si="3"/>
        <v>5</v>
      </c>
    </row>
    <row r="389" spans="1:13" ht="12.75">
      <c r="A389" s="11">
        <v>390</v>
      </c>
      <c r="B389" s="1" t="s">
        <v>527</v>
      </c>
      <c r="C389" s="11" t="s">
        <v>208</v>
      </c>
      <c r="F389" s="164">
        <v>100</v>
      </c>
      <c r="G389" s="11" t="s">
        <v>142</v>
      </c>
      <c r="H389" s="1"/>
      <c r="M389" s="21">
        <f t="shared" si="3"/>
        <v>0.1</v>
      </c>
    </row>
    <row r="390" spans="1:13" ht="12.75">
      <c r="A390" s="11">
        <v>391</v>
      </c>
      <c r="B390" s="1" t="s">
        <v>528</v>
      </c>
      <c r="C390" s="11" t="s">
        <v>208</v>
      </c>
      <c r="F390" s="164">
        <v>5</v>
      </c>
      <c r="G390" s="11" t="s">
        <v>161</v>
      </c>
      <c r="H390" s="1"/>
      <c r="M390" s="21">
        <f t="shared" si="3"/>
        <v>5</v>
      </c>
    </row>
    <row r="391" spans="1:13" ht="12.75">
      <c r="A391" s="11">
        <v>392</v>
      </c>
      <c r="B391" s="1" t="s">
        <v>529</v>
      </c>
      <c r="C391" s="11" t="s">
        <v>208</v>
      </c>
      <c r="G391" s="11" t="s">
        <v>142</v>
      </c>
      <c r="H391" s="1"/>
      <c r="M391" s="21">
        <f t="shared" si="3"/>
        <v>0</v>
      </c>
    </row>
    <row r="392" spans="1:13" ht="12.75">
      <c r="A392" s="11">
        <v>393</v>
      </c>
      <c r="B392" s="1" t="s">
        <v>530</v>
      </c>
      <c r="C392" s="11" t="s">
        <v>141</v>
      </c>
      <c r="F392" s="164">
        <v>30</v>
      </c>
      <c r="G392" s="11" t="s">
        <v>142</v>
      </c>
      <c r="H392" s="1"/>
      <c r="M392" s="21">
        <f t="shared" si="3"/>
        <v>0.03</v>
      </c>
    </row>
    <row r="393" spans="1:13" ht="12.75">
      <c r="A393" s="11">
        <v>394</v>
      </c>
      <c r="B393" s="1" t="s">
        <v>531</v>
      </c>
      <c r="C393" s="11" t="s">
        <v>208</v>
      </c>
      <c r="F393" s="164">
        <v>36</v>
      </c>
      <c r="G393" s="11" t="s">
        <v>220</v>
      </c>
      <c r="H393" s="1"/>
      <c r="M393" s="21">
        <f t="shared" si="3"/>
        <v>3.5999999999999997E-2</v>
      </c>
    </row>
    <row r="394" spans="1:13" ht="12.75">
      <c r="A394" s="11">
        <v>395</v>
      </c>
      <c r="B394" s="1" t="s">
        <v>532</v>
      </c>
      <c r="C394" s="11" t="s">
        <v>219</v>
      </c>
      <c r="F394" s="164">
        <v>130</v>
      </c>
      <c r="G394" s="11" t="s">
        <v>142</v>
      </c>
      <c r="H394" s="1"/>
      <c r="M394" s="21">
        <f t="shared" si="3"/>
        <v>0.13</v>
      </c>
    </row>
    <row r="395" spans="1:13" ht="15">
      <c r="A395" s="11">
        <v>396</v>
      </c>
      <c r="B395" s="2" t="s">
        <v>7</v>
      </c>
      <c r="C395" s="11" t="s">
        <v>208</v>
      </c>
      <c r="F395" s="165">
        <v>800</v>
      </c>
      <c r="G395" s="11" t="s">
        <v>142</v>
      </c>
      <c r="H395" s="1"/>
      <c r="M395" s="21">
        <f t="shared" si="3"/>
        <v>0.8</v>
      </c>
    </row>
    <row r="396" spans="1:13" ht="15">
      <c r="A396" s="11">
        <v>397</v>
      </c>
      <c r="B396" s="2" t="s">
        <v>278</v>
      </c>
      <c r="C396" s="11" t="s">
        <v>213</v>
      </c>
      <c r="F396" s="164">
        <v>120</v>
      </c>
      <c r="G396" s="11" t="s">
        <v>142</v>
      </c>
      <c r="H396" s="1"/>
      <c r="M396" s="21">
        <f t="shared" si="3"/>
        <v>0.12</v>
      </c>
    </row>
    <row r="397" spans="1:13" ht="12.75">
      <c r="A397" s="11">
        <v>398</v>
      </c>
      <c r="B397" s="1" t="s">
        <v>53</v>
      </c>
      <c r="C397" s="11" t="s">
        <v>210</v>
      </c>
      <c r="F397" s="165">
        <v>600</v>
      </c>
      <c r="G397" s="11" t="s">
        <v>142</v>
      </c>
      <c r="H397" s="1"/>
      <c r="M397" s="21">
        <f t="shared" si="3"/>
        <v>0.6</v>
      </c>
    </row>
    <row r="398" spans="1:13" ht="12.75">
      <c r="A398" s="11">
        <v>399</v>
      </c>
      <c r="B398" s="1" t="s">
        <v>279</v>
      </c>
      <c r="C398" s="11" t="s">
        <v>208</v>
      </c>
      <c r="F398" s="164">
        <v>1000</v>
      </c>
      <c r="G398" s="11" t="s">
        <v>220</v>
      </c>
      <c r="H398" s="1"/>
      <c r="M398" s="21">
        <f t="shared" si="3"/>
        <v>1</v>
      </c>
    </row>
    <row r="399" spans="1:13" ht="12.75">
      <c r="A399" s="11">
        <v>400</v>
      </c>
      <c r="B399" s="1" t="s">
        <v>533</v>
      </c>
      <c r="C399" s="11" t="s">
        <v>208</v>
      </c>
      <c r="F399" s="165">
        <v>780</v>
      </c>
      <c r="G399" s="11" t="s">
        <v>142</v>
      </c>
      <c r="H399" s="1"/>
      <c r="M399" s="21">
        <f t="shared" si="3"/>
        <v>0.78</v>
      </c>
    </row>
    <row r="400" spans="1:13" ht="12.75">
      <c r="A400" s="11">
        <v>401</v>
      </c>
      <c r="B400" s="1" t="s">
        <v>534</v>
      </c>
      <c r="C400" s="11" t="s">
        <v>208</v>
      </c>
      <c r="F400" s="165">
        <v>800</v>
      </c>
      <c r="G400" s="11" t="s">
        <v>142</v>
      </c>
      <c r="H400" s="1"/>
      <c r="M400" s="21">
        <f t="shared" si="3"/>
        <v>0.8</v>
      </c>
    </row>
    <row r="401" spans="1:13" ht="12.75">
      <c r="A401" s="11">
        <v>402</v>
      </c>
      <c r="B401" s="1" t="s">
        <v>564</v>
      </c>
      <c r="C401" s="11" t="s">
        <v>208</v>
      </c>
      <c r="F401" s="165">
        <v>40</v>
      </c>
      <c r="G401" s="11" t="s">
        <v>161</v>
      </c>
      <c r="H401" s="1"/>
      <c r="M401" s="21">
        <f t="shared" si="3"/>
        <v>40</v>
      </c>
    </row>
    <row r="402" spans="1:13" ht="12.75">
      <c r="A402" s="11">
        <v>403</v>
      </c>
      <c r="B402" s="1" t="s">
        <v>58</v>
      </c>
      <c r="C402" s="11" t="s">
        <v>208</v>
      </c>
      <c r="G402" s="11" t="s">
        <v>142</v>
      </c>
      <c r="H402" s="1"/>
      <c r="M402" s="21">
        <f t="shared" si="3"/>
        <v>0</v>
      </c>
    </row>
    <row r="403" spans="1:13" ht="12.75">
      <c r="A403" s="11">
        <v>404</v>
      </c>
      <c r="B403" s="1" t="s">
        <v>575</v>
      </c>
      <c r="C403" s="11" t="s">
        <v>208</v>
      </c>
      <c r="F403" s="165">
        <v>180</v>
      </c>
      <c r="G403" s="11" t="s">
        <v>220</v>
      </c>
      <c r="H403" s="1"/>
      <c r="M403" s="21">
        <f t="shared" ref="M403:M414" si="4">IF(OR(G403="Kg",G403="Litre"),F403/1000,F403)</f>
        <v>0.18</v>
      </c>
    </row>
    <row r="404" spans="1:13" ht="12.75">
      <c r="A404" s="11">
        <v>405</v>
      </c>
      <c r="B404" s="1" t="s">
        <v>577</v>
      </c>
      <c r="C404" s="11" t="s">
        <v>208</v>
      </c>
      <c r="F404" s="165">
        <v>2600</v>
      </c>
      <c r="G404" s="11" t="s">
        <v>142</v>
      </c>
      <c r="H404" s="1"/>
      <c r="M404" s="21">
        <f t="shared" si="4"/>
        <v>2.6</v>
      </c>
    </row>
    <row r="405" spans="1:13" ht="12.75">
      <c r="A405" s="11">
        <v>406</v>
      </c>
      <c r="B405" s="1" t="s">
        <v>581</v>
      </c>
      <c r="C405" s="11" t="s">
        <v>208</v>
      </c>
      <c r="F405" s="165">
        <v>2000</v>
      </c>
      <c r="G405" s="11" t="s">
        <v>142</v>
      </c>
      <c r="H405" s="1"/>
      <c r="M405" s="21">
        <f t="shared" si="4"/>
        <v>2</v>
      </c>
    </row>
    <row r="406" spans="1:13" ht="12.75">
      <c r="A406" s="11">
        <v>407</v>
      </c>
      <c r="B406" s="1" t="s">
        <v>653</v>
      </c>
      <c r="C406" s="11" t="s">
        <v>208</v>
      </c>
      <c r="F406" s="165">
        <v>800</v>
      </c>
      <c r="G406" s="11" t="s">
        <v>142</v>
      </c>
      <c r="H406" s="1"/>
      <c r="M406" s="21">
        <f t="shared" si="4"/>
        <v>0.8</v>
      </c>
    </row>
    <row r="407" spans="1:13" ht="12.75">
      <c r="A407" s="11">
        <v>408</v>
      </c>
      <c r="B407" s="1" t="s">
        <v>669</v>
      </c>
      <c r="C407" s="11" t="s">
        <v>141</v>
      </c>
      <c r="F407" s="165">
        <v>50</v>
      </c>
      <c r="G407" s="11" t="s">
        <v>142</v>
      </c>
      <c r="H407" s="1"/>
      <c r="M407" s="21">
        <f t="shared" si="4"/>
        <v>0.05</v>
      </c>
    </row>
    <row r="408" spans="1:13" ht="12.75">
      <c r="A408" s="11">
        <v>409</v>
      </c>
      <c r="B408" s="1" t="s">
        <v>674</v>
      </c>
      <c r="C408" s="11" t="s">
        <v>232</v>
      </c>
      <c r="F408" s="165">
        <v>533</v>
      </c>
      <c r="G408" s="11" t="s">
        <v>142</v>
      </c>
      <c r="H408" s="1"/>
      <c r="M408" s="21">
        <f t="shared" ref="M408" si="5">IF(OR(G408="Kg",G408="Litre"),F408/1000,F408)</f>
        <v>0.53300000000000003</v>
      </c>
    </row>
    <row r="409" spans="1:13" ht="12.75">
      <c r="A409" s="11">
        <v>410</v>
      </c>
      <c r="B409" s="1" t="s">
        <v>672</v>
      </c>
      <c r="C409" s="11" t="s">
        <v>232</v>
      </c>
      <c r="F409" s="165">
        <v>120</v>
      </c>
      <c r="G409" s="11" t="s">
        <v>220</v>
      </c>
      <c r="H409" s="1"/>
      <c r="M409" s="21">
        <f t="shared" si="4"/>
        <v>0.12</v>
      </c>
    </row>
    <row r="410" spans="1:13" ht="12.75">
      <c r="A410" s="11">
        <v>411</v>
      </c>
      <c r="B410" s="1" t="s">
        <v>673</v>
      </c>
      <c r="C410" s="11" t="s">
        <v>232</v>
      </c>
      <c r="F410" s="165">
        <v>180</v>
      </c>
      <c r="G410" s="11" t="s">
        <v>220</v>
      </c>
      <c r="H410" s="1"/>
      <c r="M410" s="21">
        <f t="shared" si="4"/>
        <v>0.18</v>
      </c>
    </row>
    <row r="411" spans="1:13" s="1" customFormat="1" ht="12.75">
      <c r="B411" s="1" t="s">
        <v>547</v>
      </c>
      <c r="C411" s="168" t="s">
        <v>210</v>
      </c>
      <c r="F411" s="168">
        <v>800</v>
      </c>
      <c r="G411" s="168" t="s">
        <v>142</v>
      </c>
      <c r="M411" s="1">
        <f t="shared" si="4"/>
        <v>0.8</v>
      </c>
    </row>
    <row r="412" spans="1:13" ht="12.75">
      <c r="A412" s="11">
        <v>412</v>
      </c>
      <c r="B412" s="1" t="s">
        <v>670</v>
      </c>
      <c r="C412" s="11" t="s">
        <v>232</v>
      </c>
      <c r="F412" s="165">
        <v>120</v>
      </c>
      <c r="G412" s="11" t="s">
        <v>220</v>
      </c>
      <c r="H412" s="1"/>
      <c r="M412" s="21">
        <f t="shared" si="4"/>
        <v>0.12</v>
      </c>
    </row>
    <row r="413" spans="1:13" ht="12.75">
      <c r="A413" s="11">
        <v>413</v>
      </c>
      <c r="B413" s="1" t="s">
        <v>671</v>
      </c>
      <c r="C413" s="11" t="s">
        <v>232</v>
      </c>
      <c r="F413" s="165">
        <v>180</v>
      </c>
      <c r="G413" s="11" t="s">
        <v>220</v>
      </c>
      <c r="H413" s="1"/>
      <c r="M413" s="21">
        <f t="shared" si="4"/>
        <v>0.18</v>
      </c>
    </row>
    <row r="414" spans="1:13" ht="12.75">
      <c r="A414" s="11"/>
      <c r="B414" s="1" t="s">
        <v>553</v>
      </c>
      <c r="C414" s="11" t="s">
        <v>208</v>
      </c>
      <c r="F414" s="165">
        <v>170</v>
      </c>
      <c r="G414" s="11" t="s">
        <v>142</v>
      </c>
      <c r="H414" s="1"/>
      <c r="M414" s="21">
        <f t="shared" si="4"/>
        <v>0.17</v>
      </c>
    </row>
    <row r="415" spans="1:13" ht="12.75">
      <c r="A415" s="11"/>
      <c r="B415" s="1" t="s">
        <v>371</v>
      </c>
      <c r="G415" s="11"/>
      <c r="H415" s="1"/>
      <c r="M415" s="21"/>
    </row>
    <row r="416" spans="1:13" ht="12.95" customHeight="1">
      <c r="A416" s="254" t="s">
        <v>571</v>
      </c>
      <c r="B416" s="254"/>
      <c r="C416" s="254"/>
      <c r="E416" s="254"/>
      <c r="F416" s="254"/>
      <c r="G416" s="254"/>
      <c r="H416" s="254"/>
      <c r="I416" s="254"/>
      <c r="J416" s="254"/>
      <c r="K416" s="254"/>
      <c r="L416" s="254"/>
      <c r="M416" s="254"/>
    </row>
    <row r="417" spans="1:13" ht="12.95" customHeight="1">
      <c r="A417" s="254"/>
      <c r="B417" s="254"/>
      <c r="C417" s="254"/>
      <c r="E417" s="254"/>
      <c r="F417" s="254"/>
      <c r="G417" s="254"/>
      <c r="H417" s="254"/>
      <c r="I417" s="254"/>
      <c r="J417" s="254"/>
      <c r="K417" s="254"/>
      <c r="L417" s="254"/>
      <c r="M417" s="254"/>
    </row>
    <row r="418" spans="1:13" ht="12.75">
      <c r="A418" s="142">
        <v>1</v>
      </c>
      <c r="B418" s="1" t="s">
        <v>280</v>
      </c>
      <c r="F418" s="164">
        <f>IF(B418="","", VLOOKUP(B418,'SUB RECIPE LIST'!A:E,5,0))</f>
        <v>167.73722627737226</v>
      </c>
      <c r="G418" s="11" t="s">
        <v>142</v>
      </c>
      <c r="H418" s="1"/>
      <c r="M418" s="21">
        <f t="shared" ref="M418:M473" si="6">IF(OR(G418="Kg",G418="Litre"),F418/1000,F418)</f>
        <v>0.16773722627737225</v>
      </c>
    </row>
    <row r="419" spans="1:13" ht="12.75">
      <c r="A419" s="142">
        <v>2</v>
      </c>
      <c r="B419" s="1" t="s">
        <v>548</v>
      </c>
      <c r="F419" s="164">
        <f>IF(B419="","", VLOOKUP(B419,'SUB RECIPE LIST'!A:E,5,0))</f>
        <v>36.361182962962971</v>
      </c>
      <c r="G419" s="11" t="s">
        <v>142</v>
      </c>
      <c r="H419" s="1"/>
      <c r="M419" s="21">
        <f t="shared" si="6"/>
        <v>3.6361182962962972E-2</v>
      </c>
    </row>
    <row r="420" spans="1:13" ht="12.75">
      <c r="A420" s="142">
        <v>3</v>
      </c>
      <c r="B420" s="1" t="s">
        <v>549</v>
      </c>
      <c r="F420" s="164">
        <f>IF(B420="","", VLOOKUP(B420,'SUB RECIPE LIST'!A:E,5,0))</f>
        <v>40.295454545454547</v>
      </c>
      <c r="G420" s="11" t="s">
        <v>142</v>
      </c>
      <c r="H420" s="1"/>
      <c r="M420" s="21">
        <f t="shared" si="6"/>
        <v>4.0295454545454544E-2</v>
      </c>
    </row>
    <row r="421" spans="1:13" ht="12.75">
      <c r="A421" s="142">
        <v>4</v>
      </c>
      <c r="B421" s="1" t="s">
        <v>554</v>
      </c>
      <c r="F421" s="164">
        <f>IF(B421="","", VLOOKUP(B421,'SUB RECIPE LIST'!A:E,5,0))</f>
        <v>1.9750000000000003</v>
      </c>
      <c r="G421" s="11" t="s">
        <v>161</v>
      </c>
      <c r="H421" s="1"/>
      <c r="M421" s="21">
        <f t="shared" si="6"/>
        <v>1.9750000000000003</v>
      </c>
    </row>
    <row r="422" spans="1:13" ht="12.75">
      <c r="A422" s="142">
        <v>5</v>
      </c>
      <c r="B422" s="1" t="s">
        <v>282</v>
      </c>
      <c r="F422" s="164">
        <f>IF(B422="","", VLOOKUP(B422,'SUB RECIPE LIST'!A:E,5,0))</f>
        <v>12.324888889094799</v>
      </c>
      <c r="G422" s="11" t="s">
        <v>161</v>
      </c>
      <c r="H422" s="1"/>
      <c r="M422" s="21">
        <f t="shared" si="6"/>
        <v>12.324888889094799</v>
      </c>
    </row>
    <row r="423" spans="1:13" ht="12.75">
      <c r="A423" s="142">
        <v>6</v>
      </c>
      <c r="B423" s="1" t="s">
        <v>538</v>
      </c>
      <c r="F423" s="164">
        <f>IF(B423="","", VLOOKUP(B423,'SUB RECIPE LIST'!A:E,5,0))</f>
        <v>53.733333333333334</v>
      </c>
      <c r="G423" s="11" t="s">
        <v>220</v>
      </c>
      <c r="H423" s="1"/>
      <c r="M423" s="21">
        <f t="shared" si="6"/>
        <v>5.3733333333333334E-2</v>
      </c>
    </row>
    <row r="424" spans="1:13" ht="12.75">
      <c r="A424" s="142">
        <v>7</v>
      </c>
      <c r="B424" s="1" t="s">
        <v>120</v>
      </c>
      <c r="F424" s="164">
        <f>IF(B424="","", VLOOKUP(B424,'SUB RECIPE LIST'!A:E,5,0))</f>
        <v>27.002866356144754</v>
      </c>
      <c r="G424" s="11" t="s">
        <v>220</v>
      </c>
      <c r="H424" s="1"/>
      <c r="M424" s="21">
        <f t="shared" si="6"/>
        <v>2.7002866356144753E-2</v>
      </c>
    </row>
    <row r="425" spans="1:13" ht="12.75">
      <c r="A425" s="142">
        <v>8</v>
      </c>
      <c r="B425" s="1" t="s">
        <v>546</v>
      </c>
      <c r="F425" s="164">
        <f>IF(B425="","", VLOOKUP(B425,'SUB RECIPE LIST'!A:E,5,0))</f>
        <v>269.49000000000007</v>
      </c>
      <c r="G425" s="11" t="s">
        <v>220</v>
      </c>
      <c r="H425" s="1"/>
      <c r="M425" s="21">
        <f t="shared" si="6"/>
        <v>0.26949000000000006</v>
      </c>
    </row>
    <row r="426" spans="1:13" ht="12.75">
      <c r="A426" s="142">
        <v>9</v>
      </c>
      <c r="B426" s="1" t="s">
        <v>540</v>
      </c>
      <c r="F426" s="164">
        <f>IF(B426="","", VLOOKUP(B426,'SUB RECIPE LIST'!A:E,5,0))</f>
        <v>60.521367519799995</v>
      </c>
      <c r="G426" s="11" t="s">
        <v>142</v>
      </c>
      <c r="H426" s="1"/>
      <c r="M426" s="21">
        <f t="shared" si="6"/>
        <v>6.0521367519799994E-2</v>
      </c>
    </row>
    <row r="427" spans="1:13" ht="12.75">
      <c r="A427" s="142">
        <v>10</v>
      </c>
      <c r="B427" s="1" t="s">
        <v>568</v>
      </c>
      <c r="F427" s="164">
        <f>IF(B427="","", VLOOKUP(B427,'SUB RECIPE LIST'!A:E,5,0))</f>
        <v>5.5636666666666663</v>
      </c>
      <c r="G427" s="11" t="s">
        <v>161</v>
      </c>
      <c r="H427" s="1"/>
      <c r="M427" s="21">
        <f t="shared" si="6"/>
        <v>5.5636666666666663</v>
      </c>
    </row>
    <row r="428" spans="1:13" ht="12.75">
      <c r="A428" s="142">
        <v>11</v>
      </c>
      <c r="B428" s="1" t="s">
        <v>569</v>
      </c>
      <c r="F428" s="164">
        <f>IF(B428="","", VLOOKUP(B428,'SUB RECIPE LIST'!A:E,5,0))</f>
        <v>6.0542740740740744</v>
      </c>
      <c r="G428" s="11" t="s">
        <v>161</v>
      </c>
      <c r="H428" s="1"/>
      <c r="M428" s="21">
        <f t="shared" si="6"/>
        <v>6.0542740740740744</v>
      </c>
    </row>
    <row r="429" spans="1:13" ht="12.75">
      <c r="A429" s="142">
        <v>12</v>
      </c>
      <c r="B429" s="1" t="s">
        <v>539</v>
      </c>
      <c r="F429" s="164">
        <f>IF(B429="","", VLOOKUP(B429,'SUB RECIPE LIST'!A:E,5,0))</f>
        <v>46.018518518518512</v>
      </c>
      <c r="G429" s="11" t="s">
        <v>142</v>
      </c>
      <c r="H429" s="1"/>
      <c r="M429" s="21">
        <f t="shared" si="6"/>
        <v>4.6018518518518514E-2</v>
      </c>
    </row>
    <row r="430" spans="1:13" ht="12.75">
      <c r="A430" s="142">
        <v>13</v>
      </c>
      <c r="B430" s="1" t="s">
        <v>22</v>
      </c>
      <c r="F430" s="164">
        <f>IF(B430="","", VLOOKUP(B430,'SUB RECIPE LIST'!A:E,5,0))</f>
        <v>5.4960683759899993</v>
      </c>
      <c r="G430" s="11" t="s">
        <v>161</v>
      </c>
      <c r="H430" s="1"/>
      <c r="M430" s="21">
        <f t="shared" si="6"/>
        <v>5.4960683759899993</v>
      </c>
    </row>
    <row r="431" spans="1:13" ht="12.75">
      <c r="A431" s="142">
        <v>14</v>
      </c>
      <c r="B431" s="1" t="s">
        <v>16</v>
      </c>
      <c r="F431" s="164">
        <f>IF(B431="","", VLOOKUP(B431,'SUB RECIPE LIST'!A:E,5,0))</f>
        <v>37.667307692307688</v>
      </c>
      <c r="G431" s="11" t="s">
        <v>142</v>
      </c>
      <c r="H431" s="1"/>
      <c r="M431" s="21">
        <f t="shared" si="6"/>
        <v>3.7667307692307687E-2</v>
      </c>
    </row>
    <row r="432" spans="1:13" ht="12.75">
      <c r="A432" s="142">
        <v>15</v>
      </c>
      <c r="B432" s="1" t="s">
        <v>551</v>
      </c>
      <c r="F432" s="164">
        <f>IF(B432="","", VLOOKUP(B432,'SUB RECIPE LIST'!A:E,5,0))</f>
        <v>67.702427184466018</v>
      </c>
      <c r="G432" s="11" t="s">
        <v>142</v>
      </c>
      <c r="H432" s="1"/>
      <c r="M432" s="21">
        <f t="shared" si="6"/>
        <v>6.7702427184466021E-2</v>
      </c>
    </row>
    <row r="433" spans="1:13" ht="12.75">
      <c r="A433" s="142">
        <v>16</v>
      </c>
      <c r="B433" s="1" t="s">
        <v>51</v>
      </c>
      <c r="F433" s="164">
        <f>IF(B433="","", VLOOKUP(B433,'SUB RECIPE LIST'!A:E,5,0))</f>
        <v>151.36170212765956</v>
      </c>
      <c r="G433" s="11" t="s">
        <v>142</v>
      </c>
      <c r="H433" s="1"/>
      <c r="M433" s="21">
        <f t="shared" si="6"/>
        <v>0.15136170212765956</v>
      </c>
    </row>
    <row r="434" spans="1:13" ht="12.75">
      <c r="A434" s="142">
        <v>17</v>
      </c>
      <c r="B434" s="1" t="s">
        <v>288</v>
      </c>
      <c r="F434" s="164">
        <f>IF(B434="","", VLOOKUP(B434,'SUB RECIPE LIST'!A:E,5,0))</f>
        <v>139.9</v>
      </c>
      <c r="G434" s="11" t="s">
        <v>142</v>
      </c>
      <c r="H434" s="1"/>
      <c r="M434" s="21">
        <f t="shared" si="6"/>
        <v>0.1399</v>
      </c>
    </row>
    <row r="435" spans="1:13" ht="12.75">
      <c r="A435" s="142">
        <v>18</v>
      </c>
      <c r="B435" s="1" t="s">
        <v>46</v>
      </c>
      <c r="F435" s="164">
        <f>IF(B435="","", VLOOKUP(B435,'SUB RECIPE LIST'!A:E,5,0))</f>
        <v>18.00516551724138</v>
      </c>
      <c r="G435" s="11" t="s">
        <v>161</v>
      </c>
      <c r="H435" s="1"/>
      <c r="M435" s="21">
        <f t="shared" si="6"/>
        <v>18.00516551724138</v>
      </c>
    </row>
    <row r="436" spans="1:13" ht="15">
      <c r="A436" s="142">
        <v>19</v>
      </c>
      <c r="B436" s="2" t="s">
        <v>542</v>
      </c>
      <c r="F436" s="164">
        <f>IF(B436="","", VLOOKUP(B436,'SUB RECIPE LIST'!A:E,5,0))</f>
        <v>336.20862068965522</v>
      </c>
      <c r="G436" s="11" t="s">
        <v>142</v>
      </c>
      <c r="H436" s="1"/>
      <c r="M436" s="21">
        <f t="shared" si="6"/>
        <v>0.33620862068965524</v>
      </c>
    </row>
    <row r="437" spans="1:13" ht="12.75">
      <c r="A437" s="142">
        <v>20</v>
      </c>
      <c r="B437" s="1" t="s">
        <v>47</v>
      </c>
      <c r="F437" s="164">
        <f>IF(B437="","", VLOOKUP(B437,'SUB RECIPE LIST'!A:E,5,0))</f>
        <v>62.755294117647068</v>
      </c>
      <c r="G437" s="11" t="s">
        <v>142</v>
      </c>
      <c r="H437" s="1"/>
      <c r="M437" s="21">
        <f t="shared" si="6"/>
        <v>6.2755294117647062E-2</v>
      </c>
    </row>
    <row r="438" spans="1:13" ht="12.75">
      <c r="A438" s="142">
        <v>21</v>
      </c>
      <c r="B438" s="1" t="s">
        <v>41</v>
      </c>
      <c r="F438" s="164">
        <f>IF(B438="","", VLOOKUP(B438,'SUB RECIPE LIST'!A:E,5,0))</f>
        <v>10.4972075</v>
      </c>
      <c r="G438" s="11" t="s">
        <v>161</v>
      </c>
      <c r="H438" s="1"/>
      <c r="M438" s="21">
        <f t="shared" si="6"/>
        <v>10.4972075</v>
      </c>
    </row>
    <row r="439" spans="1:13" ht="15">
      <c r="A439" s="142">
        <v>22</v>
      </c>
      <c r="B439" s="2" t="s">
        <v>543</v>
      </c>
      <c r="F439" s="164">
        <f>IF(B439="","", VLOOKUP(B439,'SUB RECIPE LIST'!A:E,5,0))</f>
        <v>289.55</v>
      </c>
      <c r="G439" s="11" t="s">
        <v>142</v>
      </c>
      <c r="H439" s="1"/>
      <c r="M439" s="21">
        <f t="shared" si="6"/>
        <v>0.28955000000000003</v>
      </c>
    </row>
    <row r="440" spans="1:13" ht="12.75">
      <c r="A440" s="142">
        <v>23</v>
      </c>
      <c r="B440" s="3" t="s">
        <v>292</v>
      </c>
      <c r="F440" s="164">
        <f>IF(B440="","", VLOOKUP(B440,'SUB RECIPE LIST'!A:E,5,0))</f>
        <v>48</v>
      </c>
      <c r="G440" s="11" t="s">
        <v>142</v>
      </c>
      <c r="H440" s="1"/>
      <c r="M440" s="21">
        <f t="shared" si="6"/>
        <v>4.8000000000000001E-2</v>
      </c>
    </row>
    <row r="441" spans="1:13" ht="12.75">
      <c r="A441" s="142">
        <v>24</v>
      </c>
      <c r="B441" s="1" t="s">
        <v>545</v>
      </c>
      <c r="F441" s="164">
        <f>IF(B441="","", VLOOKUP(B441,'SUB RECIPE LIST'!A:E,5,0))</f>
        <v>164.89916666666667</v>
      </c>
      <c r="G441" s="11" t="s">
        <v>142</v>
      </c>
      <c r="H441" s="1"/>
      <c r="M441" s="21">
        <f t="shared" si="6"/>
        <v>0.16489916666666668</v>
      </c>
    </row>
    <row r="442" spans="1:13" ht="15">
      <c r="A442" s="142">
        <v>25</v>
      </c>
      <c r="B442" s="2" t="s">
        <v>57</v>
      </c>
      <c r="F442" s="164">
        <f>IF(B442="","", VLOOKUP(B442,'SUB RECIPE LIST'!A:E,5,0))</f>
        <v>0.64</v>
      </c>
      <c r="G442" s="11" t="s">
        <v>161</v>
      </c>
      <c r="H442" s="1"/>
      <c r="M442" s="21">
        <f t="shared" si="6"/>
        <v>0.64</v>
      </c>
    </row>
    <row r="443" spans="1:13" ht="15">
      <c r="A443" s="142">
        <v>26</v>
      </c>
      <c r="B443" s="2" t="s">
        <v>557</v>
      </c>
      <c r="F443" s="164">
        <f>IF(B443="","", VLOOKUP(B443,'SUB RECIPE LIST'!A:E,5,0))</f>
        <v>116.29539497928903</v>
      </c>
      <c r="G443" s="11" t="s">
        <v>142</v>
      </c>
      <c r="H443" s="1"/>
      <c r="M443" s="21">
        <f t="shared" si="6"/>
        <v>0.11629539497928904</v>
      </c>
    </row>
    <row r="444" spans="1:13" ht="12.75">
      <c r="A444" s="142">
        <v>27</v>
      </c>
      <c r="B444" s="1" t="s">
        <v>47</v>
      </c>
      <c r="F444" s="164">
        <f>IF(B444="","", VLOOKUP(B444,'SUB RECIPE LIST'!A:E,5,0))</f>
        <v>62.755294117647068</v>
      </c>
      <c r="G444" s="11" t="s">
        <v>142</v>
      </c>
      <c r="H444" s="1"/>
      <c r="M444" s="21">
        <f t="shared" si="6"/>
        <v>6.2755294117647062E-2</v>
      </c>
    </row>
    <row r="445" spans="1:13" ht="15">
      <c r="A445" s="142">
        <v>28</v>
      </c>
      <c r="B445" s="2" t="s">
        <v>557</v>
      </c>
      <c r="F445" s="164">
        <f>IF(B445="","", VLOOKUP(B445,'SUB RECIPE LIST'!A:E,5,0))</f>
        <v>116.29539497928903</v>
      </c>
      <c r="G445" s="11" t="s">
        <v>142</v>
      </c>
      <c r="H445" s="1"/>
      <c r="M445" s="21">
        <f t="shared" si="6"/>
        <v>0.11629539497928904</v>
      </c>
    </row>
    <row r="446" spans="1:13" ht="12.75">
      <c r="A446" s="142">
        <v>29</v>
      </c>
      <c r="B446" s="1" t="s">
        <v>45</v>
      </c>
      <c r="F446" s="164">
        <f>IF(B446="","", VLOOKUP(B446,'SUB RECIPE LIST'!A:E,5,0))</f>
        <v>17.600000000000001</v>
      </c>
      <c r="G446" s="11" t="s">
        <v>161</v>
      </c>
      <c r="H446" s="1"/>
      <c r="M446" s="21">
        <f t="shared" si="6"/>
        <v>17.600000000000001</v>
      </c>
    </row>
    <row r="447" spans="1:13" ht="15">
      <c r="A447" s="142">
        <v>30</v>
      </c>
      <c r="B447" s="2" t="s">
        <v>295</v>
      </c>
      <c r="F447" s="164">
        <f>IF(B447="","", VLOOKUP(B447,'SUB RECIPE LIST'!A:E,5,0))</f>
        <v>123.28832000000001</v>
      </c>
      <c r="G447" s="11" t="s">
        <v>142</v>
      </c>
      <c r="H447" s="1"/>
      <c r="M447" s="21">
        <f t="shared" si="6"/>
        <v>0.12328832000000001</v>
      </c>
    </row>
    <row r="448" spans="1:13" ht="15">
      <c r="A448" s="142">
        <v>31</v>
      </c>
      <c r="B448" s="2" t="s">
        <v>55</v>
      </c>
      <c r="F448" s="164">
        <f>IF(B448="","", VLOOKUP(B448,'SUB RECIPE LIST'!A:E,5,0))</f>
        <v>17.86</v>
      </c>
      <c r="G448" s="11" t="s">
        <v>142</v>
      </c>
      <c r="H448" s="1"/>
      <c r="M448" s="21">
        <f t="shared" si="6"/>
        <v>1.7860000000000001E-2</v>
      </c>
    </row>
    <row r="449" spans="1:13" ht="12.75">
      <c r="A449" s="142">
        <v>32</v>
      </c>
      <c r="B449" s="1" t="s">
        <v>56</v>
      </c>
      <c r="F449" s="164">
        <f>IF(B449="","", VLOOKUP(B449,'SUB RECIPE LIST'!A:E,5,0))</f>
        <v>36.766600000000004</v>
      </c>
      <c r="G449" s="11" t="s">
        <v>142</v>
      </c>
      <c r="H449" s="1"/>
      <c r="M449" s="21">
        <f t="shared" si="6"/>
        <v>3.6766600000000003E-2</v>
      </c>
    </row>
    <row r="450" spans="1:13" ht="12.75">
      <c r="A450" s="142">
        <v>33</v>
      </c>
      <c r="B450" s="1" t="s">
        <v>90</v>
      </c>
      <c r="F450" s="164">
        <f>IF(B450="","", VLOOKUP(B450,'SUB RECIPE LIST'!A:E,5,0))</f>
        <v>192.66372083333334</v>
      </c>
      <c r="G450" s="11" t="s">
        <v>142</v>
      </c>
      <c r="H450" s="1"/>
      <c r="M450" s="21">
        <f t="shared" si="6"/>
        <v>0.19266372083333333</v>
      </c>
    </row>
    <row r="451" spans="1:13" ht="15">
      <c r="A451" s="142">
        <v>34</v>
      </c>
      <c r="B451" s="2" t="s">
        <v>296</v>
      </c>
      <c r="F451" s="164">
        <f>IF(B451="","", VLOOKUP(B451,'SUB RECIPE LIST'!A:E,5,0))</f>
        <v>169</v>
      </c>
      <c r="G451" s="11" t="s">
        <v>142</v>
      </c>
      <c r="H451" s="1"/>
      <c r="M451" s="21">
        <f t="shared" si="6"/>
        <v>0.16900000000000001</v>
      </c>
    </row>
    <row r="452" spans="1:13" ht="12.75">
      <c r="A452" s="142">
        <v>35</v>
      </c>
      <c r="B452" s="1" t="s">
        <v>297</v>
      </c>
      <c r="F452" s="164">
        <f>IF(B452="","", VLOOKUP(B452,'SUB RECIPE LIST'!A:E,5,0))</f>
        <v>146.91282806818344</v>
      </c>
      <c r="G452" s="11" t="s">
        <v>142</v>
      </c>
      <c r="H452" s="1"/>
      <c r="M452" s="21">
        <f t="shared" si="6"/>
        <v>0.14691282806818345</v>
      </c>
    </row>
    <row r="453" spans="1:13" ht="12.75">
      <c r="A453" s="142">
        <v>36</v>
      </c>
      <c r="B453" s="1" t="s">
        <v>48</v>
      </c>
      <c r="F453" s="164">
        <f>IF(B453="","", VLOOKUP(B453,'SUB RECIPE LIST'!A:E,5,0))</f>
        <v>2.2871538461538465</v>
      </c>
      <c r="G453" s="11" t="s">
        <v>161</v>
      </c>
      <c r="H453" s="1"/>
      <c r="M453" s="21">
        <f t="shared" si="6"/>
        <v>2.2871538461538465</v>
      </c>
    </row>
    <row r="454" spans="1:13" ht="12.75">
      <c r="A454" s="142">
        <v>37</v>
      </c>
      <c r="B454" s="1" t="s">
        <v>570</v>
      </c>
      <c r="F454" s="164">
        <f>IF(B454="","", VLOOKUP(B454,'SUB RECIPE LIST'!A:E,5,0))</f>
        <v>64.817730000000012</v>
      </c>
      <c r="G454" s="11" t="s">
        <v>142</v>
      </c>
      <c r="H454" s="1"/>
      <c r="M454" s="21">
        <f t="shared" si="6"/>
        <v>6.4817730000000018E-2</v>
      </c>
    </row>
    <row r="455" spans="1:13" ht="12.75">
      <c r="A455" s="142">
        <v>38</v>
      </c>
      <c r="B455" s="1" t="s">
        <v>72</v>
      </c>
      <c r="F455" s="164">
        <f>IF(B455="","", VLOOKUP(B455,'SUB RECIPE LIST'!A:E,5,0))</f>
        <v>87.455599999999976</v>
      </c>
      <c r="G455" s="11" t="s">
        <v>142</v>
      </c>
      <c r="M455" s="21">
        <f t="shared" si="6"/>
        <v>8.7455599999999981E-2</v>
      </c>
    </row>
    <row r="456" spans="1:13" ht="12.75">
      <c r="A456" s="142">
        <v>39</v>
      </c>
      <c r="B456" s="1" t="s">
        <v>73</v>
      </c>
      <c r="F456" s="164">
        <f>IF(B456="","", VLOOKUP(B456,'SUB RECIPE LIST'!A:E,5,0))</f>
        <v>87.445439999999991</v>
      </c>
      <c r="G456" s="11" t="s">
        <v>142</v>
      </c>
      <c r="M456" s="21">
        <f t="shared" si="6"/>
        <v>8.7445439999999985E-2</v>
      </c>
    </row>
    <row r="457" spans="1:13" ht="12.75">
      <c r="A457" s="142">
        <v>40</v>
      </c>
      <c r="B457" s="1" t="s">
        <v>74</v>
      </c>
      <c r="F457" s="164">
        <f>IF(B457="","", VLOOKUP(B457,'SUB RECIPE LIST'!A:E,5,0))</f>
        <v>131.60544000000004</v>
      </c>
      <c r="G457" s="11" t="s">
        <v>142</v>
      </c>
      <c r="M457" s="21">
        <f t="shared" si="6"/>
        <v>0.13160544000000005</v>
      </c>
    </row>
    <row r="458" spans="1:13" ht="12.75">
      <c r="A458" s="142">
        <v>41</v>
      </c>
      <c r="B458" s="1" t="s">
        <v>76</v>
      </c>
      <c r="F458" s="164">
        <f>IF(B458="","", VLOOKUP(B458,'SUB RECIPE LIST'!A:E,5,0))</f>
        <v>207.01023000000004</v>
      </c>
      <c r="G458" s="11" t="s">
        <v>142</v>
      </c>
      <c r="M458" s="21">
        <f t="shared" si="6"/>
        <v>0.20701023000000005</v>
      </c>
    </row>
    <row r="459" spans="1:13" ht="12.75">
      <c r="A459" s="142">
        <v>42</v>
      </c>
      <c r="B459" s="1" t="s">
        <v>574</v>
      </c>
      <c r="F459" s="164">
        <f>IF(B459="","", VLOOKUP(B459,'SUB RECIPE LIST'!A:E,5,0))</f>
        <v>71.650000000000006</v>
      </c>
      <c r="G459" s="11" t="s">
        <v>142</v>
      </c>
      <c r="M459" s="21">
        <f t="shared" si="6"/>
        <v>7.1650000000000005E-2</v>
      </c>
    </row>
    <row r="460" spans="1:13" ht="12.75">
      <c r="A460" s="142">
        <v>43</v>
      </c>
      <c r="B460" s="1" t="s">
        <v>556</v>
      </c>
      <c r="F460" s="164">
        <f>IF(B460="","", VLOOKUP(B460,'SUB RECIPE LIST'!A:E,5,0))</f>
        <v>20</v>
      </c>
      <c r="G460" s="11" t="s">
        <v>142</v>
      </c>
      <c r="M460" s="21">
        <f t="shared" si="6"/>
        <v>0.02</v>
      </c>
    </row>
    <row r="461" spans="1:13" ht="12.75">
      <c r="A461" s="142">
        <v>44</v>
      </c>
      <c r="B461" s="1" t="s">
        <v>115</v>
      </c>
      <c r="F461" s="164">
        <f>IF(B461="","", VLOOKUP(B461,'SUB RECIPE LIST'!A:E,5,0))</f>
        <v>181.1787688757567</v>
      </c>
      <c r="G461" s="11" t="s">
        <v>142</v>
      </c>
      <c r="M461" s="21">
        <f t="shared" si="6"/>
        <v>0.18117876887575671</v>
      </c>
    </row>
    <row r="462" spans="1:13" ht="12.75">
      <c r="A462" s="142">
        <v>45</v>
      </c>
      <c r="B462" s="1" t="s">
        <v>308</v>
      </c>
      <c r="F462" s="164">
        <f>IF(B462="","", VLOOKUP(B462,'SUB RECIPE LIST'!A:E,5,0))</f>
        <v>146.91282806818344</v>
      </c>
      <c r="G462" s="11" t="s">
        <v>142</v>
      </c>
      <c r="M462" s="21">
        <f t="shared" si="6"/>
        <v>0.14691282806818345</v>
      </c>
    </row>
    <row r="463" spans="1:13" ht="12.75">
      <c r="A463" s="143">
        <v>46</v>
      </c>
      <c r="B463" s="1" t="s">
        <v>91</v>
      </c>
      <c r="F463" s="164">
        <f>IF(B463="","", VLOOKUP(B463,'SUB RECIPE LIST'!A:E,5,0))</f>
        <v>209.23839757329793</v>
      </c>
      <c r="G463" s="11" t="s">
        <v>142</v>
      </c>
      <c r="M463" s="21">
        <f t="shared" si="6"/>
        <v>0.20923839757329793</v>
      </c>
    </row>
    <row r="464" spans="1:13" ht="12.75">
      <c r="A464" s="143">
        <v>47</v>
      </c>
      <c r="B464" s="1" t="s">
        <v>110</v>
      </c>
      <c r="F464" s="164">
        <f>IF(B464="","", VLOOKUP(B464,'SUB RECIPE LIST'!A:E,5,0))</f>
        <v>3.9440000000000004</v>
      </c>
      <c r="G464" s="11" t="s">
        <v>161</v>
      </c>
      <c r="M464" s="21">
        <f t="shared" si="6"/>
        <v>3.9440000000000004</v>
      </c>
    </row>
    <row r="465" spans="1:13" ht="12.75">
      <c r="A465" s="143">
        <v>49</v>
      </c>
      <c r="B465" s="1" t="s">
        <v>43</v>
      </c>
      <c r="F465" s="164">
        <f>IF(B465="","", VLOOKUP(B465,'SUB RECIPE LIST'!A:E,5,0))</f>
        <v>130.1925</v>
      </c>
      <c r="G465" s="11" t="s">
        <v>142</v>
      </c>
      <c r="M465" s="21">
        <f t="shared" si="6"/>
        <v>0.13019249999999999</v>
      </c>
    </row>
    <row r="466" spans="1:13" ht="12.75">
      <c r="A466" s="143">
        <v>50</v>
      </c>
      <c r="B466" s="1" t="s">
        <v>105</v>
      </c>
      <c r="F466" s="164">
        <f>IF(B466="","", VLOOKUP(B466,'SUB RECIPE LIST'!A:E,5,0))</f>
        <v>9.7477845528455287</v>
      </c>
      <c r="G466" s="11" t="s">
        <v>161</v>
      </c>
      <c r="M466" s="21">
        <f t="shared" si="6"/>
        <v>9.7477845528455287</v>
      </c>
    </row>
    <row r="467" spans="1:13" ht="15.75" customHeight="1">
      <c r="A467" s="143">
        <v>51</v>
      </c>
      <c r="B467" s="1" t="s">
        <v>660</v>
      </c>
      <c r="F467" s="164">
        <f>IF(B467="","", VLOOKUP(B467,'SUB RECIPE LIST'!A:E,5,0))</f>
        <v>134.30000000000001</v>
      </c>
      <c r="G467" s="11" t="s">
        <v>142</v>
      </c>
      <c r="M467" s="21">
        <f t="shared" si="6"/>
        <v>0.1343</v>
      </c>
    </row>
    <row r="468" spans="1:13" ht="15.75" customHeight="1">
      <c r="A468" s="143">
        <v>52</v>
      </c>
      <c r="B468" s="1" t="s">
        <v>656</v>
      </c>
      <c r="F468" s="164">
        <f>IF(B468="","", VLOOKUP(B468,'SUB RECIPE LIST'!A:E,5,0))</f>
        <v>134.50650000000002</v>
      </c>
      <c r="G468" s="11" t="s">
        <v>142</v>
      </c>
      <c r="M468" s="21">
        <f t="shared" si="6"/>
        <v>0.13450650000000003</v>
      </c>
    </row>
    <row r="469" spans="1:13" ht="15.75" customHeight="1">
      <c r="A469" s="143">
        <v>53</v>
      </c>
      <c r="B469" s="13" t="s">
        <v>42</v>
      </c>
      <c r="F469" s="164">
        <f>IF(B469="","", VLOOKUP(B469,'SUB RECIPE LIST'!A:E,5,0))</f>
        <v>11.421520500000003</v>
      </c>
      <c r="G469" s="11" t="s">
        <v>161</v>
      </c>
      <c r="M469" s="21">
        <f t="shared" si="6"/>
        <v>11.421520500000003</v>
      </c>
    </row>
    <row r="470" spans="1:13" ht="15.75" customHeight="1">
      <c r="A470" s="143">
        <v>54</v>
      </c>
      <c r="B470" s="2" t="s">
        <v>661</v>
      </c>
      <c r="F470" s="164">
        <f>IF(B470="","", VLOOKUP(B470,'SUB RECIPE LIST'!A:E,5,0))</f>
        <v>131.78571428571428</v>
      </c>
      <c r="G470" s="11" t="s">
        <v>142</v>
      </c>
      <c r="M470" s="21">
        <f t="shared" si="6"/>
        <v>0.13178571428571428</v>
      </c>
    </row>
    <row r="471" spans="1:13" ht="15.75" customHeight="1">
      <c r="A471" s="143">
        <v>55</v>
      </c>
      <c r="B471" s="13" t="s">
        <v>668</v>
      </c>
      <c r="F471" s="164">
        <f>IF(B471="","", VLOOKUP(B471,'SUB RECIPE LIST'!A:E,5,0))</f>
        <v>13.7765</v>
      </c>
      <c r="G471" s="11" t="s">
        <v>161</v>
      </c>
      <c r="M471" s="21">
        <f t="shared" si="6"/>
        <v>13.7765</v>
      </c>
    </row>
    <row r="472" spans="1:13" ht="15.75" customHeight="1">
      <c r="A472" s="143">
        <v>56</v>
      </c>
      <c r="B472" s="198" t="s">
        <v>676</v>
      </c>
      <c r="F472" s="164">
        <f>IF(B472="","", VLOOKUP(B472,'SUB RECIPE LIST'!A:E,5,0))</f>
        <v>0.76</v>
      </c>
      <c r="G472" s="11" t="s">
        <v>161</v>
      </c>
      <c r="M472" s="21">
        <f t="shared" si="6"/>
        <v>0.76</v>
      </c>
    </row>
    <row r="473" spans="1:13" ht="15.75" customHeight="1">
      <c r="A473" s="249">
        <v>57</v>
      </c>
      <c r="B473" s="1" t="s">
        <v>560</v>
      </c>
      <c r="F473" s="164">
        <f>IF(B473="","", VLOOKUP(B473,'SUB RECIPE LIST'!A:E,5,0))</f>
        <v>509.5</v>
      </c>
      <c r="G473" s="249" t="s">
        <v>142</v>
      </c>
      <c r="M473" s="21">
        <f t="shared" si="6"/>
        <v>0.50949999999999995</v>
      </c>
    </row>
  </sheetData>
  <sheetProtection selectLockedCells="1"/>
  <dataValidations count="4">
    <dataValidation type="list" allowBlank="1" sqref="G418:G459 G2:G410 G412:G415" xr:uid="{00000000-0002-0000-0300-000001000000}">
      <formula1>"Kg,Litre,Piece,Can,Box,g,ml"</formula1>
    </dataValidation>
    <dataValidation type="list" allowBlank="1" showErrorMessage="1" sqref="C2:C400" xr:uid="{00000000-0002-0000-0300-000002000000}">
      <formula1>"Vegetables,Fruits,Dairy,Masala,Sauces,Oils,Others,Grains &amp; Pulses"</formula1>
    </dataValidation>
    <dataValidation type="list" allowBlank="1" sqref="B399:B400 B414 B402" xr:uid="{00000000-0002-0000-0300-000000000000}">
      <formula1>$B$2:$B$479</formula1>
    </dataValidation>
    <dataValidation type="list" allowBlank="1" sqref="B403:B404" xr:uid="{FF18F640-A6FB-4A5A-A6F6-5F229E5D62AF}">
      <formula1>$B:$B</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8E40"/>
    <outlinePr summaryBelow="0" summaryRight="0"/>
  </sheetPr>
  <dimension ref="A1:Z1019"/>
  <sheetViews>
    <sheetView topLeftCell="A125" workbookViewId="0">
      <selection activeCell="C143" sqref="C143"/>
    </sheetView>
  </sheetViews>
  <sheetFormatPr defaultColWidth="12.5703125" defaultRowHeight="15.75" customHeight="1"/>
  <cols>
    <col min="1" max="1" width="28.42578125" customWidth="1"/>
    <col min="2" max="2" width="19.140625" bestFit="1" customWidth="1"/>
    <col min="3" max="3" width="23.7109375" customWidth="1"/>
    <col min="4" max="4" width="27" bestFit="1" customWidth="1"/>
    <col min="5" max="5" width="14.140625" bestFit="1" customWidth="1"/>
    <col min="6" max="6" width="38.28515625" customWidth="1"/>
  </cols>
  <sheetData>
    <row r="1" spans="1:26" ht="18">
      <c r="A1" s="160" t="s">
        <v>299</v>
      </c>
      <c r="B1" s="160" t="s">
        <v>302</v>
      </c>
      <c r="C1" s="161" t="s">
        <v>127</v>
      </c>
      <c r="D1" s="161" t="s">
        <v>300</v>
      </c>
      <c r="E1" s="161" t="s">
        <v>135</v>
      </c>
      <c r="F1" s="20"/>
      <c r="G1" s="1"/>
      <c r="H1" s="1"/>
      <c r="I1" s="1"/>
      <c r="J1" s="1"/>
      <c r="K1" s="1"/>
      <c r="L1" s="1"/>
      <c r="M1" s="1"/>
      <c r="N1" s="1"/>
      <c r="O1" s="1"/>
      <c r="P1" s="1"/>
      <c r="Q1" s="1"/>
      <c r="R1" s="1"/>
      <c r="S1" s="1"/>
      <c r="T1" s="1"/>
      <c r="U1" s="1"/>
      <c r="V1" s="1"/>
      <c r="W1" s="1"/>
      <c r="X1" s="1"/>
      <c r="Y1" s="1"/>
      <c r="Z1" s="1"/>
    </row>
    <row r="2" spans="1:26" ht="12.75">
      <c r="A2" s="1" t="s">
        <v>280</v>
      </c>
      <c r="B2" s="1" t="s">
        <v>11</v>
      </c>
      <c r="C2" s="21">
        <v>131.38686131386862</v>
      </c>
      <c r="D2" s="173">
        <f>IF(B2="","",IFERROR(VLOOKUP(B2,'ITEM LIST'!B:M,12,0)*C2,0))</f>
        <v>93.284671532846716</v>
      </c>
      <c r="E2" s="1">
        <f t="shared" ref="E2:E33" si="0">IF(A2="","", SUMIFS(D:D,A:A,A2))</f>
        <v>167.73722627737226</v>
      </c>
      <c r="F2" s="20"/>
      <c r="G2" s="1"/>
      <c r="H2" s="1"/>
      <c r="I2" s="1"/>
      <c r="J2" s="1"/>
      <c r="K2" s="1"/>
      <c r="L2" s="1"/>
      <c r="M2" s="1"/>
      <c r="N2" s="1"/>
      <c r="O2" s="1"/>
      <c r="P2" s="1"/>
      <c r="Q2" s="1"/>
      <c r="R2" s="1"/>
      <c r="S2" s="1"/>
      <c r="T2" s="1"/>
      <c r="U2" s="1"/>
      <c r="V2" s="1"/>
      <c r="W2" s="1"/>
      <c r="X2" s="1"/>
      <c r="Y2" s="1"/>
      <c r="Z2" s="1"/>
    </row>
    <row r="3" spans="1:26" ht="12.75">
      <c r="A3" s="1" t="s">
        <v>280</v>
      </c>
      <c r="B3" s="1" t="s">
        <v>414</v>
      </c>
      <c r="C3" s="21">
        <v>145.98540145985402</v>
      </c>
      <c r="D3" s="173">
        <f>IF(B3="","",IFERROR(VLOOKUP(B3,'ITEM LIST'!B:M,12,0)*C3,0))</f>
        <v>74.452554744525557</v>
      </c>
      <c r="E3" s="1">
        <f t="shared" si="0"/>
        <v>167.73722627737226</v>
      </c>
      <c r="F3" s="20"/>
      <c r="G3" s="1"/>
      <c r="H3" s="1"/>
      <c r="I3" s="1"/>
      <c r="J3" s="1"/>
      <c r="K3" s="1"/>
      <c r="L3" s="1"/>
      <c r="M3" s="1"/>
      <c r="N3" s="1"/>
      <c r="O3" s="1"/>
      <c r="P3" s="1"/>
      <c r="Q3" s="1"/>
      <c r="R3" s="1"/>
      <c r="S3" s="1"/>
      <c r="T3" s="1"/>
      <c r="U3" s="1"/>
      <c r="V3" s="1"/>
      <c r="W3" s="1"/>
      <c r="X3" s="1"/>
      <c r="Y3" s="1"/>
      <c r="Z3" s="1"/>
    </row>
    <row r="4" spans="1:26" ht="12.75">
      <c r="A4" s="1"/>
      <c r="B4" s="1" t="s">
        <v>371</v>
      </c>
      <c r="C4" s="21"/>
      <c r="D4" s="173" t="str">
        <f>IF(B4="","",IFERROR(VLOOKUP(B4,'ITEM LIST'!B:M,12,0)*C4,0))</f>
        <v/>
      </c>
      <c r="E4" s="1" t="str">
        <f t="shared" si="0"/>
        <v/>
      </c>
      <c r="F4" s="20"/>
      <c r="G4" s="1"/>
      <c r="H4" s="1"/>
      <c r="I4" s="1"/>
      <c r="J4" s="1"/>
      <c r="K4" s="1"/>
      <c r="L4" s="1"/>
      <c r="M4" s="1"/>
      <c r="N4" s="1"/>
      <c r="O4" s="1"/>
      <c r="P4" s="1"/>
      <c r="Q4" s="1"/>
      <c r="R4" s="1"/>
      <c r="S4" s="1"/>
      <c r="T4" s="1"/>
      <c r="U4" s="1"/>
      <c r="V4" s="1"/>
      <c r="W4" s="1"/>
      <c r="X4" s="1"/>
      <c r="Y4" s="1"/>
      <c r="Z4" s="1"/>
    </row>
    <row r="5" spans="1:26" ht="12.75">
      <c r="A5" s="1" t="s">
        <v>121</v>
      </c>
      <c r="B5" s="1" t="s">
        <v>19</v>
      </c>
      <c r="C5" s="21">
        <v>833.33333333333337</v>
      </c>
      <c r="D5" s="173">
        <f>IF(B5="","",IFERROR(VLOOKUP(B5,'ITEM LIST'!B:M,12,0)*C5,0))</f>
        <v>13.333333333333334</v>
      </c>
      <c r="E5" s="1">
        <f t="shared" si="0"/>
        <v>36.361182962962971</v>
      </c>
      <c r="F5" s="20"/>
      <c r="G5" s="1"/>
      <c r="H5" s="1"/>
      <c r="I5" s="1"/>
      <c r="J5" s="1"/>
      <c r="K5" s="1"/>
      <c r="L5" s="1"/>
      <c r="M5" s="1"/>
      <c r="N5" s="1"/>
      <c r="O5" s="1"/>
      <c r="P5" s="1"/>
      <c r="Q5" s="1"/>
      <c r="R5" s="1"/>
      <c r="S5" s="1"/>
      <c r="T5" s="1"/>
      <c r="U5" s="1"/>
      <c r="V5" s="1"/>
      <c r="W5" s="1"/>
      <c r="X5" s="1"/>
      <c r="Y5" s="1"/>
      <c r="Z5" s="1"/>
    </row>
    <row r="6" spans="1:26" ht="12.75">
      <c r="A6" s="1" t="s">
        <v>121</v>
      </c>
      <c r="B6" s="1" t="s">
        <v>118</v>
      </c>
      <c r="C6" s="21">
        <v>27.777777777777779</v>
      </c>
      <c r="D6" s="173">
        <f>IF(B6="","",IFERROR(VLOOKUP(B6,'ITEM LIST'!B:M,12,0)*C6,0))</f>
        <v>3.3333333333333335</v>
      </c>
      <c r="E6" s="1">
        <f t="shared" si="0"/>
        <v>36.361182962962971</v>
      </c>
      <c r="F6" s="20"/>
      <c r="G6" s="1"/>
      <c r="H6" s="1"/>
      <c r="I6" s="1"/>
      <c r="J6" s="1"/>
      <c r="K6" s="1"/>
      <c r="L6" s="1"/>
      <c r="M6" s="1"/>
      <c r="N6" s="1"/>
      <c r="O6" s="1"/>
      <c r="P6" s="1"/>
      <c r="Q6" s="1"/>
      <c r="R6" s="1"/>
      <c r="S6" s="1"/>
      <c r="T6" s="1"/>
      <c r="U6" s="1"/>
      <c r="V6" s="1"/>
      <c r="W6" s="1"/>
      <c r="X6" s="1"/>
      <c r="Y6" s="1"/>
      <c r="Z6" s="1"/>
    </row>
    <row r="7" spans="1:26" ht="12.75">
      <c r="A7" s="1" t="s">
        <v>121</v>
      </c>
      <c r="B7" s="1" t="s">
        <v>37</v>
      </c>
      <c r="C7" s="21">
        <v>18.518518518518519</v>
      </c>
      <c r="D7" s="173">
        <f>IF(B7="","",IFERROR(VLOOKUP(B7,'ITEM LIST'!B:M,12,0)*C7,0))</f>
        <v>3.7037037037037042</v>
      </c>
      <c r="E7" s="1">
        <f t="shared" si="0"/>
        <v>36.361182962962971</v>
      </c>
      <c r="F7" s="20"/>
      <c r="G7" s="1"/>
      <c r="H7" s="1"/>
      <c r="I7" s="1"/>
      <c r="J7" s="1"/>
      <c r="K7" s="1"/>
      <c r="L7" s="1"/>
      <c r="M7" s="1"/>
      <c r="N7" s="1"/>
      <c r="O7" s="1"/>
      <c r="P7" s="1"/>
      <c r="Q7" s="1"/>
      <c r="R7" s="1"/>
      <c r="S7" s="1"/>
      <c r="T7" s="1"/>
      <c r="U7" s="1"/>
      <c r="V7" s="1"/>
      <c r="W7" s="1"/>
      <c r="X7" s="1"/>
      <c r="Y7" s="1"/>
      <c r="Z7" s="1"/>
    </row>
    <row r="8" spans="1:26" ht="12.75">
      <c r="A8" s="1" t="s">
        <v>121</v>
      </c>
      <c r="B8" s="1" t="s">
        <v>323</v>
      </c>
      <c r="C8" s="21">
        <v>18.518518518518519</v>
      </c>
      <c r="D8" s="173">
        <f>IF(B8="","",IFERROR(VLOOKUP(B8,'ITEM LIST'!B:M,12,0)*C8,0))</f>
        <v>0.64814814814814825</v>
      </c>
      <c r="E8" s="1">
        <f t="shared" si="0"/>
        <v>36.361182962962971</v>
      </c>
      <c r="F8" s="20"/>
      <c r="G8" s="1"/>
      <c r="H8" s="1"/>
      <c r="I8" s="1"/>
      <c r="J8" s="1"/>
      <c r="K8" s="1"/>
      <c r="L8" s="1"/>
      <c r="M8" s="1"/>
      <c r="N8" s="1"/>
      <c r="O8" s="1"/>
      <c r="P8" s="1"/>
      <c r="Q8" s="1"/>
      <c r="R8" s="1"/>
      <c r="S8" s="1"/>
      <c r="T8" s="1"/>
      <c r="U8" s="1"/>
      <c r="V8" s="1"/>
      <c r="W8" s="1"/>
      <c r="X8" s="1"/>
      <c r="Y8" s="1"/>
      <c r="Z8" s="1"/>
    </row>
    <row r="9" spans="1:26" ht="12.75">
      <c r="A9" s="1" t="s">
        <v>121</v>
      </c>
      <c r="B9" s="1" t="s">
        <v>414</v>
      </c>
      <c r="C9" s="21">
        <v>18.518518518518519</v>
      </c>
      <c r="D9" s="173">
        <f>IF(B9="","",IFERROR(VLOOKUP(B9,'ITEM LIST'!B:M,12,0)*C9,0))</f>
        <v>9.4444444444444446</v>
      </c>
      <c r="E9" s="1">
        <f t="shared" si="0"/>
        <v>36.361182962962971</v>
      </c>
      <c r="F9" s="20"/>
      <c r="G9" s="1"/>
      <c r="H9" s="1"/>
      <c r="I9" s="1"/>
      <c r="J9" s="1"/>
      <c r="K9" s="1"/>
      <c r="L9" s="1"/>
      <c r="M9" s="1"/>
      <c r="N9" s="1"/>
      <c r="O9" s="1"/>
      <c r="P9" s="1"/>
      <c r="Q9" s="1"/>
      <c r="R9" s="1"/>
      <c r="S9" s="1"/>
      <c r="T9" s="1"/>
      <c r="U9" s="1"/>
      <c r="V9" s="1"/>
      <c r="W9" s="1"/>
      <c r="X9" s="1"/>
      <c r="Y9" s="1"/>
      <c r="Z9" s="1"/>
    </row>
    <row r="10" spans="1:26" ht="12.75">
      <c r="A10" s="1" t="s">
        <v>121</v>
      </c>
      <c r="B10" s="1" t="s">
        <v>12</v>
      </c>
      <c r="C10" s="21">
        <v>9.26</v>
      </c>
      <c r="D10" s="173">
        <f>IF(B10="","",IFERROR(VLOOKUP(B10,'ITEM LIST'!B:M,12,0)*C10,0))</f>
        <v>0.89822000000000002</v>
      </c>
      <c r="E10" s="1">
        <f t="shared" si="0"/>
        <v>36.361182962962971</v>
      </c>
      <c r="F10" s="20"/>
      <c r="G10" s="1"/>
      <c r="H10" s="1"/>
      <c r="I10" s="1"/>
      <c r="J10" s="1"/>
      <c r="K10" s="1"/>
      <c r="L10" s="1"/>
      <c r="M10" s="1"/>
      <c r="N10" s="1"/>
      <c r="O10" s="1"/>
      <c r="P10" s="1"/>
      <c r="Q10" s="1"/>
      <c r="R10" s="1"/>
      <c r="S10" s="1"/>
      <c r="T10" s="1"/>
      <c r="U10" s="1"/>
      <c r="V10" s="1"/>
      <c r="W10" s="1"/>
      <c r="X10" s="1"/>
      <c r="Y10" s="1"/>
      <c r="Z10" s="1"/>
    </row>
    <row r="11" spans="1:26" ht="12.75">
      <c r="A11" s="1" t="s">
        <v>121</v>
      </c>
      <c r="B11" s="1" t="s">
        <v>670</v>
      </c>
      <c r="C11" s="21">
        <v>37.037037037037038</v>
      </c>
      <c r="D11" s="173">
        <f>IF(B11="","",IFERROR(VLOOKUP(B11,'ITEM LIST'!B:M,12,0)*C11,0))</f>
        <v>4.4444444444444446</v>
      </c>
      <c r="E11" s="1">
        <f t="shared" si="0"/>
        <v>36.361182962962971</v>
      </c>
      <c r="F11" s="20"/>
      <c r="G11" s="1"/>
      <c r="H11" s="1"/>
      <c r="I11" s="1"/>
      <c r="J11" s="1"/>
      <c r="K11" s="1"/>
      <c r="L11" s="1"/>
      <c r="M11" s="1"/>
      <c r="N11" s="1"/>
      <c r="O11" s="1"/>
      <c r="P11" s="1"/>
      <c r="Q11" s="1"/>
      <c r="R11" s="1"/>
      <c r="S11" s="1"/>
      <c r="T11" s="1"/>
      <c r="U11" s="1"/>
      <c r="V11" s="1"/>
      <c r="W11" s="1"/>
      <c r="X11" s="1"/>
      <c r="Y11" s="1"/>
      <c r="Z11" s="1"/>
    </row>
    <row r="12" spans="1:26" ht="12.75">
      <c r="A12" s="1" t="s">
        <v>121</v>
      </c>
      <c r="B12" s="1" t="s">
        <v>101</v>
      </c>
      <c r="C12" s="21">
        <v>74.074074074074076</v>
      </c>
      <c r="D12" s="173">
        <f>IF(B12="","",IFERROR(VLOOKUP(B12,'ITEM LIST'!B:M,12,0)*C12,0))</f>
        <v>0</v>
      </c>
      <c r="E12" s="1">
        <f t="shared" si="0"/>
        <v>36.361182962962971</v>
      </c>
      <c r="F12" s="20"/>
      <c r="G12" s="1"/>
      <c r="H12" s="1"/>
      <c r="I12" s="1"/>
      <c r="J12" s="1"/>
      <c r="K12" s="1"/>
      <c r="L12" s="1"/>
      <c r="M12" s="1"/>
      <c r="N12" s="1"/>
      <c r="O12" s="1"/>
      <c r="P12" s="1"/>
      <c r="Q12" s="1"/>
      <c r="R12" s="1"/>
      <c r="S12" s="1"/>
      <c r="T12" s="1"/>
      <c r="U12" s="1"/>
      <c r="V12" s="1"/>
      <c r="W12" s="1"/>
      <c r="X12" s="1"/>
      <c r="Y12" s="1"/>
      <c r="Z12" s="1"/>
    </row>
    <row r="13" spans="1:26" ht="12.75">
      <c r="A13" s="1" t="s">
        <v>121</v>
      </c>
      <c r="B13" s="1" t="s">
        <v>18</v>
      </c>
      <c r="C13" s="21">
        <v>18.518518518518519</v>
      </c>
      <c r="D13" s="173">
        <f>IF(B13="","",IFERROR(VLOOKUP(B13,'ITEM LIST'!B:M,12,0)*C13,0))</f>
        <v>0.55555555555555558</v>
      </c>
      <c r="E13" s="1">
        <f t="shared" si="0"/>
        <v>36.361182962962971</v>
      </c>
      <c r="F13" s="20"/>
      <c r="G13" s="1"/>
      <c r="H13" s="1"/>
      <c r="I13" s="1"/>
      <c r="J13" s="1"/>
      <c r="K13" s="1"/>
      <c r="L13" s="1"/>
      <c r="M13" s="1"/>
      <c r="N13" s="1"/>
      <c r="O13" s="1"/>
      <c r="P13" s="1"/>
      <c r="Q13" s="1"/>
      <c r="R13" s="1"/>
      <c r="S13" s="1"/>
      <c r="T13" s="1"/>
      <c r="U13" s="1"/>
      <c r="V13" s="1"/>
      <c r="W13" s="1"/>
      <c r="X13" s="1"/>
      <c r="Y13" s="1"/>
      <c r="Z13" s="1"/>
    </row>
    <row r="14" spans="1:26" ht="12.75">
      <c r="A14" s="1"/>
      <c r="B14" s="1" t="s">
        <v>371</v>
      </c>
      <c r="C14" s="21"/>
      <c r="D14" s="173" t="str">
        <f>IF(B14="","",IFERROR(VLOOKUP(B14,'ITEM LIST'!B:M,12,0)*C14,0))</f>
        <v/>
      </c>
      <c r="E14" s="1" t="str">
        <f t="shared" si="0"/>
        <v/>
      </c>
      <c r="F14" s="20"/>
      <c r="G14" s="1"/>
      <c r="H14" s="1"/>
      <c r="I14" s="1"/>
      <c r="J14" s="1"/>
      <c r="K14" s="1"/>
      <c r="L14" s="1"/>
      <c r="M14" s="1"/>
      <c r="N14" s="1"/>
      <c r="O14" s="1"/>
      <c r="P14" s="1"/>
      <c r="Q14" s="1"/>
      <c r="R14" s="1"/>
      <c r="S14" s="1"/>
      <c r="T14" s="1"/>
      <c r="U14" s="1"/>
      <c r="V14" s="1"/>
      <c r="W14" s="1"/>
      <c r="X14" s="1"/>
      <c r="Y14" s="1"/>
      <c r="Z14" s="1"/>
    </row>
    <row r="15" spans="1:26" ht="12.75">
      <c r="A15" s="1" t="s">
        <v>30</v>
      </c>
      <c r="B15" s="1" t="s">
        <v>20</v>
      </c>
      <c r="C15" s="21">
        <v>454.54545454545456</v>
      </c>
      <c r="D15" s="173">
        <f>IF(B15="","",IFERROR(VLOOKUP(B15,'ITEM LIST'!B:M,12,0)*C15,0))</f>
        <v>8.6363636363636367</v>
      </c>
      <c r="E15" s="1">
        <f t="shared" si="0"/>
        <v>40.295454545454547</v>
      </c>
      <c r="F15" s="20"/>
      <c r="G15" s="1"/>
      <c r="H15" s="1"/>
      <c r="I15" s="1"/>
      <c r="J15" s="1"/>
      <c r="K15" s="1"/>
      <c r="L15" s="1"/>
      <c r="M15" s="1"/>
      <c r="N15" s="1"/>
      <c r="O15" s="1"/>
      <c r="P15" s="1"/>
      <c r="Q15" s="1"/>
      <c r="R15" s="1"/>
      <c r="S15" s="1"/>
      <c r="T15" s="1"/>
      <c r="U15" s="1"/>
      <c r="V15" s="1"/>
      <c r="W15" s="1"/>
      <c r="X15" s="1"/>
      <c r="Y15" s="1"/>
      <c r="Z15" s="1"/>
    </row>
    <row r="16" spans="1:26" ht="12.75">
      <c r="A16" s="1" t="s">
        <v>30</v>
      </c>
      <c r="B16" s="1" t="s">
        <v>19</v>
      </c>
      <c r="C16" s="21">
        <v>363.63636363636363</v>
      </c>
      <c r="D16" s="173">
        <f>IF(B16="","",IFERROR(VLOOKUP(B16,'ITEM LIST'!B:M,12,0)*C16,0))</f>
        <v>5.8181818181818183</v>
      </c>
      <c r="E16" s="1">
        <f t="shared" si="0"/>
        <v>40.295454545454547</v>
      </c>
      <c r="F16" s="20"/>
      <c r="G16" s="1"/>
      <c r="H16" s="1"/>
      <c r="I16" s="1"/>
      <c r="J16" s="1"/>
      <c r="K16" s="1"/>
      <c r="L16" s="1"/>
      <c r="M16" s="1"/>
      <c r="N16" s="1"/>
      <c r="O16" s="1"/>
      <c r="P16" s="1"/>
      <c r="Q16" s="1"/>
      <c r="R16" s="1"/>
      <c r="S16" s="1"/>
      <c r="T16" s="1"/>
      <c r="U16" s="1"/>
      <c r="V16" s="1"/>
      <c r="W16" s="1"/>
      <c r="X16" s="1"/>
      <c r="Y16" s="1"/>
      <c r="Z16" s="1"/>
    </row>
    <row r="17" spans="1:26" ht="12.75">
      <c r="A17" s="1" t="s">
        <v>30</v>
      </c>
      <c r="B17" s="1" t="s">
        <v>118</v>
      </c>
      <c r="C17" s="21">
        <v>22.727272727272727</v>
      </c>
      <c r="D17" s="173">
        <f>IF(B17="","",IFERROR(VLOOKUP(B17,'ITEM LIST'!B:M,12,0)*C17,0))</f>
        <v>2.7272727272727271</v>
      </c>
      <c r="E17" s="1">
        <f t="shared" si="0"/>
        <v>40.295454545454547</v>
      </c>
      <c r="F17" s="20"/>
      <c r="G17" s="1"/>
      <c r="H17" s="1"/>
      <c r="I17" s="1"/>
      <c r="J17" s="1"/>
      <c r="K17" s="1"/>
      <c r="L17" s="1"/>
      <c r="M17" s="1"/>
      <c r="N17" s="1"/>
      <c r="O17" s="1"/>
      <c r="P17" s="1"/>
      <c r="Q17" s="1"/>
      <c r="R17" s="1"/>
      <c r="S17" s="1"/>
      <c r="T17" s="1"/>
      <c r="U17" s="1"/>
      <c r="V17" s="1"/>
      <c r="W17" s="1"/>
      <c r="X17" s="1"/>
      <c r="Y17" s="1"/>
      <c r="Z17" s="1"/>
    </row>
    <row r="18" spans="1:26" ht="12.75">
      <c r="A18" s="1" t="s">
        <v>30</v>
      </c>
      <c r="B18" s="1" t="s">
        <v>37</v>
      </c>
      <c r="C18" s="21">
        <v>22.727272727272727</v>
      </c>
      <c r="D18" s="173">
        <f>IF(B18="","",IFERROR(VLOOKUP(B18,'ITEM LIST'!B:M,12,0)*C18,0))</f>
        <v>4.5454545454545459</v>
      </c>
      <c r="E18" s="1">
        <f t="shared" si="0"/>
        <v>40.295454545454547</v>
      </c>
      <c r="F18" s="20"/>
      <c r="G18" s="1"/>
      <c r="H18" s="1"/>
      <c r="I18" s="1"/>
      <c r="J18" s="1"/>
      <c r="K18" s="1"/>
      <c r="L18" s="1"/>
      <c r="M18" s="1"/>
      <c r="N18" s="1"/>
      <c r="O18" s="1"/>
      <c r="P18" s="1"/>
      <c r="Q18" s="1"/>
      <c r="R18" s="1"/>
      <c r="S18" s="1"/>
      <c r="T18" s="1"/>
      <c r="U18" s="1"/>
      <c r="V18" s="1"/>
      <c r="W18" s="1"/>
      <c r="X18" s="1"/>
      <c r="Y18" s="1"/>
      <c r="Z18" s="1"/>
    </row>
    <row r="19" spans="1:26" ht="12.75">
      <c r="A19" s="1" t="s">
        <v>30</v>
      </c>
      <c r="B19" s="1" t="s">
        <v>12</v>
      </c>
      <c r="C19" s="21">
        <v>22.727272727272727</v>
      </c>
      <c r="D19" s="173">
        <f>IF(B19="","",IFERROR(VLOOKUP(B19,'ITEM LIST'!B:M,12,0)*C19,0))</f>
        <v>2.2045454545454546</v>
      </c>
      <c r="E19" s="1">
        <f t="shared" si="0"/>
        <v>40.295454545454547</v>
      </c>
      <c r="F19" s="20"/>
      <c r="G19" s="1"/>
      <c r="H19" s="1"/>
      <c r="I19" s="1"/>
      <c r="J19" s="1"/>
      <c r="K19" s="1"/>
      <c r="L19" s="1"/>
      <c r="M19" s="1"/>
      <c r="N19" s="1"/>
      <c r="O19" s="1"/>
      <c r="P19" s="1"/>
      <c r="Q19" s="1"/>
      <c r="R19" s="1"/>
      <c r="S19" s="1"/>
      <c r="T19" s="1"/>
      <c r="U19" s="1"/>
      <c r="V19" s="1"/>
      <c r="W19" s="1"/>
      <c r="X19" s="1"/>
      <c r="Y19" s="1"/>
      <c r="Z19" s="1"/>
    </row>
    <row r="20" spans="1:26" ht="12.75">
      <c r="A20" s="1" t="s">
        <v>30</v>
      </c>
      <c r="B20" s="1" t="s">
        <v>670</v>
      </c>
      <c r="C20" s="21">
        <v>136.36363636363637</v>
      </c>
      <c r="D20" s="173">
        <f>IF(B20="","",IFERROR(VLOOKUP(B20,'ITEM LIST'!B:M,12,0)*C20,0))</f>
        <v>16.363636363636363</v>
      </c>
      <c r="E20" s="1">
        <f t="shared" si="0"/>
        <v>40.295454545454547</v>
      </c>
      <c r="F20" s="20"/>
      <c r="G20" s="1"/>
      <c r="H20" s="1"/>
      <c r="I20" s="1"/>
      <c r="J20" s="1"/>
      <c r="K20" s="1"/>
      <c r="L20" s="1"/>
      <c r="M20" s="1"/>
      <c r="N20" s="1"/>
      <c r="O20" s="1"/>
      <c r="P20" s="1"/>
      <c r="Q20" s="1"/>
      <c r="R20" s="1"/>
      <c r="S20" s="1"/>
      <c r="T20" s="1"/>
      <c r="U20" s="1"/>
      <c r="V20" s="1"/>
      <c r="W20" s="1"/>
      <c r="X20" s="1"/>
      <c r="Y20" s="1"/>
      <c r="Z20" s="1"/>
    </row>
    <row r="21" spans="1:26" ht="12.75">
      <c r="A21" s="1"/>
      <c r="B21" s="1"/>
      <c r="C21" s="21"/>
      <c r="D21" s="173" t="str">
        <f>IF(B21="","",IFERROR(VLOOKUP(B21,'ITEM LIST'!B:M,12,0)*C21,0))</f>
        <v/>
      </c>
      <c r="E21" s="1" t="str">
        <f t="shared" si="0"/>
        <v/>
      </c>
      <c r="F21" s="20"/>
      <c r="G21" s="1"/>
      <c r="H21" s="1"/>
      <c r="I21" s="1"/>
      <c r="J21" s="1"/>
      <c r="K21" s="1"/>
      <c r="L21" s="1"/>
      <c r="M21" s="1"/>
      <c r="N21" s="1"/>
      <c r="O21" s="1"/>
      <c r="P21" s="1"/>
      <c r="Q21" s="1"/>
      <c r="R21" s="1"/>
      <c r="S21" s="1"/>
      <c r="T21" s="1"/>
      <c r="U21" s="1"/>
      <c r="V21" s="1"/>
      <c r="W21" s="1"/>
      <c r="X21" s="1"/>
      <c r="Y21" s="1"/>
      <c r="Z21" s="1"/>
    </row>
    <row r="22" spans="1:26" ht="12.75">
      <c r="A22" s="1" t="s">
        <v>281</v>
      </c>
      <c r="B22" s="1" t="s">
        <v>31</v>
      </c>
      <c r="C22" s="21">
        <v>6</v>
      </c>
      <c r="D22" s="173">
        <f>IF(B22="","",IFERROR(VLOOKUP(B22,'ITEM LIST'!B:M,12,0)*C22,0))</f>
        <v>9.6000000000000002E-2</v>
      </c>
      <c r="E22" s="1">
        <f t="shared" si="0"/>
        <v>1.9750000000000003</v>
      </c>
      <c r="F22" s="20"/>
      <c r="G22" s="1"/>
      <c r="H22" s="4"/>
      <c r="I22" s="1"/>
      <c r="J22" s="1"/>
      <c r="K22" s="1"/>
      <c r="L22" s="1"/>
      <c r="M22" s="1"/>
      <c r="N22" s="1"/>
      <c r="O22" s="1"/>
      <c r="P22" s="1"/>
      <c r="Q22" s="1"/>
      <c r="R22" s="1"/>
      <c r="S22" s="1"/>
      <c r="T22" s="1"/>
      <c r="U22" s="1"/>
      <c r="V22" s="1"/>
      <c r="W22" s="1"/>
      <c r="X22" s="1"/>
      <c r="Y22" s="1"/>
      <c r="Z22" s="1"/>
    </row>
    <row r="23" spans="1:26" ht="12.75">
      <c r="A23" s="1" t="s">
        <v>281</v>
      </c>
      <c r="B23" s="1" t="s">
        <v>17</v>
      </c>
      <c r="C23" s="21">
        <v>4</v>
      </c>
      <c r="D23" s="173">
        <f>IF(B23="","",IFERROR(VLOOKUP(B23,'ITEM LIST'!B:M,12,0)*C23,0))</f>
        <v>1.08</v>
      </c>
      <c r="E23" s="1">
        <f t="shared" si="0"/>
        <v>1.9750000000000003</v>
      </c>
      <c r="F23" s="20"/>
      <c r="G23" s="1"/>
      <c r="H23" s="1"/>
      <c r="I23" s="1"/>
      <c r="J23" s="1"/>
      <c r="K23" s="1"/>
      <c r="L23" s="1"/>
      <c r="M23" s="1"/>
      <c r="N23" s="1"/>
      <c r="O23" s="1"/>
      <c r="P23" s="1"/>
      <c r="Q23" s="1"/>
      <c r="R23" s="1"/>
      <c r="S23" s="1"/>
      <c r="T23" s="1"/>
      <c r="U23" s="1"/>
      <c r="V23" s="1"/>
      <c r="W23" s="1"/>
      <c r="X23" s="1"/>
      <c r="Y23" s="1"/>
      <c r="Z23" s="1"/>
    </row>
    <row r="24" spans="1:26" ht="12.75">
      <c r="A24" s="1" t="s">
        <v>281</v>
      </c>
      <c r="B24" s="1" t="s">
        <v>33</v>
      </c>
      <c r="C24" s="21">
        <v>1</v>
      </c>
      <c r="D24" s="173">
        <f>IF(B24="","",IFERROR(VLOOKUP(B24,'ITEM LIST'!B:M,12,0)*C24,0))</f>
        <v>0.24</v>
      </c>
      <c r="E24" s="1">
        <f t="shared" si="0"/>
        <v>1.9750000000000003</v>
      </c>
      <c r="F24" s="20"/>
      <c r="G24" s="1"/>
      <c r="H24" s="1"/>
      <c r="I24" s="1"/>
      <c r="J24" s="1"/>
      <c r="K24" s="1"/>
      <c r="L24" s="1"/>
      <c r="M24" s="1"/>
      <c r="N24" s="1"/>
      <c r="O24" s="1"/>
      <c r="P24" s="1"/>
      <c r="Q24" s="1"/>
      <c r="R24" s="1"/>
      <c r="S24" s="1"/>
      <c r="T24" s="1"/>
      <c r="U24" s="1"/>
      <c r="V24" s="1"/>
      <c r="W24" s="1"/>
      <c r="X24" s="1"/>
      <c r="Y24" s="1"/>
      <c r="Z24" s="1"/>
    </row>
    <row r="25" spans="1:26" ht="12.75">
      <c r="A25" s="1" t="s">
        <v>281</v>
      </c>
      <c r="B25" s="1" t="s">
        <v>114</v>
      </c>
      <c r="C25" s="21">
        <v>1</v>
      </c>
      <c r="D25" s="173">
        <f>IF(B25="","",IFERROR(VLOOKUP(B25,'ITEM LIST'!B:M,12,0)*C25,0))</f>
        <v>2.8000000000000001E-2</v>
      </c>
      <c r="E25" s="1">
        <f t="shared" si="0"/>
        <v>1.9750000000000003</v>
      </c>
      <c r="F25" s="20"/>
      <c r="G25" s="1"/>
      <c r="H25" s="1"/>
      <c r="I25" s="1"/>
      <c r="J25" s="1"/>
      <c r="K25" s="1"/>
      <c r="L25" s="1"/>
      <c r="M25" s="1"/>
      <c r="N25" s="1"/>
      <c r="O25" s="1"/>
      <c r="P25" s="1"/>
      <c r="Q25" s="1"/>
      <c r="R25" s="1"/>
      <c r="S25" s="1"/>
      <c r="T25" s="1"/>
      <c r="U25" s="1"/>
      <c r="V25" s="1"/>
      <c r="W25" s="1"/>
      <c r="X25" s="1"/>
      <c r="Y25" s="1"/>
      <c r="Z25" s="1"/>
    </row>
    <row r="26" spans="1:26" ht="12.75">
      <c r="A26" s="1" t="s">
        <v>281</v>
      </c>
      <c r="B26" s="1" t="s">
        <v>360</v>
      </c>
      <c r="C26" s="21">
        <v>1</v>
      </c>
      <c r="D26" s="173">
        <f>IF(B26="","",IFERROR(VLOOKUP(B26,'ITEM LIST'!B:M,12,0)*C26,0))</f>
        <v>7.1999999999999995E-2</v>
      </c>
      <c r="E26" s="1">
        <f t="shared" si="0"/>
        <v>1.9750000000000003</v>
      </c>
      <c r="F26" s="20"/>
      <c r="G26" s="1"/>
      <c r="H26" s="1"/>
      <c r="I26" s="1"/>
      <c r="J26" s="1"/>
      <c r="K26" s="1"/>
      <c r="L26" s="1"/>
      <c r="M26" s="1"/>
      <c r="N26" s="1"/>
      <c r="O26" s="1"/>
      <c r="P26" s="1"/>
      <c r="Q26" s="1"/>
      <c r="R26" s="1"/>
      <c r="S26" s="1"/>
      <c r="T26" s="1"/>
      <c r="U26" s="1"/>
      <c r="V26" s="1"/>
      <c r="W26" s="1"/>
      <c r="X26" s="1"/>
      <c r="Y26" s="1"/>
      <c r="Z26" s="1"/>
    </row>
    <row r="27" spans="1:26" ht="12.75">
      <c r="A27" s="1" t="s">
        <v>281</v>
      </c>
      <c r="B27" s="1" t="s">
        <v>27</v>
      </c>
      <c r="C27" s="21">
        <v>1</v>
      </c>
      <c r="D27" s="173">
        <f>IF(B27="","",IFERROR(VLOOKUP(B27,'ITEM LIST'!B:M,12,0)*C27,0))</f>
        <v>0.08</v>
      </c>
      <c r="E27" s="1">
        <f t="shared" si="0"/>
        <v>1.9750000000000003</v>
      </c>
      <c r="F27" s="20"/>
      <c r="G27" s="1"/>
      <c r="H27" s="1"/>
      <c r="I27" s="1"/>
      <c r="J27" s="1"/>
      <c r="K27" s="1"/>
      <c r="L27" s="1"/>
      <c r="M27" s="1"/>
      <c r="N27" s="1"/>
      <c r="O27" s="1"/>
      <c r="P27" s="1"/>
      <c r="Q27" s="1"/>
      <c r="R27" s="1"/>
      <c r="S27" s="1"/>
      <c r="T27" s="1"/>
      <c r="U27" s="1"/>
      <c r="V27" s="1"/>
      <c r="W27" s="1"/>
      <c r="X27" s="1"/>
      <c r="Y27" s="1"/>
      <c r="Z27" s="1"/>
    </row>
    <row r="28" spans="1:26" ht="12.75">
      <c r="A28" s="1" t="s">
        <v>281</v>
      </c>
      <c r="B28" s="1" t="s">
        <v>361</v>
      </c>
      <c r="C28" s="21">
        <v>1</v>
      </c>
      <c r="D28" s="173">
        <f>IF(B28="","",IFERROR(VLOOKUP(B28,'ITEM LIST'!B:M,12,0)*C28,0))</f>
        <v>7.1999999999999995E-2</v>
      </c>
      <c r="E28" s="1">
        <f t="shared" si="0"/>
        <v>1.9750000000000003</v>
      </c>
      <c r="F28" s="20"/>
      <c r="G28" s="1"/>
      <c r="H28" s="1"/>
      <c r="I28" s="1"/>
      <c r="J28" s="1"/>
      <c r="K28" s="1"/>
      <c r="L28" s="1"/>
      <c r="M28" s="1"/>
      <c r="N28" s="1"/>
      <c r="O28" s="1"/>
      <c r="P28" s="1"/>
      <c r="Q28" s="1"/>
      <c r="R28" s="1"/>
      <c r="S28" s="1"/>
      <c r="T28" s="1"/>
      <c r="U28" s="1"/>
      <c r="V28" s="1"/>
      <c r="W28" s="1"/>
      <c r="X28" s="1"/>
      <c r="Y28" s="1"/>
      <c r="Z28" s="1"/>
    </row>
    <row r="29" spans="1:26" ht="12.75">
      <c r="A29" s="1" t="s">
        <v>281</v>
      </c>
      <c r="B29" s="1" t="s">
        <v>37</v>
      </c>
      <c r="C29" s="21">
        <v>1</v>
      </c>
      <c r="D29" s="173">
        <f>IF(B29="","",IFERROR(VLOOKUP(B29,'ITEM LIST'!B:M,12,0)*C29,0))</f>
        <v>0.2</v>
      </c>
      <c r="E29" s="1">
        <f t="shared" si="0"/>
        <v>1.9750000000000003</v>
      </c>
      <c r="F29" s="20"/>
      <c r="G29" s="1"/>
      <c r="H29" s="1"/>
      <c r="I29" s="1"/>
      <c r="J29" s="1"/>
      <c r="K29" s="1"/>
      <c r="L29" s="1"/>
      <c r="M29" s="1"/>
      <c r="N29" s="1"/>
      <c r="O29" s="1"/>
      <c r="P29" s="1"/>
      <c r="Q29" s="1"/>
      <c r="R29" s="1"/>
      <c r="S29" s="1"/>
      <c r="T29" s="1"/>
      <c r="U29" s="1"/>
      <c r="V29" s="1"/>
      <c r="W29" s="1"/>
      <c r="X29" s="1"/>
      <c r="Y29" s="1"/>
      <c r="Z29" s="1"/>
    </row>
    <row r="30" spans="1:26" ht="12.75">
      <c r="A30" s="1" t="s">
        <v>281</v>
      </c>
      <c r="B30" s="1" t="s">
        <v>18</v>
      </c>
      <c r="C30" s="21">
        <v>1</v>
      </c>
      <c r="D30" s="173">
        <f>IF(B30="","",IFERROR(VLOOKUP(B30,'ITEM LIST'!B:M,12,0)*C30,0))</f>
        <v>0.03</v>
      </c>
      <c r="E30" s="1">
        <f t="shared" si="0"/>
        <v>1.9750000000000003</v>
      </c>
      <c r="F30" s="20"/>
      <c r="G30" s="1"/>
      <c r="H30" s="1"/>
      <c r="I30" s="1"/>
      <c r="J30" s="1"/>
      <c r="K30" s="1"/>
      <c r="L30" s="1"/>
      <c r="M30" s="1"/>
      <c r="N30" s="1"/>
      <c r="O30" s="1"/>
      <c r="P30" s="1"/>
      <c r="Q30" s="1"/>
      <c r="R30" s="1"/>
      <c r="S30" s="1"/>
      <c r="T30" s="1"/>
      <c r="U30" s="1"/>
      <c r="V30" s="1"/>
      <c r="W30" s="1"/>
      <c r="X30" s="1"/>
      <c r="Y30" s="1"/>
      <c r="Z30" s="1"/>
    </row>
    <row r="31" spans="1:26" ht="12.75">
      <c r="A31" s="1" t="s">
        <v>281</v>
      </c>
      <c r="B31" s="1" t="s">
        <v>518</v>
      </c>
      <c r="C31" s="21">
        <v>1</v>
      </c>
      <c r="D31" s="173">
        <f>IF(B31="","",IFERROR(VLOOKUP(B31,'ITEM LIST'!B:M,12,0)*C31,0))</f>
        <v>4.4999999999999998E-2</v>
      </c>
      <c r="E31" s="1">
        <f t="shared" si="0"/>
        <v>1.9750000000000003</v>
      </c>
      <c r="F31" s="20"/>
      <c r="G31" s="1"/>
      <c r="H31" s="1"/>
      <c r="I31" s="1"/>
      <c r="J31" s="1"/>
      <c r="K31" s="1"/>
      <c r="L31" s="1"/>
      <c r="M31" s="1"/>
      <c r="N31" s="1"/>
      <c r="O31" s="1"/>
      <c r="P31" s="1"/>
      <c r="Q31" s="1"/>
      <c r="R31" s="1"/>
      <c r="S31" s="1"/>
      <c r="T31" s="1"/>
      <c r="U31" s="1"/>
      <c r="V31" s="1"/>
      <c r="W31" s="1"/>
      <c r="X31" s="1"/>
      <c r="Y31" s="1"/>
      <c r="Z31" s="1"/>
    </row>
    <row r="32" spans="1:26" ht="12.75">
      <c r="A32" s="1" t="s">
        <v>281</v>
      </c>
      <c r="B32" s="1" t="s">
        <v>40</v>
      </c>
      <c r="C32" s="21">
        <v>1</v>
      </c>
      <c r="D32" s="173">
        <f>IF(B32="","",IFERROR(VLOOKUP(B32,'ITEM LIST'!B:M,12,0)*C32,0))</f>
        <v>3.2000000000000001E-2</v>
      </c>
      <c r="E32" s="1">
        <f t="shared" si="0"/>
        <v>1.9750000000000003</v>
      </c>
      <c r="F32" s="20"/>
      <c r="G32" s="1"/>
      <c r="H32" s="1"/>
      <c r="I32" s="1"/>
      <c r="J32" s="1"/>
      <c r="K32" s="1"/>
      <c r="L32" s="1"/>
      <c r="M32" s="1"/>
      <c r="N32" s="1"/>
      <c r="O32" s="1"/>
      <c r="P32" s="1"/>
      <c r="Q32" s="1"/>
      <c r="R32" s="1"/>
      <c r="S32" s="1"/>
      <c r="T32" s="1"/>
      <c r="U32" s="1"/>
      <c r="V32" s="1"/>
      <c r="W32" s="1"/>
      <c r="X32" s="1"/>
      <c r="Y32" s="1"/>
      <c r="Z32" s="1"/>
    </row>
    <row r="33" spans="1:26" ht="12.75">
      <c r="A33" s="1"/>
      <c r="B33" s="1" t="s">
        <v>371</v>
      </c>
      <c r="C33" s="21"/>
      <c r="D33" s="173" t="str">
        <f>IF(B33="","",IFERROR(VLOOKUP(B33,'ITEM LIST'!B:M,12,0)*C33,0))</f>
        <v/>
      </c>
      <c r="E33" s="1" t="str">
        <f t="shared" si="0"/>
        <v/>
      </c>
      <c r="F33" s="20"/>
      <c r="G33" s="1"/>
      <c r="H33" s="1"/>
      <c r="I33" s="1"/>
      <c r="J33" s="1"/>
      <c r="K33" s="1"/>
      <c r="L33" s="1"/>
      <c r="M33" s="1"/>
      <c r="N33" s="1"/>
      <c r="O33" s="1"/>
      <c r="P33" s="1"/>
      <c r="Q33" s="1"/>
      <c r="R33" s="1"/>
      <c r="S33" s="1"/>
      <c r="T33" s="1"/>
      <c r="U33" s="1"/>
      <c r="V33" s="1"/>
      <c r="W33" s="1"/>
      <c r="X33" s="1"/>
      <c r="Y33" s="1"/>
      <c r="Z33" s="1"/>
    </row>
    <row r="34" spans="1:26" ht="12.75">
      <c r="A34" s="1" t="s">
        <v>282</v>
      </c>
      <c r="B34" s="1" t="s">
        <v>37</v>
      </c>
      <c r="C34" s="21">
        <v>3.6666666669999999</v>
      </c>
      <c r="D34" s="173">
        <f>IF(B34="","",IFERROR(VLOOKUP(B34,'ITEM LIST'!B:M,12,0)*C34,0))</f>
        <v>0.73333333340000006</v>
      </c>
      <c r="E34" s="1">
        <f t="shared" ref="E34:E65" si="1">IF(A34="","", SUMIFS(D:D,A:A,A34))</f>
        <v>12.324888889094799</v>
      </c>
      <c r="F34" s="20"/>
      <c r="G34" s="1"/>
      <c r="H34" s="1"/>
      <c r="I34" s="1"/>
      <c r="J34" s="1"/>
      <c r="K34" s="1"/>
      <c r="L34" s="1"/>
      <c r="M34" s="1"/>
      <c r="N34" s="1"/>
      <c r="O34" s="1"/>
      <c r="P34" s="1"/>
      <c r="Q34" s="1"/>
      <c r="R34" s="1"/>
      <c r="S34" s="1"/>
      <c r="T34" s="1"/>
      <c r="U34" s="1"/>
      <c r="V34" s="1"/>
      <c r="W34" s="1"/>
      <c r="X34" s="1"/>
      <c r="Y34" s="1"/>
      <c r="Z34" s="1"/>
    </row>
    <row r="35" spans="1:26" ht="12.75">
      <c r="A35" s="1" t="s">
        <v>282</v>
      </c>
      <c r="B35" s="1" t="s">
        <v>323</v>
      </c>
      <c r="C35" s="21">
        <v>2.4444444440000002</v>
      </c>
      <c r="D35" s="173">
        <f>IF(B35="","",IFERROR(VLOOKUP(B35,'ITEM LIST'!B:M,12,0)*C35,0))</f>
        <v>8.5555555540000008E-2</v>
      </c>
      <c r="E35" s="1">
        <f t="shared" si="1"/>
        <v>12.324888889094799</v>
      </c>
      <c r="F35" s="20"/>
      <c r="G35" s="1"/>
      <c r="H35" s="1"/>
      <c r="I35" s="1"/>
      <c r="J35" s="1"/>
      <c r="K35" s="1"/>
      <c r="L35" s="1"/>
      <c r="M35" s="1"/>
      <c r="N35" s="1"/>
      <c r="O35" s="1"/>
      <c r="P35" s="1"/>
      <c r="Q35" s="1"/>
      <c r="R35" s="1"/>
      <c r="S35" s="1"/>
      <c r="T35" s="1"/>
      <c r="U35" s="1"/>
      <c r="V35" s="1"/>
      <c r="W35" s="1"/>
      <c r="X35" s="1"/>
      <c r="Y35" s="1"/>
      <c r="Z35" s="1"/>
    </row>
    <row r="36" spans="1:26" ht="12.75">
      <c r="A36" s="1" t="s">
        <v>282</v>
      </c>
      <c r="B36" s="1" t="s">
        <v>23</v>
      </c>
      <c r="C36" s="21">
        <v>0.77777777780000001</v>
      </c>
      <c r="D36" s="173">
        <f>IF(B36="","",IFERROR(VLOOKUP(B36,'ITEM LIST'!B:M,12,0)*C36,0))</f>
        <v>0.11355555555879999</v>
      </c>
      <c r="E36" s="1">
        <f t="shared" si="1"/>
        <v>12.324888889094799</v>
      </c>
      <c r="F36" s="20"/>
      <c r="G36" s="1"/>
      <c r="H36" s="1"/>
      <c r="I36" s="1"/>
      <c r="J36" s="1"/>
      <c r="K36" s="1"/>
      <c r="L36" s="1"/>
      <c r="M36" s="1"/>
      <c r="N36" s="1"/>
      <c r="O36" s="1"/>
      <c r="P36" s="1"/>
      <c r="Q36" s="1"/>
      <c r="R36" s="1"/>
      <c r="S36" s="1"/>
      <c r="T36" s="1"/>
      <c r="U36" s="1"/>
      <c r="V36" s="1"/>
      <c r="W36" s="1"/>
      <c r="X36" s="1"/>
      <c r="Y36" s="1"/>
      <c r="Z36" s="1"/>
    </row>
    <row r="37" spans="1:26" ht="12.75">
      <c r="A37" s="1" t="s">
        <v>282</v>
      </c>
      <c r="B37" s="1" t="s">
        <v>114</v>
      </c>
      <c r="C37" s="21">
        <v>2.6666666669999999</v>
      </c>
      <c r="D37" s="173">
        <f>IF(B37="","",IFERROR(VLOOKUP(B37,'ITEM LIST'!B:M,12,0)*C37,0))</f>
        <v>7.4666666675999999E-2</v>
      </c>
      <c r="E37" s="1">
        <f t="shared" si="1"/>
        <v>12.324888889094799</v>
      </c>
      <c r="F37" s="20"/>
      <c r="G37" s="1"/>
      <c r="H37" s="1"/>
      <c r="I37" s="1"/>
      <c r="J37" s="1"/>
      <c r="K37" s="1"/>
      <c r="L37" s="1"/>
      <c r="M37" s="1"/>
      <c r="N37" s="1"/>
      <c r="O37" s="1"/>
      <c r="P37" s="1"/>
      <c r="Q37" s="1"/>
      <c r="R37" s="1"/>
      <c r="S37" s="1"/>
      <c r="T37" s="1"/>
      <c r="U37" s="1"/>
      <c r="V37" s="1"/>
      <c r="W37" s="1"/>
      <c r="X37" s="1"/>
      <c r="Y37" s="1"/>
      <c r="Z37" s="1"/>
    </row>
    <row r="38" spans="1:26" ht="12.75">
      <c r="A38" s="1" t="s">
        <v>282</v>
      </c>
      <c r="B38" s="1" t="s">
        <v>52</v>
      </c>
      <c r="C38" s="20">
        <v>2</v>
      </c>
      <c r="D38" s="173">
        <f>IF(B38="","",IFERROR(VLOOKUP(B38,'ITEM LIST'!B:M,12,0)*C38,0))</f>
        <v>1.3</v>
      </c>
      <c r="E38" s="1">
        <f t="shared" si="1"/>
        <v>12.324888889094799</v>
      </c>
      <c r="F38" s="20"/>
      <c r="G38" s="1"/>
      <c r="H38" s="1"/>
      <c r="I38" s="1"/>
      <c r="J38" s="1"/>
      <c r="K38" s="1"/>
      <c r="L38" s="1"/>
      <c r="M38" s="1"/>
      <c r="N38" s="1"/>
      <c r="O38" s="1"/>
      <c r="P38" s="1"/>
      <c r="Q38" s="1"/>
      <c r="R38" s="1"/>
      <c r="S38" s="1"/>
      <c r="T38" s="1"/>
      <c r="U38" s="1"/>
      <c r="V38" s="1"/>
      <c r="W38" s="1"/>
      <c r="X38" s="1"/>
      <c r="Y38" s="1"/>
      <c r="Z38" s="1"/>
    </row>
    <row r="39" spans="1:26" ht="12.75">
      <c r="A39" s="1" t="s">
        <v>282</v>
      </c>
      <c r="B39" s="1" t="s">
        <v>386</v>
      </c>
      <c r="C39" s="21">
        <v>2.4444444440000002</v>
      </c>
      <c r="D39" s="173">
        <f>IF(B39="","",IFERROR(VLOOKUP(B39,'ITEM LIST'!B:M,12,0)*C39,0))</f>
        <v>0.68444444432000007</v>
      </c>
      <c r="E39" s="1">
        <f t="shared" si="1"/>
        <v>12.324888889094799</v>
      </c>
      <c r="F39" s="20"/>
      <c r="G39" s="1"/>
      <c r="H39" s="1"/>
      <c r="I39" s="1"/>
      <c r="J39" s="1"/>
      <c r="K39" s="1"/>
      <c r="L39" s="1"/>
      <c r="M39" s="1"/>
      <c r="N39" s="1"/>
      <c r="O39" s="1"/>
      <c r="P39" s="1"/>
      <c r="Q39" s="1"/>
      <c r="R39" s="1"/>
      <c r="S39" s="1"/>
      <c r="T39" s="1"/>
      <c r="U39" s="1"/>
      <c r="V39" s="1"/>
      <c r="W39" s="1"/>
      <c r="X39" s="1"/>
      <c r="Y39" s="1"/>
      <c r="Z39" s="1"/>
    </row>
    <row r="40" spans="1:26" ht="12.75">
      <c r="A40" s="1" t="s">
        <v>282</v>
      </c>
      <c r="B40" s="1" t="s">
        <v>278</v>
      </c>
      <c r="C40" s="21">
        <v>77.777777779999994</v>
      </c>
      <c r="D40" s="173">
        <f>IF(B40="","",IFERROR(VLOOKUP(B40,'ITEM LIST'!B:M,12,0)*C40,0))</f>
        <v>9.3333333335999988</v>
      </c>
      <c r="E40" s="1">
        <f t="shared" si="1"/>
        <v>12.324888889094799</v>
      </c>
      <c r="F40" s="20"/>
      <c r="G40" s="1"/>
      <c r="H40" s="1"/>
      <c r="I40" s="1"/>
      <c r="J40" s="1"/>
      <c r="K40" s="1"/>
      <c r="L40" s="1"/>
      <c r="M40" s="1"/>
      <c r="N40" s="1"/>
      <c r="O40" s="1"/>
      <c r="P40" s="1"/>
      <c r="Q40" s="1"/>
      <c r="R40" s="1"/>
      <c r="S40" s="1"/>
      <c r="T40" s="1"/>
      <c r="U40" s="1"/>
      <c r="V40" s="1"/>
      <c r="W40" s="1"/>
      <c r="X40" s="1"/>
      <c r="Y40" s="1"/>
      <c r="Z40" s="1"/>
    </row>
    <row r="41" spans="1:26" ht="12.75">
      <c r="A41" s="1" t="s">
        <v>282</v>
      </c>
      <c r="B41" s="1" t="s">
        <v>670</v>
      </c>
      <c r="C41" s="202"/>
      <c r="D41" s="173">
        <f>IF(B41="","",IFERROR(VLOOKUP(B41,'ITEM LIST'!B:M,12,0)*C41,0))</f>
        <v>0</v>
      </c>
      <c r="E41" s="1">
        <f t="shared" si="1"/>
        <v>12.324888889094799</v>
      </c>
      <c r="F41" s="20"/>
      <c r="G41" s="1"/>
      <c r="H41" s="1"/>
      <c r="I41" s="1"/>
      <c r="J41" s="1"/>
      <c r="K41" s="1"/>
      <c r="L41" s="1"/>
      <c r="M41" s="1"/>
      <c r="N41" s="1"/>
      <c r="O41" s="1"/>
      <c r="P41" s="1"/>
      <c r="Q41" s="1"/>
      <c r="R41" s="1"/>
      <c r="S41" s="1"/>
      <c r="T41" s="1"/>
      <c r="U41" s="1"/>
      <c r="V41" s="1"/>
      <c r="W41" s="1"/>
      <c r="X41" s="1"/>
      <c r="Y41" s="1"/>
      <c r="Z41" s="1"/>
    </row>
    <row r="42" spans="1:26" ht="12.75">
      <c r="A42" s="1"/>
      <c r="B42" s="1" t="s">
        <v>371</v>
      </c>
      <c r="C42" s="21"/>
      <c r="D42" s="173" t="str">
        <f>IF(B42="","",IFERROR(VLOOKUP(B42,'ITEM LIST'!B:M,12,0)*C42,0))</f>
        <v/>
      </c>
      <c r="E42" s="1" t="str">
        <f t="shared" si="1"/>
        <v/>
      </c>
      <c r="F42" s="20"/>
      <c r="G42" s="1"/>
      <c r="H42" s="1"/>
      <c r="I42" s="1"/>
      <c r="J42" s="1"/>
      <c r="K42" s="1"/>
      <c r="L42" s="1"/>
      <c r="M42" s="1"/>
      <c r="N42" s="1"/>
      <c r="O42" s="1"/>
      <c r="P42" s="1"/>
      <c r="Q42" s="1"/>
      <c r="R42" s="1"/>
      <c r="S42" s="1"/>
      <c r="T42" s="1"/>
      <c r="U42" s="1"/>
      <c r="V42" s="1"/>
      <c r="W42" s="1"/>
      <c r="X42" s="1"/>
      <c r="Y42" s="1"/>
      <c r="Z42" s="1"/>
    </row>
    <row r="43" spans="1:26" ht="12.75">
      <c r="A43" s="1" t="s">
        <v>13</v>
      </c>
      <c r="B43" s="1" t="s">
        <v>525</v>
      </c>
      <c r="C43" s="21">
        <v>22.222222222222221</v>
      </c>
      <c r="D43" s="173">
        <f>IF(B43="","",IFERROR(VLOOKUP(B43,'ITEM LIST'!B:M,12,0)*C43,0))</f>
        <v>0</v>
      </c>
      <c r="E43" s="1">
        <f t="shared" si="1"/>
        <v>53.733333333333334</v>
      </c>
      <c r="F43" s="20"/>
      <c r="G43" s="1"/>
      <c r="H43" s="1"/>
      <c r="I43" s="1"/>
      <c r="J43" s="1"/>
      <c r="K43" s="1"/>
      <c r="L43" s="1"/>
      <c r="M43" s="1"/>
      <c r="N43" s="1"/>
      <c r="O43" s="1"/>
      <c r="P43" s="1"/>
      <c r="Q43" s="1"/>
      <c r="R43" s="1"/>
      <c r="S43" s="1"/>
      <c r="T43" s="1"/>
      <c r="U43" s="1"/>
      <c r="V43" s="1"/>
      <c r="W43" s="1"/>
      <c r="X43" s="1"/>
      <c r="Y43" s="1"/>
      <c r="Z43" s="1"/>
    </row>
    <row r="44" spans="1:26" ht="12.75">
      <c r="A44" s="1" t="s">
        <v>13</v>
      </c>
      <c r="B44" s="1" t="s">
        <v>390</v>
      </c>
      <c r="C44" s="21">
        <v>666.66666666666663</v>
      </c>
      <c r="D44" s="173">
        <f>IF(B44="","",IFERROR(VLOOKUP(B44,'ITEM LIST'!B:M,12,0)*C44,0))</f>
        <v>23.333333333333336</v>
      </c>
      <c r="E44" s="1">
        <f t="shared" si="1"/>
        <v>53.733333333333334</v>
      </c>
      <c r="F44" s="20"/>
      <c r="G44" s="1"/>
      <c r="H44" s="1"/>
      <c r="I44" s="1"/>
      <c r="J44" s="1"/>
      <c r="K44" s="1"/>
      <c r="L44" s="1"/>
      <c r="M44" s="1"/>
      <c r="N44" s="1"/>
      <c r="O44" s="1"/>
      <c r="P44" s="1"/>
      <c r="Q44" s="1"/>
      <c r="R44" s="1"/>
      <c r="S44" s="1"/>
      <c r="T44" s="1"/>
      <c r="U44" s="1"/>
      <c r="V44" s="1"/>
      <c r="W44" s="1"/>
      <c r="X44" s="1"/>
      <c r="Y44" s="1"/>
      <c r="Z44" s="1"/>
    </row>
    <row r="45" spans="1:26" ht="12.75">
      <c r="A45" s="1" t="s">
        <v>13</v>
      </c>
      <c r="B45" s="1" t="s">
        <v>278</v>
      </c>
      <c r="C45" s="21">
        <v>200</v>
      </c>
      <c r="D45" s="173">
        <f>IF(B45="","",IFERROR(VLOOKUP(B45,'ITEM LIST'!B:M,12,0)*C45,0))</f>
        <v>24</v>
      </c>
      <c r="E45" s="1">
        <f t="shared" si="1"/>
        <v>53.733333333333334</v>
      </c>
      <c r="F45" s="20"/>
      <c r="G45" s="1"/>
      <c r="H45" s="1"/>
      <c r="I45" s="1"/>
      <c r="J45" s="1"/>
      <c r="K45" s="1"/>
      <c r="L45" s="1"/>
      <c r="M45" s="1"/>
      <c r="N45" s="1"/>
      <c r="O45" s="1"/>
      <c r="P45" s="1"/>
      <c r="Q45" s="1"/>
      <c r="R45" s="1"/>
      <c r="S45" s="1"/>
      <c r="T45" s="1"/>
      <c r="U45" s="1"/>
      <c r="V45" s="1"/>
      <c r="W45" s="1"/>
      <c r="X45" s="1"/>
      <c r="Y45" s="1"/>
      <c r="Z45" s="1"/>
    </row>
    <row r="46" spans="1:26" ht="12.75">
      <c r="A46" s="1" t="s">
        <v>13</v>
      </c>
      <c r="B46" s="1" t="s">
        <v>114</v>
      </c>
      <c r="C46" s="21">
        <v>22.222222222222221</v>
      </c>
      <c r="D46" s="173">
        <f>IF(B46="","",IFERROR(VLOOKUP(B46,'ITEM LIST'!B:M,12,0)*C46,0))</f>
        <v>0.62222222222222223</v>
      </c>
      <c r="E46" s="1">
        <f t="shared" si="1"/>
        <v>53.733333333333334</v>
      </c>
      <c r="F46" s="20"/>
      <c r="G46" s="1"/>
      <c r="H46" s="1"/>
      <c r="I46" s="1"/>
      <c r="J46" s="1"/>
      <c r="K46" s="1"/>
      <c r="L46" s="1"/>
      <c r="M46" s="1"/>
      <c r="N46" s="1"/>
      <c r="O46" s="1"/>
      <c r="P46" s="1"/>
      <c r="Q46" s="1"/>
      <c r="R46" s="1"/>
      <c r="S46" s="1"/>
      <c r="T46" s="1"/>
      <c r="U46" s="1"/>
      <c r="V46" s="1"/>
      <c r="W46" s="1"/>
      <c r="X46" s="1"/>
      <c r="Y46" s="1"/>
      <c r="Z46" s="1"/>
    </row>
    <row r="47" spans="1:26" ht="12.75">
      <c r="A47" s="1" t="s">
        <v>13</v>
      </c>
      <c r="B47" s="1" t="s">
        <v>392</v>
      </c>
      <c r="C47" s="21">
        <v>88.888888888888886</v>
      </c>
      <c r="D47" s="173">
        <f>IF(B47="","",IFERROR(VLOOKUP(B47,'ITEM LIST'!B:M,12,0)*C47,0))</f>
        <v>5.7777777777777777</v>
      </c>
      <c r="E47" s="1">
        <f t="shared" si="1"/>
        <v>53.733333333333334</v>
      </c>
      <c r="F47" s="20"/>
      <c r="G47" s="1"/>
      <c r="H47" s="1"/>
      <c r="I47" s="1"/>
      <c r="J47" s="1"/>
      <c r="K47" s="1"/>
      <c r="L47" s="1"/>
      <c r="M47" s="1"/>
      <c r="N47" s="1"/>
      <c r="O47" s="1"/>
      <c r="P47" s="1"/>
      <c r="Q47" s="1"/>
      <c r="R47" s="1"/>
      <c r="S47" s="1"/>
      <c r="T47" s="1"/>
      <c r="U47" s="1"/>
      <c r="V47" s="1"/>
      <c r="W47" s="1"/>
      <c r="X47" s="1"/>
      <c r="Y47" s="1"/>
      <c r="Z47" s="1"/>
    </row>
    <row r="48" spans="1:26" ht="12.75">
      <c r="A48" s="1" t="s">
        <v>13</v>
      </c>
      <c r="B48" s="1" t="s">
        <v>101</v>
      </c>
      <c r="C48" s="21">
        <v>0</v>
      </c>
      <c r="D48" s="173">
        <f>IF(B48="","",IFERROR(VLOOKUP(B48,'ITEM LIST'!B:M,12,0)*C48,0))</f>
        <v>0</v>
      </c>
      <c r="E48" s="1">
        <f t="shared" si="1"/>
        <v>53.733333333333334</v>
      </c>
      <c r="F48" s="20"/>
      <c r="G48" s="1"/>
      <c r="H48" s="1"/>
      <c r="I48" s="1"/>
      <c r="J48" s="1"/>
      <c r="K48" s="1"/>
      <c r="L48" s="1"/>
      <c r="M48" s="1"/>
      <c r="N48" s="1"/>
      <c r="O48" s="1"/>
      <c r="P48" s="1"/>
      <c r="Q48" s="1"/>
      <c r="R48" s="1"/>
      <c r="S48" s="1"/>
      <c r="T48" s="1"/>
      <c r="U48" s="1"/>
      <c r="V48" s="1"/>
      <c r="W48" s="1"/>
      <c r="X48" s="1"/>
      <c r="Y48" s="1"/>
      <c r="Z48" s="1"/>
    </row>
    <row r="49" spans="1:26" ht="12.75">
      <c r="A49" s="1"/>
      <c r="B49" s="1" t="s">
        <v>371</v>
      </c>
      <c r="C49" s="21"/>
      <c r="D49" s="173" t="str">
        <f>IF(B49="","",IFERROR(VLOOKUP(B49,'ITEM LIST'!B:M,12,0)*C49,0))</f>
        <v/>
      </c>
      <c r="E49" s="1" t="str">
        <f t="shared" si="1"/>
        <v/>
      </c>
      <c r="F49" s="20"/>
      <c r="G49" s="1"/>
      <c r="H49" s="1"/>
      <c r="I49" s="1"/>
      <c r="J49" s="1"/>
      <c r="K49" s="1"/>
      <c r="L49" s="1"/>
      <c r="M49" s="1"/>
      <c r="N49" s="1"/>
      <c r="O49" s="1"/>
      <c r="P49" s="1"/>
      <c r="Q49" s="1"/>
      <c r="R49" s="1"/>
      <c r="S49" s="1"/>
      <c r="T49" s="1"/>
      <c r="U49" s="1"/>
      <c r="V49" s="1"/>
      <c r="W49" s="1"/>
      <c r="X49" s="1"/>
      <c r="Y49" s="1"/>
      <c r="Z49" s="1"/>
    </row>
    <row r="50" spans="1:26" ht="12.75">
      <c r="A50" s="1" t="s">
        <v>15</v>
      </c>
      <c r="B50" s="1" t="s">
        <v>19</v>
      </c>
      <c r="C50" s="21">
        <v>537.44177714080979</v>
      </c>
      <c r="D50" s="173">
        <f>IF(B50="","",IFERROR(VLOOKUP(B50,'ITEM LIST'!B:M,12,0)*C50,0))</f>
        <v>8.5990684342529562</v>
      </c>
      <c r="E50" s="1">
        <f t="shared" si="1"/>
        <v>27.002866356144754</v>
      </c>
      <c r="F50" s="20"/>
      <c r="G50" s="1"/>
      <c r="H50" s="1"/>
      <c r="I50" s="1"/>
      <c r="J50" s="1"/>
      <c r="K50" s="1"/>
      <c r="L50" s="1"/>
      <c r="M50" s="1"/>
      <c r="N50" s="1"/>
      <c r="O50" s="1"/>
      <c r="P50" s="1"/>
      <c r="Q50" s="1"/>
      <c r="R50" s="1"/>
      <c r="S50" s="1"/>
      <c r="T50" s="1"/>
      <c r="U50" s="1"/>
      <c r="V50" s="1"/>
      <c r="W50" s="1"/>
      <c r="X50" s="1"/>
      <c r="Y50" s="1"/>
      <c r="Z50" s="1"/>
    </row>
    <row r="51" spans="1:26" ht="12.75">
      <c r="A51" s="1" t="s">
        <v>15</v>
      </c>
      <c r="B51" s="1" t="s">
        <v>20</v>
      </c>
      <c r="C51" s="21">
        <v>358.29451809387314</v>
      </c>
      <c r="D51" s="173">
        <f>IF(B51="","",IFERROR(VLOOKUP(B51,'ITEM LIST'!B:M,12,0)*C51,0))</f>
        <v>6.8075958437835897</v>
      </c>
      <c r="E51" s="1">
        <f t="shared" si="1"/>
        <v>27.002866356144754</v>
      </c>
      <c r="F51" s="20"/>
      <c r="G51" s="1"/>
      <c r="H51" s="1"/>
      <c r="I51" s="1"/>
      <c r="J51" s="1"/>
      <c r="K51" s="1"/>
      <c r="L51" s="1"/>
      <c r="M51" s="1"/>
      <c r="N51" s="1"/>
      <c r="O51" s="1"/>
      <c r="P51" s="1"/>
      <c r="Q51" s="1"/>
      <c r="R51" s="1"/>
      <c r="S51" s="1"/>
      <c r="T51" s="1"/>
      <c r="U51" s="1"/>
      <c r="V51" s="1"/>
      <c r="W51" s="1"/>
      <c r="X51" s="1"/>
      <c r="Y51" s="1"/>
      <c r="Z51" s="1"/>
    </row>
    <row r="52" spans="1:26" ht="12.75">
      <c r="A52" s="1" t="s">
        <v>15</v>
      </c>
      <c r="B52" s="1" t="s">
        <v>513</v>
      </c>
      <c r="C52" s="21">
        <v>35.829451809387322</v>
      </c>
      <c r="D52" s="173">
        <f>IF(B52="","",IFERROR(VLOOKUP(B52,'ITEM LIST'!B:M,12,0)*C52,0))</f>
        <v>2.866356144750986</v>
      </c>
      <c r="E52" s="1">
        <f t="shared" si="1"/>
        <v>27.002866356144754</v>
      </c>
      <c r="F52" s="20"/>
      <c r="G52" s="1"/>
      <c r="H52" s="1"/>
      <c r="I52" s="1"/>
      <c r="J52" s="1"/>
      <c r="K52" s="1"/>
      <c r="L52" s="1"/>
      <c r="M52" s="1"/>
      <c r="N52" s="1"/>
      <c r="O52" s="1"/>
      <c r="P52" s="1"/>
      <c r="Q52" s="1"/>
      <c r="R52" s="1"/>
      <c r="S52" s="1"/>
      <c r="T52" s="1"/>
      <c r="U52" s="1"/>
      <c r="V52" s="1"/>
      <c r="W52" s="1"/>
      <c r="X52" s="1"/>
      <c r="Y52" s="1"/>
      <c r="Z52" s="1"/>
    </row>
    <row r="53" spans="1:26" ht="12.75">
      <c r="A53" s="1" t="s">
        <v>15</v>
      </c>
      <c r="B53" s="1" t="s">
        <v>535</v>
      </c>
      <c r="C53" s="21">
        <v>17.914725904693661</v>
      </c>
      <c r="D53" s="173">
        <f>IF(B53="","",IFERROR(VLOOKUP(B53,'ITEM LIST'!B:M,12,0)*C53,0))</f>
        <v>0</v>
      </c>
      <c r="E53" s="1">
        <f t="shared" si="1"/>
        <v>27.002866356144754</v>
      </c>
      <c r="F53" s="20"/>
      <c r="G53" s="1"/>
      <c r="H53" s="1"/>
      <c r="I53" s="1"/>
      <c r="J53" s="1"/>
      <c r="K53" s="1"/>
      <c r="L53" s="1"/>
      <c r="M53" s="1"/>
      <c r="N53" s="1"/>
      <c r="O53" s="1"/>
      <c r="P53" s="1"/>
      <c r="Q53" s="1"/>
      <c r="R53" s="1"/>
      <c r="S53" s="1"/>
      <c r="T53" s="1"/>
      <c r="U53" s="1"/>
      <c r="V53" s="1"/>
      <c r="W53" s="1"/>
      <c r="X53" s="1"/>
      <c r="Y53" s="1"/>
      <c r="Z53" s="1"/>
    </row>
    <row r="54" spans="1:26" ht="12.75">
      <c r="A54" s="1" t="s">
        <v>15</v>
      </c>
      <c r="B54" s="1" t="s">
        <v>350</v>
      </c>
      <c r="C54" s="21">
        <v>0.53744177714080976</v>
      </c>
      <c r="D54" s="173">
        <f>IF(B54="","",IFERROR(VLOOKUP(B54,'ITEM LIST'!B:M,12,0)*C54,0))</f>
        <v>0.37620924399856681</v>
      </c>
      <c r="E54" s="1">
        <f t="shared" si="1"/>
        <v>27.002866356144754</v>
      </c>
      <c r="F54" s="20"/>
      <c r="G54" s="1"/>
      <c r="H54" s="1"/>
      <c r="I54" s="1"/>
      <c r="J54" s="1"/>
      <c r="K54" s="1"/>
      <c r="L54" s="1"/>
      <c r="M54" s="1"/>
      <c r="N54" s="1"/>
      <c r="O54" s="1"/>
      <c r="P54" s="1"/>
      <c r="Q54" s="1"/>
      <c r="R54" s="1"/>
      <c r="S54" s="1"/>
      <c r="T54" s="1"/>
      <c r="U54" s="1"/>
      <c r="V54" s="1"/>
      <c r="W54" s="1"/>
      <c r="X54" s="1"/>
      <c r="Y54" s="1"/>
      <c r="Z54" s="1"/>
    </row>
    <row r="55" spans="1:26" ht="12.75">
      <c r="A55" s="1" t="s">
        <v>15</v>
      </c>
      <c r="B55" s="1" t="s">
        <v>218</v>
      </c>
      <c r="C55" s="21">
        <v>0.53744177714080976</v>
      </c>
      <c r="D55" s="173">
        <f>IF(B55="","",IFERROR(VLOOKUP(B55,'ITEM LIST'!B:M,12,0)*C55,0))</f>
        <v>0.16123253314224292</v>
      </c>
      <c r="E55" s="1">
        <f t="shared" si="1"/>
        <v>27.002866356144754</v>
      </c>
      <c r="F55" s="20"/>
      <c r="G55" s="1"/>
      <c r="H55" s="1"/>
      <c r="I55" s="1"/>
      <c r="J55" s="1"/>
      <c r="K55" s="1"/>
      <c r="L55" s="1"/>
      <c r="M55" s="1"/>
      <c r="N55" s="1"/>
      <c r="O55" s="1"/>
      <c r="P55" s="1"/>
      <c r="Q55" s="1"/>
      <c r="R55" s="1"/>
      <c r="S55" s="1"/>
      <c r="T55" s="1"/>
      <c r="U55" s="1"/>
      <c r="V55" s="1"/>
      <c r="W55" s="1"/>
      <c r="X55" s="1"/>
      <c r="Y55" s="1"/>
      <c r="Z55" s="1"/>
    </row>
    <row r="56" spans="1:26" ht="12.75">
      <c r="A56" s="1" t="s">
        <v>15</v>
      </c>
      <c r="B56" s="1" t="s">
        <v>352</v>
      </c>
      <c r="C56" s="21">
        <v>0.53744177714080976</v>
      </c>
      <c r="D56" s="173">
        <f>IF(B56="","",IFERROR(VLOOKUP(B56,'ITEM LIST'!B:M,12,0)*C56,0))</f>
        <v>0.85990684342529566</v>
      </c>
      <c r="E56" s="1">
        <f t="shared" si="1"/>
        <v>27.002866356144754</v>
      </c>
      <c r="F56" s="20"/>
      <c r="G56" s="1"/>
      <c r="H56" s="1"/>
      <c r="I56" s="1"/>
      <c r="J56" s="1"/>
      <c r="K56" s="1"/>
      <c r="L56" s="1"/>
      <c r="M56" s="1"/>
      <c r="N56" s="1"/>
      <c r="O56" s="1"/>
      <c r="P56" s="1"/>
      <c r="Q56" s="1"/>
      <c r="R56" s="1"/>
      <c r="S56" s="1"/>
      <c r="T56" s="1"/>
      <c r="U56" s="1"/>
      <c r="V56" s="1"/>
      <c r="W56" s="1"/>
      <c r="X56" s="1"/>
      <c r="Y56" s="1"/>
      <c r="Z56" s="1"/>
    </row>
    <row r="57" spans="1:26" ht="12.75">
      <c r="A57" s="1" t="s">
        <v>15</v>
      </c>
      <c r="B57" s="1" t="s">
        <v>351</v>
      </c>
      <c r="C57" s="21">
        <v>0.53744177714080976</v>
      </c>
      <c r="D57" s="173">
        <f>IF(B57="","",IFERROR(VLOOKUP(B57,'ITEM LIST'!B:M,12,0)*C57,0))</f>
        <v>0.46757434611250448</v>
      </c>
      <c r="E57" s="1">
        <f t="shared" si="1"/>
        <v>27.002866356144754</v>
      </c>
      <c r="F57" s="20"/>
      <c r="G57" s="1"/>
      <c r="H57" s="1"/>
      <c r="I57" s="1"/>
      <c r="J57" s="1"/>
      <c r="K57" s="1"/>
      <c r="L57" s="1"/>
      <c r="M57" s="1"/>
      <c r="N57" s="1"/>
      <c r="O57" s="1"/>
      <c r="P57" s="1"/>
      <c r="Q57" s="1"/>
      <c r="R57" s="1"/>
      <c r="S57" s="1"/>
      <c r="T57" s="1"/>
      <c r="U57" s="1"/>
      <c r="V57" s="1"/>
      <c r="W57" s="1"/>
      <c r="X57" s="1"/>
      <c r="Y57" s="1"/>
      <c r="Z57" s="1"/>
    </row>
    <row r="58" spans="1:26" ht="12.75">
      <c r="A58" s="1" t="s">
        <v>15</v>
      </c>
      <c r="B58" s="1" t="s">
        <v>405</v>
      </c>
      <c r="C58" s="21">
        <v>0.35829451809387314</v>
      </c>
      <c r="D58" s="173">
        <f>IF(B58="","",IFERROR(VLOOKUP(B58,'ITEM LIST'!B:M,12,0)*C58,0))</f>
        <v>5.7327122895019705E-2</v>
      </c>
      <c r="E58" s="1">
        <f t="shared" si="1"/>
        <v>27.002866356144754</v>
      </c>
      <c r="F58" s="20"/>
      <c r="G58" s="1"/>
      <c r="H58" s="1"/>
      <c r="I58" s="1"/>
      <c r="J58" s="1"/>
      <c r="K58" s="1"/>
      <c r="L58" s="1"/>
      <c r="M58" s="1"/>
      <c r="N58" s="1"/>
      <c r="O58" s="1"/>
      <c r="P58" s="1"/>
      <c r="Q58" s="1"/>
      <c r="R58" s="1"/>
      <c r="S58" s="1"/>
      <c r="T58" s="1"/>
      <c r="U58" s="1"/>
      <c r="V58" s="1"/>
      <c r="W58" s="1"/>
      <c r="X58" s="1"/>
      <c r="Y58" s="1"/>
      <c r="Z58" s="1"/>
    </row>
    <row r="59" spans="1:26" ht="12.75">
      <c r="A59" s="1" t="s">
        <v>15</v>
      </c>
      <c r="B59" s="1" t="s">
        <v>323</v>
      </c>
      <c r="C59" s="21">
        <v>8.9573629523468306</v>
      </c>
      <c r="D59" s="173">
        <f>IF(B59="","",IFERROR(VLOOKUP(B59,'ITEM LIST'!B:M,12,0)*C59,0))</f>
        <v>0.31350770333213912</v>
      </c>
      <c r="E59" s="1">
        <f t="shared" si="1"/>
        <v>27.002866356144754</v>
      </c>
      <c r="F59" s="20"/>
      <c r="G59" s="1"/>
      <c r="H59" s="1"/>
      <c r="I59" s="1"/>
      <c r="J59" s="1"/>
      <c r="K59" s="1"/>
      <c r="L59" s="1"/>
      <c r="M59" s="1"/>
      <c r="N59" s="1"/>
      <c r="O59" s="1"/>
      <c r="P59" s="1"/>
      <c r="Q59" s="1"/>
      <c r="R59" s="1"/>
      <c r="S59" s="1"/>
      <c r="T59" s="1"/>
      <c r="U59" s="1"/>
      <c r="V59" s="1"/>
      <c r="W59" s="1"/>
      <c r="X59" s="1"/>
      <c r="Y59" s="1"/>
      <c r="Z59" s="1"/>
    </row>
    <row r="60" spans="1:26" ht="12.75">
      <c r="A60" s="1" t="s">
        <v>15</v>
      </c>
      <c r="B60" s="1" t="s">
        <v>118</v>
      </c>
      <c r="C60" s="21">
        <v>17.914725904693661</v>
      </c>
      <c r="D60" s="173">
        <f>IF(B60="","",IFERROR(VLOOKUP(B60,'ITEM LIST'!B:M,12,0)*C60,0))</f>
        <v>2.149767108563239</v>
      </c>
      <c r="E60" s="1">
        <f t="shared" si="1"/>
        <v>27.002866356144754</v>
      </c>
      <c r="F60" s="20"/>
      <c r="G60" s="1"/>
      <c r="H60" s="1"/>
      <c r="I60" s="1"/>
      <c r="J60" s="1"/>
      <c r="K60" s="1"/>
      <c r="L60" s="1"/>
      <c r="M60" s="1"/>
      <c r="N60" s="1"/>
      <c r="O60" s="1"/>
      <c r="P60" s="1"/>
      <c r="Q60" s="1"/>
      <c r="R60" s="1"/>
      <c r="S60" s="1"/>
      <c r="T60" s="1"/>
      <c r="U60" s="1"/>
      <c r="V60" s="1"/>
      <c r="W60" s="1"/>
      <c r="X60" s="1"/>
      <c r="Y60" s="1"/>
      <c r="Z60" s="1"/>
    </row>
    <row r="61" spans="1:26" ht="12.75">
      <c r="A61" s="1" t="s">
        <v>15</v>
      </c>
      <c r="B61" s="1" t="s">
        <v>37</v>
      </c>
      <c r="C61" s="21">
        <v>17.914725904693661</v>
      </c>
      <c r="D61" s="173">
        <f>IF(B61="","",IFERROR(VLOOKUP(B61,'ITEM LIST'!B:M,12,0)*C61,0))</f>
        <v>3.5829451809387325</v>
      </c>
      <c r="E61" s="1">
        <f t="shared" si="1"/>
        <v>27.002866356144754</v>
      </c>
      <c r="F61" s="20"/>
      <c r="G61" s="1"/>
      <c r="H61" s="1"/>
      <c r="I61" s="1"/>
      <c r="J61" s="1"/>
      <c r="K61" s="1"/>
      <c r="L61" s="1"/>
      <c r="M61" s="1"/>
      <c r="N61" s="1"/>
      <c r="O61" s="1"/>
      <c r="P61" s="1"/>
      <c r="Q61" s="1"/>
      <c r="R61" s="1"/>
      <c r="S61" s="1"/>
      <c r="T61" s="1"/>
      <c r="U61" s="1"/>
      <c r="V61" s="1"/>
      <c r="W61" s="1"/>
      <c r="X61" s="1"/>
      <c r="Y61" s="1"/>
      <c r="Z61" s="1"/>
    </row>
    <row r="62" spans="1:26" ht="12.75">
      <c r="A62" s="1" t="s">
        <v>15</v>
      </c>
      <c r="B62" s="1" t="s">
        <v>527</v>
      </c>
      <c r="C62" s="21">
        <v>1.9706198495163021</v>
      </c>
      <c r="D62" s="173">
        <f>IF(B62="","",IFERROR(VLOOKUP(B62,'ITEM LIST'!B:M,12,0)*C62,0))</f>
        <v>0.19706198495163021</v>
      </c>
      <c r="E62" s="1">
        <f t="shared" si="1"/>
        <v>27.002866356144754</v>
      </c>
      <c r="F62" s="20"/>
      <c r="G62" s="1"/>
      <c r="H62" s="1"/>
      <c r="I62" s="1"/>
      <c r="J62" s="1"/>
      <c r="K62" s="1"/>
      <c r="L62" s="1"/>
      <c r="M62" s="1"/>
      <c r="N62" s="1"/>
      <c r="O62" s="1"/>
      <c r="P62" s="1"/>
      <c r="Q62" s="1"/>
      <c r="R62" s="1"/>
      <c r="S62" s="1"/>
      <c r="T62" s="1"/>
      <c r="U62" s="1"/>
      <c r="V62" s="1"/>
      <c r="W62" s="1"/>
      <c r="X62" s="1"/>
      <c r="Y62" s="1"/>
      <c r="Z62" s="1"/>
    </row>
    <row r="63" spans="1:26" ht="12.75">
      <c r="A63" s="1" t="s">
        <v>15</v>
      </c>
      <c r="B63" s="1" t="s">
        <v>230</v>
      </c>
      <c r="C63" s="21">
        <v>0.71658903618774628</v>
      </c>
      <c r="D63" s="173">
        <f>IF(B63="","",IFERROR(VLOOKUP(B63,'ITEM LIST'!B:M,12,0)*C63,0))</f>
        <v>0.21497671085632389</v>
      </c>
      <c r="E63" s="1">
        <f t="shared" si="1"/>
        <v>27.002866356144754</v>
      </c>
      <c r="F63" s="20"/>
      <c r="G63" s="1"/>
      <c r="H63" s="1"/>
      <c r="I63" s="1"/>
      <c r="J63" s="1"/>
      <c r="K63" s="1"/>
      <c r="L63" s="1"/>
      <c r="M63" s="1"/>
      <c r="N63" s="1"/>
      <c r="O63" s="1"/>
      <c r="P63" s="1"/>
      <c r="Q63" s="1"/>
      <c r="R63" s="1"/>
      <c r="S63" s="1"/>
      <c r="T63" s="1"/>
      <c r="U63" s="1"/>
      <c r="V63" s="1"/>
      <c r="W63" s="1"/>
      <c r="X63" s="1"/>
      <c r="Y63" s="1"/>
      <c r="Z63" s="1"/>
    </row>
    <row r="64" spans="1:26" ht="12.75">
      <c r="A64" s="1" t="s">
        <v>15</v>
      </c>
      <c r="B64" s="1" t="s">
        <v>52</v>
      </c>
      <c r="C64" s="21">
        <v>0.53744177714080976</v>
      </c>
      <c r="D64" s="173">
        <f>IF(B64="","",IFERROR(VLOOKUP(B64,'ITEM LIST'!B:M,12,0)*C64,0))</f>
        <v>0.34933715514152636</v>
      </c>
      <c r="E64" s="1">
        <f t="shared" si="1"/>
        <v>27.002866356144754</v>
      </c>
      <c r="F64" s="20"/>
      <c r="G64" s="1"/>
      <c r="H64" s="1"/>
      <c r="I64" s="1"/>
      <c r="J64" s="1"/>
      <c r="K64" s="1"/>
      <c r="L64" s="1"/>
      <c r="M64" s="1"/>
      <c r="N64" s="1"/>
      <c r="O64" s="1"/>
      <c r="P64" s="1"/>
      <c r="Q64" s="1"/>
      <c r="R64" s="1"/>
      <c r="S64" s="1"/>
      <c r="T64" s="1"/>
      <c r="U64" s="1"/>
      <c r="V64" s="1"/>
      <c r="W64" s="1"/>
      <c r="X64" s="1"/>
      <c r="Y64" s="1"/>
      <c r="Z64" s="1"/>
    </row>
    <row r="65" spans="1:26" ht="12.75">
      <c r="A65" s="1"/>
      <c r="B65" s="1" t="s">
        <v>371</v>
      </c>
      <c r="C65" s="21"/>
      <c r="D65" s="173" t="str">
        <f>IF(B65="","",IFERROR(VLOOKUP(B65,'ITEM LIST'!B:M,12,0)*C65,0))</f>
        <v/>
      </c>
      <c r="E65" s="1" t="str">
        <f t="shared" si="1"/>
        <v/>
      </c>
      <c r="F65" s="20"/>
      <c r="G65" s="1"/>
      <c r="H65" s="1"/>
      <c r="I65" s="1"/>
      <c r="J65" s="1"/>
      <c r="K65" s="1"/>
      <c r="L65" s="1"/>
      <c r="M65" s="1"/>
      <c r="N65" s="1"/>
      <c r="O65" s="1"/>
      <c r="P65" s="1"/>
      <c r="Q65" s="1"/>
      <c r="R65" s="1"/>
      <c r="S65" s="1"/>
      <c r="T65" s="1"/>
      <c r="U65" s="1"/>
      <c r="V65" s="1"/>
      <c r="W65" s="1"/>
      <c r="X65" s="1"/>
      <c r="Y65" s="1"/>
      <c r="Z65" s="1"/>
    </row>
    <row r="66" spans="1:26" ht="12.75">
      <c r="A66" s="1" t="s">
        <v>21</v>
      </c>
      <c r="B66" s="1" t="s">
        <v>516</v>
      </c>
      <c r="C66" s="21">
        <v>6</v>
      </c>
      <c r="D66" s="173">
        <f>IF(B66="","",IFERROR(VLOOKUP(B66,'ITEM LIST'!B:M,12,0)*C66,0))</f>
        <v>180</v>
      </c>
      <c r="E66" s="1">
        <f t="shared" ref="E66:E95" si="2">IF(A66="","", SUMIFS(D:D,A:A,A66))</f>
        <v>269.49000000000007</v>
      </c>
      <c r="F66" s="20"/>
      <c r="G66" s="1"/>
      <c r="H66" s="1"/>
      <c r="I66" s="1"/>
      <c r="J66" s="1"/>
      <c r="K66" s="1"/>
      <c r="L66" s="1"/>
      <c r="M66" s="1"/>
      <c r="N66" s="1"/>
      <c r="O66" s="1"/>
      <c r="P66" s="1"/>
      <c r="Q66" s="1"/>
      <c r="R66" s="1"/>
      <c r="S66" s="1"/>
      <c r="T66" s="1"/>
      <c r="U66" s="1"/>
      <c r="V66" s="1"/>
      <c r="W66" s="1"/>
      <c r="X66" s="1"/>
      <c r="Y66" s="1"/>
      <c r="Z66" s="1"/>
    </row>
    <row r="67" spans="1:26" ht="12.75">
      <c r="A67" s="1" t="s">
        <v>21</v>
      </c>
      <c r="B67" s="1" t="s">
        <v>277</v>
      </c>
      <c r="C67" s="21">
        <v>50</v>
      </c>
      <c r="D67" s="173">
        <f>IF(B67="","",IFERROR(VLOOKUP(B67,'ITEM LIST'!B:M,12,0)*C67,0))</f>
        <v>0</v>
      </c>
      <c r="E67" s="1">
        <f t="shared" si="2"/>
        <v>269.49000000000007</v>
      </c>
      <c r="F67" s="20"/>
      <c r="G67" s="1"/>
      <c r="H67" s="1"/>
      <c r="I67" s="1"/>
      <c r="J67" s="1"/>
      <c r="K67" s="1"/>
      <c r="L67" s="1"/>
      <c r="M67" s="1"/>
      <c r="N67" s="1"/>
      <c r="O67" s="1"/>
      <c r="P67" s="1"/>
      <c r="Q67" s="1"/>
      <c r="R67" s="1"/>
      <c r="S67" s="1"/>
      <c r="T67" s="1"/>
      <c r="U67" s="1"/>
      <c r="V67" s="1"/>
      <c r="W67" s="1"/>
      <c r="X67" s="1"/>
      <c r="Y67" s="1"/>
      <c r="Z67" s="1"/>
    </row>
    <row r="68" spans="1:26" ht="12.75">
      <c r="A68" s="1" t="s">
        <v>21</v>
      </c>
      <c r="B68" s="1" t="s">
        <v>323</v>
      </c>
      <c r="C68" s="21">
        <v>50</v>
      </c>
      <c r="D68" s="173">
        <f>IF(B68="","",IFERROR(VLOOKUP(B68,'ITEM LIST'!B:M,12,0)*C68,0))</f>
        <v>1.7500000000000002</v>
      </c>
      <c r="E68" s="1">
        <f t="shared" si="2"/>
        <v>269.49000000000007</v>
      </c>
      <c r="F68" s="20"/>
      <c r="G68" s="1"/>
      <c r="H68" s="1"/>
      <c r="I68" s="1"/>
      <c r="J68" s="1"/>
      <c r="K68" s="1"/>
      <c r="L68" s="1"/>
      <c r="M68" s="1"/>
      <c r="N68" s="1"/>
      <c r="O68" s="1"/>
      <c r="P68" s="1"/>
      <c r="Q68" s="1"/>
      <c r="R68" s="1"/>
      <c r="S68" s="1"/>
      <c r="T68" s="1"/>
      <c r="U68" s="1"/>
      <c r="V68" s="1"/>
      <c r="W68" s="1"/>
      <c r="X68" s="1"/>
      <c r="Y68" s="1"/>
      <c r="Z68" s="1"/>
    </row>
    <row r="69" spans="1:26" ht="12.75">
      <c r="A69" s="1" t="s">
        <v>21</v>
      </c>
      <c r="B69" s="1" t="s">
        <v>37</v>
      </c>
      <c r="C69" s="21">
        <v>25</v>
      </c>
      <c r="D69" s="173">
        <f>IF(B69="","",IFERROR(VLOOKUP(B69,'ITEM LIST'!B:M,12,0)*C69,0))</f>
        <v>5</v>
      </c>
      <c r="E69" s="1">
        <f t="shared" si="2"/>
        <v>269.49000000000007</v>
      </c>
      <c r="F69" s="20"/>
      <c r="G69" s="1"/>
      <c r="H69" s="1"/>
      <c r="I69" s="1"/>
      <c r="J69" s="1"/>
      <c r="K69" s="1"/>
      <c r="L69" s="1"/>
      <c r="M69" s="1"/>
      <c r="N69" s="1"/>
      <c r="O69" s="1"/>
      <c r="P69" s="1"/>
      <c r="Q69" s="1"/>
      <c r="R69" s="1"/>
      <c r="S69" s="1"/>
      <c r="T69" s="1"/>
      <c r="U69" s="1"/>
      <c r="V69" s="1"/>
      <c r="W69" s="1"/>
      <c r="X69" s="1"/>
      <c r="Y69" s="1"/>
      <c r="Z69" s="1"/>
    </row>
    <row r="70" spans="1:26" ht="12.75">
      <c r="A70" s="1" t="s">
        <v>21</v>
      </c>
      <c r="B70" s="1" t="s">
        <v>420</v>
      </c>
      <c r="C70" s="21">
        <v>1000</v>
      </c>
      <c r="D70" s="173">
        <f>IF(B70="","",IFERROR(VLOOKUP(B70,'ITEM LIST'!B:M,12,0)*C70,0))</f>
        <v>66</v>
      </c>
      <c r="E70" s="1">
        <f t="shared" si="2"/>
        <v>269.49000000000007</v>
      </c>
      <c r="F70" s="20"/>
      <c r="G70" s="1"/>
      <c r="H70" s="1"/>
      <c r="I70" s="1"/>
      <c r="J70" s="1"/>
      <c r="K70" s="1"/>
      <c r="L70" s="1"/>
      <c r="M70" s="1"/>
      <c r="N70" s="1"/>
      <c r="O70" s="1"/>
      <c r="P70" s="1"/>
      <c r="Q70" s="1"/>
      <c r="R70" s="1"/>
      <c r="S70" s="1"/>
      <c r="T70" s="1"/>
      <c r="U70" s="1"/>
      <c r="V70" s="1"/>
      <c r="W70" s="1"/>
      <c r="X70" s="1"/>
      <c r="Y70" s="1"/>
      <c r="Z70" s="1"/>
    </row>
    <row r="71" spans="1:26" ht="12.75">
      <c r="A71" s="1" t="s">
        <v>21</v>
      </c>
      <c r="B71" s="1" t="s">
        <v>392</v>
      </c>
      <c r="C71" s="21">
        <v>200</v>
      </c>
      <c r="D71" s="173">
        <f>IF(B71="","",IFERROR(VLOOKUP(B71,'ITEM LIST'!B:M,12,0)*C71,0))</f>
        <v>13</v>
      </c>
      <c r="E71" s="1">
        <f t="shared" si="2"/>
        <v>269.49000000000007</v>
      </c>
      <c r="F71" s="20"/>
      <c r="G71" s="1"/>
      <c r="H71" s="1"/>
      <c r="I71" s="1"/>
      <c r="J71" s="1"/>
      <c r="K71" s="1"/>
      <c r="L71" s="1"/>
      <c r="M71" s="1"/>
      <c r="N71" s="1"/>
      <c r="O71" s="1"/>
      <c r="P71" s="1"/>
      <c r="Q71" s="1"/>
      <c r="R71" s="1"/>
      <c r="S71" s="1"/>
      <c r="T71" s="1"/>
      <c r="U71" s="1"/>
      <c r="V71" s="1"/>
      <c r="W71" s="1"/>
      <c r="X71" s="1"/>
      <c r="Y71" s="1"/>
      <c r="Z71" s="1"/>
    </row>
    <row r="72" spans="1:26" ht="12.75">
      <c r="A72" s="1" t="s">
        <v>21</v>
      </c>
      <c r="B72" s="1" t="s">
        <v>527</v>
      </c>
      <c r="C72" s="21">
        <v>11</v>
      </c>
      <c r="D72" s="173">
        <f>IF(B72="","",IFERROR(VLOOKUP(B72,'ITEM LIST'!B:M,12,0)*C72,0))</f>
        <v>1.1000000000000001</v>
      </c>
      <c r="E72" s="1">
        <f t="shared" si="2"/>
        <v>269.49000000000007</v>
      </c>
      <c r="F72" s="20"/>
      <c r="G72" s="1"/>
      <c r="H72" s="1"/>
      <c r="I72" s="1"/>
      <c r="J72" s="1"/>
      <c r="K72" s="1"/>
      <c r="L72" s="1"/>
      <c r="M72" s="1"/>
      <c r="N72" s="1"/>
      <c r="O72" s="1"/>
      <c r="P72" s="1"/>
      <c r="Q72" s="1"/>
      <c r="R72" s="1"/>
      <c r="S72" s="1"/>
      <c r="T72" s="1"/>
      <c r="U72" s="1"/>
      <c r="V72" s="1"/>
      <c r="W72" s="1"/>
      <c r="X72" s="1"/>
      <c r="Y72" s="1"/>
      <c r="Z72" s="1"/>
    </row>
    <row r="73" spans="1:26" ht="12.75">
      <c r="A73" s="1" t="s">
        <v>21</v>
      </c>
      <c r="B73" s="1" t="s">
        <v>52</v>
      </c>
      <c r="C73" s="21">
        <v>2</v>
      </c>
      <c r="D73" s="173">
        <f>IF(B73="","",IFERROR(VLOOKUP(B73,'ITEM LIST'!B:M,12,0)*C73,0))</f>
        <v>1.3</v>
      </c>
      <c r="E73" s="1">
        <f t="shared" si="2"/>
        <v>269.49000000000007</v>
      </c>
      <c r="F73" s="20"/>
      <c r="G73" s="1"/>
      <c r="H73" s="1"/>
      <c r="I73" s="1"/>
      <c r="J73" s="1"/>
      <c r="K73" s="1"/>
      <c r="L73" s="1"/>
      <c r="M73" s="1"/>
      <c r="N73" s="1"/>
      <c r="O73" s="1"/>
      <c r="P73" s="1"/>
      <c r="Q73" s="1"/>
      <c r="R73" s="1"/>
      <c r="S73" s="1"/>
      <c r="T73" s="1"/>
      <c r="U73" s="1"/>
      <c r="V73" s="1"/>
      <c r="W73" s="1"/>
      <c r="X73" s="1"/>
      <c r="Y73" s="1"/>
      <c r="Z73" s="1"/>
    </row>
    <row r="74" spans="1:26" ht="12.75">
      <c r="A74" s="1" t="s">
        <v>21</v>
      </c>
      <c r="B74" s="1" t="s">
        <v>230</v>
      </c>
      <c r="C74" s="21">
        <v>2</v>
      </c>
      <c r="D74" s="173">
        <f>IF(B74="","",IFERROR(VLOOKUP(B74,'ITEM LIST'!B:M,12,0)*C74,0))</f>
        <v>0.6</v>
      </c>
      <c r="E74" s="1">
        <f t="shared" si="2"/>
        <v>269.49000000000007</v>
      </c>
      <c r="F74" s="20"/>
      <c r="G74" s="1"/>
      <c r="H74" s="1"/>
      <c r="I74" s="1"/>
      <c r="J74" s="1"/>
      <c r="K74" s="1"/>
      <c r="L74" s="1"/>
      <c r="M74" s="1"/>
      <c r="N74" s="1"/>
      <c r="O74" s="1"/>
      <c r="P74" s="1"/>
      <c r="Q74" s="1"/>
      <c r="R74" s="1"/>
      <c r="S74" s="1"/>
      <c r="T74" s="1"/>
      <c r="U74" s="1"/>
      <c r="V74" s="1"/>
      <c r="W74" s="1"/>
      <c r="X74" s="1"/>
      <c r="Y74" s="1"/>
      <c r="Z74" s="1"/>
    </row>
    <row r="75" spans="1:26" ht="12.75">
      <c r="A75" s="1" t="s">
        <v>21</v>
      </c>
      <c r="B75" s="1" t="s">
        <v>386</v>
      </c>
      <c r="C75" s="21">
        <v>2</v>
      </c>
      <c r="D75" s="173">
        <f>IF(B75="","",IFERROR(VLOOKUP(B75,'ITEM LIST'!B:M,12,0)*C75,0))</f>
        <v>0.56000000000000005</v>
      </c>
      <c r="E75" s="1">
        <f t="shared" si="2"/>
        <v>269.49000000000007</v>
      </c>
      <c r="F75" s="20"/>
      <c r="G75" s="1"/>
      <c r="H75" s="1"/>
      <c r="I75" s="1"/>
      <c r="J75" s="1"/>
      <c r="K75" s="1"/>
      <c r="L75" s="1"/>
      <c r="M75" s="1"/>
      <c r="N75" s="1"/>
      <c r="O75" s="1"/>
      <c r="P75" s="1"/>
      <c r="Q75" s="1"/>
      <c r="R75" s="1"/>
      <c r="S75" s="1"/>
      <c r="T75" s="1"/>
      <c r="U75" s="1"/>
      <c r="V75" s="1"/>
      <c r="W75" s="1"/>
      <c r="X75" s="1"/>
      <c r="Y75" s="1"/>
      <c r="Z75" s="1"/>
    </row>
    <row r="76" spans="1:26" ht="12.75">
      <c r="A76" s="1" t="s">
        <v>21</v>
      </c>
      <c r="B76" s="1" t="s">
        <v>328</v>
      </c>
      <c r="C76" s="21">
        <v>2</v>
      </c>
      <c r="D76" s="173">
        <f>IF(B76="","",IFERROR(VLOOKUP(B76,'ITEM LIST'!B:M,12,0)*C76,0))</f>
        <v>0.18</v>
      </c>
      <c r="E76" s="1">
        <f t="shared" si="2"/>
        <v>269.49000000000007</v>
      </c>
      <c r="F76" s="20"/>
      <c r="G76" s="1"/>
      <c r="H76" s="1"/>
      <c r="I76" s="1"/>
      <c r="J76" s="1"/>
      <c r="K76" s="1"/>
      <c r="L76" s="1"/>
      <c r="M76" s="1"/>
      <c r="N76" s="1"/>
      <c r="O76" s="1"/>
      <c r="P76" s="1"/>
      <c r="Q76" s="1"/>
      <c r="R76" s="1"/>
      <c r="S76" s="1"/>
      <c r="T76" s="1"/>
      <c r="U76" s="1"/>
      <c r="V76" s="1"/>
      <c r="W76" s="1"/>
      <c r="X76" s="1"/>
      <c r="Y76" s="1"/>
      <c r="Z76" s="1"/>
    </row>
    <row r="77" spans="1:26" ht="12.75">
      <c r="A77" s="1"/>
      <c r="B77" s="1" t="s">
        <v>371</v>
      </c>
      <c r="C77" s="20"/>
      <c r="D77" s="173" t="str">
        <f>IF(B77="","",IFERROR(VLOOKUP(B77,'ITEM LIST'!B:M,12,0)*C77,0))</f>
        <v/>
      </c>
      <c r="E77" s="1" t="str">
        <f t="shared" si="2"/>
        <v/>
      </c>
      <c r="F77" s="20"/>
      <c r="G77" s="1"/>
      <c r="H77" s="1"/>
      <c r="I77" s="1"/>
      <c r="J77" s="1"/>
      <c r="K77" s="1"/>
      <c r="L77" s="1"/>
      <c r="M77" s="1"/>
      <c r="N77" s="1"/>
      <c r="O77" s="1"/>
      <c r="P77" s="1"/>
      <c r="Q77" s="1"/>
      <c r="R77" s="1"/>
      <c r="S77" s="1"/>
      <c r="T77" s="1"/>
      <c r="U77" s="1"/>
      <c r="V77" s="1"/>
      <c r="W77" s="1"/>
      <c r="X77" s="1"/>
      <c r="Y77" s="1"/>
      <c r="Z77" s="1"/>
    </row>
    <row r="78" spans="1:26" ht="12.75">
      <c r="A78" s="1" t="s">
        <v>283</v>
      </c>
      <c r="B78" s="1" t="s">
        <v>384</v>
      </c>
      <c r="C78" s="21">
        <v>534.18803419999995</v>
      </c>
      <c r="D78" s="173">
        <f>IF(B78="","",IFERROR(VLOOKUP(B78,'ITEM LIST'!B:M,12,0)*C78,0))</f>
        <v>18.696581197</v>
      </c>
      <c r="E78" s="1">
        <f t="shared" si="2"/>
        <v>60.521367519799995</v>
      </c>
      <c r="F78" s="20"/>
      <c r="G78" s="1"/>
      <c r="H78" s="1"/>
      <c r="I78" s="1"/>
      <c r="J78" s="1"/>
      <c r="K78" s="1"/>
      <c r="L78" s="1"/>
      <c r="M78" s="1"/>
      <c r="N78" s="1"/>
      <c r="O78" s="1"/>
      <c r="P78" s="1"/>
      <c r="Q78" s="1"/>
      <c r="R78" s="1"/>
      <c r="S78" s="1"/>
      <c r="T78" s="1"/>
      <c r="U78" s="1"/>
      <c r="V78" s="1"/>
      <c r="W78" s="1"/>
      <c r="X78" s="1"/>
      <c r="Y78" s="1"/>
      <c r="Z78" s="1"/>
    </row>
    <row r="79" spans="1:26" ht="12.75">
      <c r="A79" s="1" t="s">
        <v>283</v>
      </c>
      <c r="B79" s="1" t="s">
        <v>40</v>
      </c>
      <c r="C79" s="21">
        <v>53.418803420000003</v>
      </c>
      <c r="D79" s="173">
        <f>IF(B79="","",IFERROR(VLOOKUP(B79,'ITEM LIST'!B:M,12,0)*C79,0))</f>
        <v>1.7094017094400002</v>
      </c>
      <c r="E79" s="1">
        <f t="shared" si="2"/>
        <v>60.521367519799995</v>
      </c>
      <c r="F79" s="20"/>
      <c r="G79" s="1"/>
      <c r="H79" s="1"/>
      <c r="I79" s="1"/>
      <c r="J79" s="1"/>
      <c r="K79" s="1"/>
      <c r="L79" s="1"/>
      <c r="M79" s="1"/>
      <c r="N79" s="1"/>
      <c r="O79" s="1"/>
      <c r="P79" s="1"/>
      <c r="Q79" s="1"/>
      <c r="R79" s="1"/>
      <c r="S79" s="1"/>
      <c r="T79" s="1"/>
      <c r="U79" s="1"/>
      <c r="V79" s="1"/>
      <c r="W79" s="1"/>
      <c r="X79" s="1"/>
      <c r="Y79" s="1"/>
      <c r="Z79" s="1"/>
    </row>
    <row r="80" spans="1:26" ht="12.75">
      <c r="A80" s="1" t="s">
        <v>283</v>
      </c>
      <c r="B80" s="1" t="s">
        <v>536</v>
      </c>
      <c r="C80" s="21">
        <v>320.51282049999998</v>
      </c>
      <c r="D80" s="173">
        <f>IF(B80="","",IFERROR(VLOOKUP(B80,'ITEM LIST'!B:M,12,0)*C80,0))</f>
        <v>0</v>
      </c>
      <c r="E80" s="1">
        <f t="shared" si="2"/>
        <v>60.521367519799995</v>
      </c>
      <c r="F80" s="20"/>
      <c r="G80" s="1"/>
      <c r="H80" s="1"/>
      <c r="I80" s="1"/>
      <c r="J80" s="1"/>
      <c r="K80" s="1"/>
      <c r="L80" s="1"/>
      <c r="M80" s="1"/>
      <c r="N80" s="1"/>
      <c r="O80" s="1"/>
      <c r="P80" s="1"/>
      <c r="Q80" s="1"/>
      <c r="R80" s="1"/>
      <c r="S80" s="1"/>
      <c r="T80" s="1"/>
      <c r="U80" s="1"/>
      <c r="V80" s="1"/>
      <c r="W80" s="1"/>
      <c r="X80" s="1"/>
      <c r="Y80" s="1"/>
      <c r="Z80" s="1"/>
    </row>
    <row r="81" spans="1:26" ht="12.75">
      <c r="A81" s="1" t="s">
        <v>283</v>
      </c>
      <c r="B81" s="1" t="s">
        <v>350</v>
      </c>
      <c r="C81" s="21">
        <v>10.683760680000001</v>
      </c>
      <c r="D81" s="173">
        <f>IF(B81="","",IFERROR(VLOOKUP(B81,'ITEM LIST'!B:M,12,0)*C81,0))</f>
        <v>7.4786324759999996</v>
      </c>
      <c r="E81" s="1">
        <f t="shared" si="2"/>
        <v>60.521367519799995</v>
      </c>
      <c r="F81" s="20"/>
      <c r="G81" s="1"/>
      <c r="H81" s="1"/>
      <c r="I81" s="1"/>
      <c r="J81" s="1"/>
      <c r="K81" s="1"/>
      <c r="L81" s="1"/>
      <c r="M81" s="1"/>
      <c r="N81" s="1"/>
      <c r="O81" s="1"/>
      <c r="P81" s="1"/>
      <c r="Q81" s="1"/>
      <c r="R81" s="1"/>
      <c r="S81" s="1"/>
      <c r="T81" s="1"/>
      <c r="U81" s="1"/>
      <c r="V81" s="1"/>
      <c r="W81" s="1"/>
      <c r="X81" s="1"/>
      <c r="Y81" s="1"/>
      <c r="Z81" s="1"/>
    </row>
    <row r="82" spans="1:26" ht="12.75">
      <c r="A82" s="1" t="s">
        <v>283</v>
      </c>
      <c r="B82" s="1" t="s">
        <v>386</v>
      </c>
      <c r="C82" s="21">
        <v>5.3418803419999996</v>
      </c>
      <c r="D82" s="173">
        <f>IF(B82="","",IFERROR(VLOOKUP(B82,'ITEM LIST'!B:M,12,0)*C82,0))</f>
        <v>1.4957264957600001</v>
      </c>
      <c r="E82" s="1">
        <f t="shared" si="2"/>
        <v>60.521367519799995</v>
      </c>
      <c r="F82" s="20"/>
      <c r="G82" s="1"/>
      <c r="H82" s="1"/>
      <c r="I82" s="1"/>
      <c r="J82" s="1"/>
      <c r="K82" s="1"/>
      <c r="L82" s="1"/>
      <c r="M82" s="1"/>
      <c r="N82" s="1"/>
      <c r="O82" s="1"/>
      <c r="P82" s="1"/>
      <c r="Q82" s="1"/>
      <c r="R82" s="1"/>
      <c r="S82" s="1"/>
      <c r="T82" s="1"/>
      <c r="U82" s="1"/>
      <c r="V82" s="1"/>
      <c r="W82" s="1"/>
      <c r="X82" s="1"/>
      <c r="Y82" s="1"/>
      <c r="Z82" s="1"/>
    </row>
    <row r="83" spans="1:26" ht="12.75">
      <c r="A83" s="1" t="s">
        <v>283</v>
      </c>
      <c r="B83" s="1" t="s">
        <v>436</v>
      </c>
      <c r="C83" s="21">
        <v>26.709401710000002</v>
      </c>
      <c r="D83" s="173">
        <f>IF(B83="","",IFERROR(VLOOKUP(B83,'ITEM LIST'!B:M,12,0)*C83,0))</f>
        <v>0</v>
      </c>
      <c r="E83" s="1">
        <f t="shared" si="2"/>
        <v>60.521367519799995</v>
      </c>
      <c r="F83" s="20"/>
      <c r="G83" s="1"/>
      <c r="H83" s="1"/>
      <c r="I83" s="1"/>
      <c r="J83" s="1"/>
      <c r="K83" s="1"/>
      <c r="L83" s="1"/>
      <c r="M83" s="1"/>
      <c r="N83" s="1"/>
      <c r="O83" s="1"/>
      <c r="P83" s="1"/>
      <c r="Q83" s="1"/>
      <c r="R83" s="1"/>
      <c r="S83" s="1"/>
      <c r="T83" s="1"/>
      <c r="U83" s="1"/>
      <c r="V83" s="1"/>
      <c r="W83" s="1"/>
      <c r="X83" s="1"/>
      <c r="Y83" s="1"/>
      <c r="Z83" s="1"/>
    </row>
    <row r="84" spans="1:26" ht="12.75">
      <c r="A84" s="1" t="s">
        <v>283</v>
      </c>
      <c r="B84" s="1" t="s">
        <v>328</v>
      </c>
      <c r="C84" s="21">
        <v>5.3418803419999996</v>
      </c>
      <c r="D84" s="173">
        <f>IF(B84="","",IFERROR(VLOOKUP(B84,'ITEM LIST'!B:M,12,0)*C84,0))</f>
        <v>0.48076923077999995</v>
      </c>
      <c r="E84" s="1">
        <f t="shared" si="2"/>
        <v>60.521367519799995</v>
      </c>
      <c r="F84" s="20"/>
      <c r="G84" s="1"/>
      <c r="H84" s="1"/>
      <c r="I84" s="1"/>
      <c r="J84" s="1"/>
      <c r="K84" s="1"/>
      <c r="L84" s="1"/>
      <c r="M84" s="1"/>
      <c r="N84" s="1"/>
      <c r="O84" s="1"/>
      <c r="P84" s="1"/>
      <c r="Q84" s="1"/>
      <c r="R84" s="1"/>
      <c r="S84" s="1"/>
      <c r="T84" s="1"/>
      <c r="U84" s="1"/>
      <c r="V84" s="1"/>
      <c r="W84" s="1"/>
      <c r="X84" s="1"/>
      <c r="Y84" s="1"/>
      <c r="Z84" s="1"/>
    </row>
    <row r="85" spans="1:26" ht="12.75">
      <c r="A85" s="1" t="s">
        <v>283</v>
      </c>
      <c r="B85" s="1" t="s">
        <v>340</v>
      </c>
      <c r="C85" s="21">
        <v>5.3418803419999996</v>
      </c>
      <c r="D85" s="173">
        <f>IF(B85="","",IFERROR(VLOOKUP(B85,'ITEM LIST'!B:M,12,0)*C85,0))</f>
        <v>26.709401709999998</v>
      </c>
      <c r="E85" s="1">
        <f t="shared" si="2"/>
        <v>60.521367519799995</v>
      </c>
      <c r="F85" s="20"/>
      <c r="G85" s="1"/>
      <c r="H85" s="1"/>
      <c r="I85" s="1"/>
      <c r="J85" s="1"/>
      <c r="K85" s="1"/>
      <c r="L85" s="1"/>
      <c r="M85" s="1"/>
      <c r="N85" s="1"/>
      <c r="O85" s="1"/>
      <c r="P85" s="1"/>
      <c r="Q85" s="1"/>
      <c r="R85" s="1"/>
      <c r="S85" s="1"/>
      <c r="T85" s="1"/>
      <c r="U85" s="1"/>
      <c r="V85" s="1"/>
      <c r="W85" s="1"/>
      <c r="X85" s="1"/>
      <c r="Y85" s="1"/>
      <c r="Z85" s="1"/>
    </row>
    <row r="86" spans="1:26" ht="12.75">
      <c r="A86" s="1" t="s">
        <v>283</v>
      </c>
      <c r="B86" s="1" t="s">
        <v>52</v>
      </c>
      <c r="C86" s="21">
        <v>5.3418803419999996</v>
      </c>
      <c r="D86" s="173">
        <f>IF(B86="","",IFERROR(VLOOKUP(B86,'ITEM LIST'!B:M,12,0)*C86,0))</f>
        <v>3.4722222222999997</v>
      </c>
      <c r="E86" s="1">
        <f t="shared" si="2"/>
        <v>60.521367519799995</v>
      </c>
      <c r="F86" s="20"/>
      <c r="G86" s="1"/>
      <c r="H86" s="1"/>
      <c r="I86" s="1"/>
      <c r="J86" s="1"/>
      <c r="K86" s="1"/>
      <c r="L86" s="1"/>
      <c r="M86" s="1"/>
      <c r="N86" s="1"/>
      <c r="O86" s="1"/>
      <c r="P86" s="1"/>
      <c r="Q86" s="1"/>
      <c r="R86" s="1"/>
      <c r="S86" s="1"/>
      <c r="T86" s="1"/>
      <c r="U86" s="1"/>
      <c r="V86" s="1"/>
      <c r="W86" s="1"/>
      <c r="X86" s="1"/>
      <c r="Y86" s="1"/>
      <c r="Z86" s="1"/>
    </row>
    <row r="87" spans="1:26" ht="12.75">
      <c r="A87" s="1" t="s">
        <v>283</v>
      </c>
      <c r="B87" s="1" t="s">
        <v>114</v>
      </c>
      <c r="C87" s="21">
        <v>17.094017090000001</v>
      </c>
      <c r="D87" s="173">
        <f>IF(B87="","",IFERROR(VLOOKUP(B87,'ITEM LIST'!B:M,12,0)*C87,0))</f>
        <v>0.47863247852000007</v>
      </c>
      <c r="E87" s="1">
        <f t="shared" si="2"/>
        <v>60.521367519799995</v>
      </c>
      <c r="F87" s="20"/>
      <c r="G87" s="1"/>
      <c r="H87" s="1"/>
      <c r="I87" s="1"/>
      <c r="J87" s="1"/>
      <c r="K87" s="1"/>
      <c r="L87" s="1"/>
      <c r="M87" s="1"/>
      <c r="N87" s="1"/>
      <c r="O87" s="1"/>
      <c r="P87" s="1"/>
      <c r="Q87" s="1"/>
      <c r="R87" s="1"/>
      <c r="S87" s="1"/>
      <c r="T87" s="1"/>
      <c r="U87" s="1"/>
      <c r="V87" s="1"/>
      <c r="W87" s="1"/>
      <c r="X87" s="1"/>
      <c r="Y87" s="1"/>
      <c r="Z87" s="1"/>
    </row>
    <row r="88" spans="1:26" ht="12.75">
      <c r="A88" s="1" t="s">
        <v>283</v>
      </c>
      <c r="B88" s="1" t="s">
        <v>101</v>
      </c>
      <c r="C88" s="21">
        <v>16.34615385</v>
      </c>
      <c r="D88" s="173">
        <f>IF(B88="","",IFERROR(VLOOKUP(B88,'ITEM LIST'!B:M,12,0)*C88,0))</f>
        <v>0</v>
      </c>
      <c r="E88" s="1">
        <f t="shared" si="2"/>
        <v>60.521367519799995</v>
      </c>
      <c r="F88" s="20"/>
      <c r="G88" s="1"/>
      <c r="H88" s="1"/>
      <c r="I88" s="1"/>
      <c r="J88" s="1"/>
      <c r="K88" s="1"/>
      <c r="L88" s="1"/>
      <c r="M88" s="1"/>
      <c r="N88" s="1"/>
      <c r="O88" s="1"/>
      <c r="P88" s="1"/>
      <c r="Q88" s="1"/>
      <c r="R88" s="1"/>
      <c r="S88" s="1"/>
      <c r="T88" s="1"/>
      <c r="U88" s="1"/>
      <c r="V88" s="1"/>
      <c r="W88" s="1"/>
      <c r="X88" s="1"/>
      <c r="Y88" s="1"/>
      <c r="Z88" s="1"/>
    </row>
    <row r="89" spans="1:26" ht="12.75">
      <c r="A89" s="1"/>
      <c r="B89" s="1" t="s">
        <v>371</v>
      </c>
      <c r="C89" s="20"/>
      <c r="D89" s="173" t="str">
        <f>IF(B89="","",IFERROR(VLOOKUP(B89,'ITEM LIST'!B:M,12,0)*C89,0))</f>
        <v/>
      </c>
      <c r="E89" s="1" t="str">
        <f t="shared" si="2"/>
        <v/>
      </c>
      <c r="F89" s="20"/>
      <c r="G89" s="1"/>
      <c r="H89" s="1"/>
      <c r="I89" s="1"/>
      <c r="J89" s="1"/>
      <c r="K89" s="1"/>
      <c r="L89" s="1"/>
      <c r="M89" s="1"/>
      <c r="N89" s="1"/>
      <c r="O89" s="1"/>
      <c r="P89" s="1"/>
      <c r="Q89" s="1"/>
      <c r="R89" s="1"/>
      <c r="S89" s="1"/>
      <c r="T89" s="1"/>
      <c r="U89" s="1"/>
      <c r="V89" s="1"/>
      <c r="W89" s="1"/>
      <c r="X89" s="1"/>
      <c r="Y89" s="1"/>
      <c r="Z89" s="1"/>
    </row>
    <row r="90" spans="1:26" ht="12.75">
      <c r="A90" s="1" t="s">
        <v>284</v>
      </c>
      <c r="B90" s="1" t="s">
        <v>537</v>
      </c>
      <c r="C90" s="21">
        <v>31</v>
      </c>
      <c r="D90" s="173">
        <f>IF(B90="","",IFERROR(VLOOKUP(B90,'ITEM LIST'!B:M,12,0)*C90,0))</f>
        <v>0</v>
      </c>
      <c r="E90" s="1">
        <f t="shared" si="2"/>
        <v>5.5636666666666663</v>
      </c>
      <c r="F90" s="20"/>
      <c r="G90" s="1"/>
      <c r="H90" s="1"/>
      <c r="I90" s="1"/>
      <c r="J90" s="1"/>
      <c r="K90" s="1"/>
      <c r="L90" s="1"/>
      <c r="M90" s="1"/>
      <c r="N90" s="1"/>
      <c r="O90" s="1"/>
      <c r="P90" s="1"/>
      <c r="Q90" s="1"/>
      <c r="R90" s="1"/>
      <c r="S90" s="1"/>
      <c r="T90" s="1"/>
      <c r="U90" s="1"/>
      <c r="V90" s="1"/>
      <c r="W90" s="1"/>
      <c r="X90" s="1"/>
      <c r="Y90" s="1"/>
      <c r="Z90" s="1"/>
    </row>
    <row r="91" spans="1:26" ht="12.75">
      <c r="A91" s="1" t="s">
        <v>284</v>
      </c>
      <c r="B91" s="1" t="s">
        <v>17</v>
      </c>
      <c r="C91" s="21">
        <v>7</v>
      </c>
      <c r="D91" s="173">
        <f>IF(B91="","",IFERROR(VLOOKUP(B91,'ITEM LIST'!B:M,12,0)*C91,0))</f>
        <v>1.8900000000000001</v>
      </c>
      <c r="E91" s="1">
        <f t="shared" si="2"/>
        <v>5.5636666666666663</v>
      </c>
      <c r="F91" s="20"/>
      <c r="G91" s="1"/>
      <c r="H91" s="1"/>
      <c r="I91" s="1"/>
      <c r="J91" s="1"/>
      <c r="K91" s="1"/>
      <c r="L91" s="1"/>
      <c r="M91" s="1"/>
      <c r="N91" s="1"/>
      <c r="O91" s="1"/>
      <c r="P91" s="1"/>
      <c r="Q91" s="1"/>
      <c r="R91" s="1"/>
      <c r="S91" s="1"/>
      <c r="T91" s="1"/>
      <c r="U91" s="1"/>
      <c r="V91" s="1"/>
      <c r="W91" s="1"/>
      <c r="X91" s="1"/>
      <c r="Y91" s="1"/>
      <c r="Z91" s="1"/>
    </row>
    <row r="92" spans="1:26" ht="12.75">
      <c r="A92" s="1" t="s">
        <v>284</v>
      </c>
      <c r="B92" s="1" t="s">
        <v>538</v>
      </c>
      <c r="C92" s="21">
        <v>50</v>
      </c>
      <c r="D92" s="173">
        <f>IF(B92="","",IFERROR(VLOOKUP(B92,'ITEM LIST'!B:M,12,0)*C92,0))</f>
        <v>2.6866666666666665</v>
      </c>
      <c r="E92" s="1">
        <f t="shared" si="2"/>
        <v>5.5636666666666663</v>
      </c>
      <c r="F92" s="20"/>
      <c r="G92" s="1"/>
      <c r="H92" s="1"/>
      <c r="I92" s="1"/>
      <c r="J92" s="1"/>
      <c r="K92" s="1"/>
      <c r="L92" s="1"/>
      <c r="M92" s="1"/>
      <c r="N92" s="1"/>
      <c r="O92" s="1"/>
      <c r="P92" s="1"/>
      <c r="Q92" s="1"/>
      <c r="R92" s="1"/>
      <c r="S92" s="1"/>
      <c r="T92" s="1"/>
      <c r="U92" s="1"/>
      <c r="V92" s="1"/>
      <c r="W92" s="1"/>
      <c r="X92" s="1"/>
      <c r="Y92" s="1"/>
      <c r="Z92" s="1"/>
    </row>
    <row r="93" spans="1:26" ht="12.75">
      <c r="A93" s="1" t="s">
        <v>284</v>
      </c>
      <c r="B93" s="1" t="s">
        <v>34</v>
      </c>
      <c r="C93" s="21">
        <v>7</v>
      </c>
      <c r="D93" s="173">
        <f>IF(B93="","",IFERROR(VLOOKUP(B93,'ITEM LIST'!B:M,12,0)*C93,0))</f>
        <v>0.63</v>
      </c>
      <c r="E93" s="1">
        <f t="shared" si="2"/>
        <v>5.5636666666666663</v>
      </c>
      <c r="F93" s="20"/>
      <c r="G93" s="1"/>
      <c r="H93" s="1"/>
      <c r="I93" s="1"/>
      <c r="J93" s="1"/>
      <c r="K93" s="1"/>
      <c r="L93" s="1"/>
      <c r="M93" s="1"/>
      <c r="N93" s="1"/>
      <c r="O93" s="1"/>
      <c r="P93" s="1"/>
      <c r="Q93" s="1"/>
      <c r="R93" s="1"/>
      <c r="S93" s="1"/>
      <c r="T93" s="1"/>
      <c r="U93" s="1"/>
      <c r="V93" s="1"/>
      <c r="W93" s="1"/>
      <c r="X93" s="1"/>
      <c r="Y93" s="1"/>
      <c r="Z93" s="1"/>
    </row>
    <row r="94" spans="1:26" ht="12.75">
      <c r="A94" s="1" t="s">
        <v>284</v>
      </c>
      <c r="B94" s="1" t="s">
        <v>31</v>
      </c>
      <c r="C94" s="21">
        <v>7</v>
      </c>
      <c r="D94" s="173">
        <f>IF(B94="","",IFERROR(VLOOKUP(B94,'ITEM LIST'!B:M,12,0)*C94,0))</f>
        <v>0.112</v>
      </c>
      <c r="E94" s="1">
        <f t="shared" si="2"/>
        <v>5.5636666666666663</v>
      </c>
      <c r="F94" s="20"/>
      <c r="G94" s="1"/>
      <c r="H94" s="1"/>
      <c r="I94" s="1"/>
      <c r="J94" s="1"/>
      <c r="K94" s="1"/>
      <c r="L94" s="1"/>
      <c r="M94" s="1"/>
      <c r="N94" s="1"/>
      <c r="O94" s="1"/>
      <c r="P94" s="1"/>
      <c r="Q94" s="1"/>
      <c r="R94" s="1"/>
      <c r="S94" s="1"/>
      <c r="T94" s="1"/>
      <c r="U94" s="1"/>
      <c r="V94" s="1"/>
      <c r="W94" s="1"/>
      <c r="X94" s="1"/>
      <c r="Y94" s="1"/>
      <c r="Z94" s="1"/>
    </row>
    <row r="95" spans="1:26" ht="12.75">
      <c r="A95" s="1" t="s">
        <v>284</v>
      </c>
      <c r="B95" s="1" t="s">
        <v>32</v>
      </c>
      <c r="C95" s="21">
        <v>7</v>
      </c>
      <c r="D95" s="173">
        <f>IF(B95="","",IFERROR(VLOOKUP(B95,'ITEM LIST'!B:M,12,0)*C95,0))</f>
        <v>0.24500000000000002</v>
      </c>
      <c r="E95" s="1">
        <f t="shared" si="2"/>
        <v>5.5636666666666663</v>
      </c>
      <c r="F95" s="20"/>
      <c r="G95" s="1"/>
      <c r="H95" s="1"/>
      <c r="I95" s="1"/>
      <c r="J95" s="1"/>
      <c r="K95" s="1"/>
      <c r="L95" s="1"/>
      <c r="M95" s="1"/>
      <c r="N95" s="1"/>
      <c r="O95" s="1"/>
      <c r="P95" s="1"/>
      <c r="Q95" s="1"/>
      <c r="R95" s="1"/>
      <c r="S95" s="1"/>
      <c r="T95" s="1"/>
      <c r="U95" s="1"/>
      <c r="V95" s="1"/>
      <c r="W95" s="1"/>
      <c r="X95" s="1"/>
      <c r="Y95" s="1"/>
      <c r="Z95" s="1"/>
    </row>
    <row r="96" spans="1:26" ht="12.75">
      <c r="A96" s="1"/>
      <c r="B96" s="1" t="s">
        <v>371</v>
      </c>
      <c r="C96" s="21"/>
      <c r="D96" s="173"/>
      <c r="E96" s="1"/>
      <c r="F96" s="20"/>
      <c r="G96" s="1"/>
      <c r="H96" s="1"/>
      <c r="I96" s="1"/>
      <c r="J96" s="1"/>
      <c r="K96" s="1"/>
      <c r="L96" s="1"/>
      <c r="M96" s="1"/>
      <c r="N96" s="1"/>
      <c r="O96" s="1"/>
      <c r="P96" s="1"/>
      <c r="Q96" s="1"/>
      <c r="R96" s="1"/>
      <c r="S96" s="1"/>
      <c r="T96" s="1"/>
      <c r="U96" s="1"/>
      <c r="V96" s="1"/>
      <c r="W96" s="1"/>
      <c r="X96" s="1"/>
      <c r="Y96" s="1"/>
      <c r="Z96" s="1"/>
    </row>
    <row r="97" spans="1:26" ht="12.75">
      <c r="A97" s="1"/>
      <c r="B97" s="1" t="s">
        <v>371</v>
      </c>
      <c r="C97" s="21"/>
      <c r="D97" s="173"/>
      <c r="E97" s="1"/>
      <c r="F97" s="20"/>
      <c r="G97" s="1"/>
      <c r="H97" s="1"/>
      <c r="I97" s="1"/>
      <c r="J97" s="1"/>
      <c r="K97" s="1"/>
      <c r="L97" s="1"/>
      <c r="M97" s="1"/>
      <c r="N97" s="1"/>
      <c r="O97" s="1"/>
      <c r="P97" s="1"/>
      <c r="Q97" s="1"/>
      <c r="R97" s="1"/>
      <c r="S97" s="1"/>
      <c r="T97" s="1"/>
      <c r="U97" s="1"/>
      <c r="V97" s="1"/>
      <c r="W97" s="1"/>
      <c r="X97" s="1"/>
      <c r="Y97" s="1"/>
      <c r="Z97" s="1"/>
    </row>
    <row r="98" spans="1:26" ht="12.75">
      <c r="A98" s="1"/>
      <c r="B98" s="1" t="s">
        <v>371</v>
      </c>
      <c r="C98" s="20"/>
      <c r="D98" s="173" t="str">
        <f>IF(B98="","",IFERROR(VLOOKUP(B98,'ITEM LIST'!B:M,12,0)*C98,0))</f>
        <v/>
      </c>
      <c r="E98" s="1" t="str">
        <f t="shared" ref="E98:E129" si="3">IF(A98="","", SUMIFS(D:D,A:A,A98))</f>
        <v/>
      </c>
      <c r="F98" s="20"/>
      <c r="G98" s="1"/>
      <c r="H98" s="1"/>
      <c r="I98" s="1"/>
      <c r="J98" s="1"/>
      <c r="K98" s="1"/>
      <c r="L98" s="1"/>
      <c r="M98" s="1"/>
      <c r="N98" s="1"/>
      <c r="O98" s="1"/>
      <c r="P98" s="1"/>
      <c r="Q98" s="1"/>
      <c r="R98" s="1"/>
      <c r="S98" s="1"/>
      <c r="T98" s="1"/>
      <c r="U98" s="1"/>
      <c r="V98" s="1"/>
      <c r="W98" s="1"/>
      <c r="X98" s="1"/>
      <c r="Y98" s="1"/>
      <c r="Z98" s="1"/>
    </row>
    <row r="99" spans="1:26" ht="12.75">
      <c r="A99" s="1" t="s">
        <v>285</v>
      </c>
      <c r="B99" s="1" t="s">
        <v>538</v>
      </c>
      <c r="C99" s="21">
        <v>63</v>
      </c>
      <c r="D99" s="173">
        <f>IF(B99="","",IFERROR(VLOOKUP(B99,'ITEM LIST'!B:M,12,0)*C99,0))</f>
        <v>3.3852000000000002</v>
      </c>
      <c r="E99" s="1">
        <f t="shared" si="3"/>
        <v>6.0542740740740744</v>
      </c>
      <c r="F99" s="20"/>
      <c r="G99" s="1"/>
      <c r="H99" s="1"/>
      <c r="I99" s="1"/>
      <c r="J99" s="1"/>
      <c r="K99" s="1"/>
      <c r="L99" s="1"/>
      <c r="M99" s="1"/>
      <c r="N99" s="1"/>
      <c r="O99" s="1"/>
      <c r="P99" s="1"/>
      <c r="Q99" s="1"/>
      <c r="R99" s="1"/>
      <c r="S99" s="1"/>
      <c r="T99" s="1"/>
      <c r="U99" s="1"/>
      <c r="V99" s="1"/>
      <c r="W99" s="1"/>
      <c r="X99" s="1"/>
      <c r="Y99" s="1"/>
      <c r="Z99" s="1"/>
    </row>
    <row r="100" spans="1:26" ht="12.75">
      <c r="A100" s="1" t="s">
        <v>285</v>
      </c>
      <c r="B100" s="1" t="s">
        <v>539</v>
      </c>
      <c r="C100" s="21">
        <v>58</v>
      </c>
      <c r="D100" s="173">
        <f>IF(B100="","",IFERROR(VLOOKUP(B100,'ITEM LIST'!B:M,12,0)*C100,0))</f>
        <v>2.6690740740740737</v>
      </c>
      <c r="E100" s="1">
        <f t="shared" si="3"/>
        <v>6.0542740740740744</v>
      </c>
      <c r="F100" s="20"/>
      <c r="G100" s="1"/>
      <c r="H100" s="1"/>
      <c r="I100" s="1"/>
      <c r="J100" s="1"/>
      <c r="K100" s="1"/>
      <c r="L100" s="1"/>
      <c r="M100" s="1"/>
      <c r="N100" s="1"/>
      <c r="O100" s="1"/>
      <c r="P100" s="1"/>
      <c r="Q100" s="1"/>
      <c r="R100" s="1"/>
      <c r="S100" s="1"/>
      <c r="T100" s="1"/>
      <c r="U100" s="1"/>
      <c r="V100" s="1"/>
      <c r="W100" s="1"/>
      <c r="X100" s="1"/>
      <c r="Y100" s="1"/>
      <c r="Z100" s="1"/>
    </row>
    <row r="101" spans="1:26" ht="12.75">
      <c r="A101" s="1"/>
      <c r="B101" s="1" t="s">
        <v>371</v>
      </c>
      <c r="C101" s="20"/>
      <c r="D101" s="173" t="str">
        <f>IF(B101="","",IFERROR(VLOOKUP(B101,'ITEM LIST'!B:M,12,0)*C101,0))</f>
        <v/>
      </c>
      <c r="E101" s="1" t="str">
        <f t="shared" si="3"/>
        <v/>
      </c>
      <c r="F101" s="20"/>
      <c r="G101" s="1"/>
      <c r="H101" s="1"/>
      <c r="I101" s="1"/>
      <c r="J101" s="1"/>
      <c r="K101" s="1"/>
      <c r="L101" s="1"/>
      <c r="M101" s="1"/>
      <c r="N101" s="1"/>
      <c r="O101" s="1"/>
      <c r="P101" s="1"/>
      <c r="Q101" s="1"/>
      <c r="R101" s="1"/>
      <c r="S101" s="1"/>
      <c r="T101" s="1"/>
      <c r="U101" s="1"/>
      <c r="V101" s="1"/>
      <c r="W101" s="1"/>
      <c r="X101" s="1"/>
      <c r="Y101" s="1"/>
      <c r="Z101" s="1"/>
    </row>
    <row r="102" spans="1:26" ht="12.75">
      <c r="A102" s="1" t="s">
        <v>1</v>
      </c>
      <c r="B102" s="1" t="s">
        <v>10</v>
      </c>
      <c r="C102" s="21">
        <v>411.52263374485597</v>
      </c>
      <c r="D102" s="173">
        <f>IF(B102="","",IFERROR(VLOOKUP(B102,'ITEM LIST'!B:M,12,0)*C102,0))</f>
        <v>7.4074074074074066</v>
      </c>
      <c r="E102" s="1">
        <f t="shared" si="3"/>
        <v>46.018518518518512</v>
      </c>
      <c r="F102" s="20"/>
      <c r="G102" s="1"/>
      <c r="H102" s="1"/>
      <c r="I102" s="1"/>
      <c r="J102" s="1"/>
      <c r="K102" s="1"/>
      <c r="L102" s="1"/>
      <c r="M102" s="1"/>
      <c r="N102" s="1"/>
      <c r="O102" s="1"/>
      <c r="P102" s="1"/>
      <c r="Q102" s="1"/>
      <c r="R102" s="1"/>
      <c r="S102" s="1"/>
      <c r="T102" s="1"/>
      <c r="U102" s="1"/>
      <c r="V102" s="1"/>
      <c r="W102" s="1"/>
      <c r="X102" s="1"/>
      <c r="Y102" s="1"/>
      <c r="Z102" s="1"/>
    </row>
    <row r="103" spans="1:26" ht="12.75">
      <c r="A103" s="1" t="s">
        <v>1</v>
      </c>
      <c r="B103" s="1" t="s">
        <v>162</v>
      </c>
      <c r="C103" s="21">
        <v>102.88065843621399</v>
      </c>
      <c r="D103" s="173">
        <f>IF(B103="","",IFERROR(VLOOKUP(B103,'ITEM LIST'!B:M,12,0)*C103,0))</f>
        <v>10.905349794238683</v>
      </c>
      <c r="E103" s="1">
        <f t="shared" si="3"/>
        <v>46.018518518518512</v>
      </c>
      <c r="F103" s="20"/>
      <c r="G103" s="1"/>
      <c r="H103" s="1"/>
      <c r="I103" s="1"/>
      <c r="J103" s="1"/>
      <c r="K103" s="1"/>
      <c r="L103" s="1"/>
      <c r="M103" s="1"/>
      <c r="N103" s="1"/>
      <c r="O103" s="1"/>
      <c r="P103" s="1"/>
      <c r="Q103" s="1"/>
      <c r="R103" s="1"/>
      <c r="S103" s="1"/>
      <c r="T103" s="1"/>
      <c r="U103" s="1"/>
      <c r="V103" s="1"/>
      <c r="W103" s="1"/>
      <c r="X103" s="1"/>
      <c r="Y103" s="1"/>
      <c r="Z103" s="1"/>
    </row>
    <row r="104" spans="1:26" ht="12.75">
      <c r="A104" s="1" t="s">
        <v>1</v>
      </c>
      <c r="B104" s="1" t="s">
        <v>19</v>
      </c>
      <c r="C104" s="21">
        <v>51.440329218106996</v>
      </c>
      <c r="D104" s="173">
        <f>IF(B104="","",IFERROR(VLOOKUP(B104,'ITEM LIST'!B:M,12,0)*C104,0))</f>
        <v>0.82304526748971196</v>
      </c>
      <c r="E104" s="1">
        <f t="shared" si="3"/>
        <v>46.018518518518512</v>
      </c>
      <c r="F104" s="20"/>
      <c r="G104" s="1"/>
      <c r="H104" s="1"/>
      <c r="I104" s="1"/>
      <c r="J104" s="1"/>
      <c r="K104" s="1"/>
      <c r="L104" s="1"/>
      <c r="M104" s="1"/>
      <c r="N104" s="1"/>
      <c r="O104" s="1"/>
      <c r="P104" s="1"/>
      <c r="Q104" s="1"/>
      <c r="R104" s="1"/>
      <c r="S104" s="1"/>
      <c r="T104" s="1"/>
      <c r="U104" s="1"/>
      <c r="V104" s="1"/>
      <c r="W104" s="1"/>
      <c r="X104" s="1"/>
      <c r="Y104" s="1"/>
      <c r="Z104" s="1"/>
    </row>
    <row r="105" spans="1:26" ht="12.75">
      <c r="A105" s="1" t="s">
        <v>1</v>
      </c>
      <c r="B105" s="1" t="s">
        <v>34</v>
      </c>
      <c r="C105" s="21">
        <v>51.440329218106996</v>
      </c>
      <c r="D105" s="173">
        <f>IF(B105="","",IFERROR(VLOOKUP(B105,'ITEM LIST'!B:M,12,0)*C105,0))</f>
        <v>4.6296296296296298</v>
      </c>
      <c r="E105" s="1">
        <f t="shared" si="3"/>
        <v>46.018518518518512</v>
      </c>
      <c r="F105" s="20"/>
      <c r="G105" s="1"/>
      <c r="H105" s="1"/>
      <c r="I105" s="1"/>
      <c r="J105" s="1"/>
      <c r="K105" s="1"/>
      <c r="L105" s="1"/>
      <c r="M105" s="1"/>
      <c r="N105" s="1"/>
      <c r="O105" s="1"/>
      <c r="P105" s="1"/>
      <c r="Q105" s="1"/>
      <c r="R105" s="1"/>
      <c r="S105" s="1"/>
      <c r="T105" s="1"/>
      <c r="U105" s="1"/>
      <c r="V105" s="1"/>
      <c r="W105" s="1"/>
      <c r="X105" s="1"/>
      <c r="Y105" s="1"/>
      <c r="Z105" s="1"/>
    </row>
    <row r="106" spans="1:26" ht="12.75">
      <c r="A106" s="1" t="s">
        <v>1</v>
      </c>
      <c r="B106" s="1" t="s">
        <v>328</v>
      </c>
      <c r="C106" s="21">
        <v>2.0576131687242798</v>
      </c>
      <c r="D106" s="173">
        <f>IF(B106="","",IFERROR(VLOOKUP(B106,'ITEM LIST'!B:M,12,0)*C106,0))</f>
        <v>0.18518518518518517</v>
      </c>
      <c r="E106" s="1">
        <f t="shared" si="3"/>
        <v>46.018518518518512</v>
      </c>
      <c r="F106" s="20"/>
      <c r="G106" s="1"/>
      <c r="H106" s="1"/>
      <c r="I106" s="1"/>
      <c r="J106" s="1"/>
      <c r="K106" s="1"/>
      <c r="L106" s="1"/>
      <c r="M106" s="1"/>
      <c r="N106" s="1"/>
      <c r="O106" s="1"/>
      <c r="P106" s="1"/>
      <c r="Q106" s="1"/>
      <c r="R106" s="1"/>
      <c r="S106" s="1"/>
      <c r="T106" s="1"/>
      <c r="U106" s="1"/>
      <c r="V106" s="1"/>
      <c r="W106" s="1"/>
      <c r="X106" s="1"/>
      <c r="Y106" s="1"/>
      <c r="Z106" s="1"/>
    </row>
    <row r="107" spans="1:26" ht="12.75">
      <c r="A107" s="1" t="s">
        <v>1</v>
      </c>
      <c r="B107" s="1" t="s">
        <v>323</v>
      </c>
      <c r="C107" s="21">
        <v>51.440329218106996</v>
      </c>
      <c r="D107" s="173">
        <f>IF(B107="","",IFERROR(VLOOKUP(B107,'ITEM LIST'!B:M,12,0)*C107,0))</f>
        <v>1.8004115226337449</v>
      </c>
      <c r="E107" s="1">
        <f t="shared" si="3"/>
        <v>46.018518518518512</v>
      </c>
      <c r="F107" s="20"/>
      <c r="G107" s="1"/>
      <c r="H107" s="1"/>
      <c r="I107" s="1"/>
      <c r="J107" s="1"/>
      <c r="K107" s="1"/>
      <c r="L107" s="1"/>
      <c r="M107" s="1"/>
      <c r="N107" s="1"/>
      <c r="O107" s="1"/>
      <c r="P107" s="1"/>
      <c r="Q107" s="1"/>
      <c r="R107" s="1"/>
      <c r="S107" s="1"/>
      <c r="T107" s="1"/>
      <c r="U107" s="1"/>
      <c r="V107" s="1"/>
      <c r="W107" s="1"/>
      <c r="X107" s="1"/>
      <c r="Y107" s="1"/>
      <c r="Z107" s="1"/>
    </row>
    <row r="108" spans="1:26" ht="12.75">
      <c r="A108" s="1" t="s">
        <v>1</v>
      </c>
      <c r="B108" s="1" t="s">
        <v>37</v>
      </c>
      <c r="C108" s="21">
        <v>51.440329218106996</v>
      </c>
      <c r="D108" s="173">
        <f>IF(B108="","",IFERROR(VLOOKUP(B108,'ITEM LIST'!B:M,12,0)*C108,0))</f>
        <v>10.2880658436214</v>
      </c>
      <c r="E108" s="1">
        <f t="shared" si="3"/>
        <v>46.018518518518512</v>
      </c>
      <c r="F108" s="20"/>
      <c r="G108" s="1"/>
      <c r="H108" s="1"/>
      <c r="I108" s="1"/>
      <c r="J108" s="1"/>
      <c r="K108" s="1"/>
      <c r="L108" s="1"/>
      <c r="M108" s="1"/>
      <c r="N108" s="1"/>
      <c r="O108" s="1"/>
      <c r="P108" s="1"/>
      <c r="Q108" s="1"/>
      <c r="R108" s="1"/>
      <c r="S108" s="1"/>
      <c r="T108" s="1"/>
      <c r="U108" s="1"/>
      <c r="V108" s="1"/>
      <c r="W108" s="1"/>
      <c r="X108" s="1"/>
      <c r="Y108" s="1"/>
      <c r="Z108" s="1"/>
    </row>
    <row r="109" spans="1:26" ht="12.75">
      <c r="A109" s="1" t="s">
        <v>1</v>
      </c>
      <c r="B109" s="1" t="s">
        <v>343</v>
      </c>
      <c r="C109" s="21">
        <v>20.576131687242796</v>
      </c>
      <c r="D109" s="173">
        <f>IF(B109="","",IFERROR(VLOOKUP(B109,'ITEM LIST'!B:M,12,0)*C109,0))</f>
        <v>2.2633744855967075</v>
      </c>
      <c r="E109" s="1">
        <f t="shared" si="3"/>
        <v>46.018518518518512</v>
      </c>
      <c r="F109" s="20"/>
      <c r="G109" s="1"/>
      <c r="H109" s="1"/>
      <c r="I109" s="1"/>
      <c r="J109" s="1"/>
      <c r="K109" s="1"/>
      <c r="L109" s="1"/>
      <c r="M109" s="1"/>
      <c r="N109" s="1"/>
      <c r="O109" s="1"/>
      <c r="P109" s="1"/>
      <c r="Q109" s="1"/>
      <c r="R109" s="1"/>
      <c r="S109" s="1"/>
      <c r="T109" s="1"/>
      <c r="U109" s="1"/>
      <c r="V109" s="1"/>
      <c r="W109" s="1"/>
      <c r="X109" s="1"/>
      <c r="Y109" s="1"/>
      <c r="Z109" s="1"/>
    </row>
    <row r="110" spans="1:26" ht="12.75">
      <c r="A110" s="1" t="s">
        <v>1</v>
      </c>
      <c r="B110" s="1" t="s">
        <v>230</v>
      </c>
      <c r="C110" s="21">
        <v>10.288065843621398</v>
      </c>
      <c r="D110" s="173">
        <f>IF(B110="","",IFERROR(VLOOKUP(B110,'ITEM LIST'!B:M,12,0)*C110,0))</f>
        <v>3.0864197530864192</v>
      </c>
      <c r="E110" s="1">
        <f t="shared" si="3"/>
        <v>46.018518518518512</v>
      </c>
      <c r="F110" s="20"/>
      <c r="G110" s="1"/>
      <c r="H110" s="1"/>
      <c r="I110" s="1"/>
      <c r="J110" s="1"/>
      <c r="K110" s="1"/>
      <c r="L110" s="1"/>
      <c r="M110" s="1"/>
      <c r="N110" s="1"/>
      <c r="O110" s="1"/>
      <c r="P110" s="1"/>
      <c r="Q110" s="1"/>
      <c r="R110" s="1"/>
      <c r="S110" s="1"/>
      <c r="T110" s="1"/>
      <c r="U110" s="1"/>
      <c r="V110" s="1"/>
      <c r="W110" s="1"/>
      <c r="X110" s="1"/>
      <c r="Y110" s="1"/>
      <c r="Z110" s="1"/>
    </row>
    <row r="111" spans="1:26" ht="12.75">
      <c r="A111" s="1" t="s">
        <v>1</v>
      </c>
      <c r="B111" s="1" t="s">
        <v>20</v>
      </c>
      <c r="C111" s="21">
        <v>205.76131687242798</v>
      </c>
      <c r="D111" s="173">
        <f>IF(B111="","",IFERROR(VLOOKUP(B111,'ITEM LIST'!B:M,12,0)*C111,0))</f>
        <v>3.9094650205761314</v>
      </c>
      <c r="E111" s="1">
        <f t="shared" si="3"/>
        <v>46.018518518518512</v>
      </c>
      <c r="F111" s="20"/>
      <c r="G111" s="1"/>
      <c r="H111" s="1"/>
      <c r="I111" s="1"/>
      <c r="J111" s="1"/>
      <c r="K111" s="1"/>
      <c r="L111" s="1"/>
      <c r="M111" s="1"/>
      <c r="N111" s="1"/>
      <c r="O111" s="1"/>
      <c r="P111" s="1"/>
      <c r="Q111" s="1"/>
      <c r="R111" s="1"/>
      <c r="S111" s="1"/>
      <c r="T111" s="1"/>
      <c r="U111" s="1"/>
      <c r="V111" s="1"/>
      <c r="W111" s="1"/>
      <c r="X111" s="1"/>
      <c r="Y111" s="1"/>
      <c r="Z111" s="1"/>
    </row>
    <row r="112" spans="1:26" ht="12.75">
      <c r="A112" s="1" t="s">
        <v>1</v>
      </c>
      <c r="B112" s="1" t="s">
        <v>277</v>
      </c>
      <c r="C112" s="21">
        <v>20.576131687242796</v>
      </c>
      <c r="D112" s="173">
        <f>IF(B112="","",IFERROR(VLOOKUP(B112,'ITEM LIST'!B:M,12,0)*C112,0))</f>
        <v>0</v>
      </c>
      <c r="E112" s="1">
        <f t="shared" si="3"/>
        <v>46.018518518518512</v>
      </c>
      <c r="F112" s="20"/>
      <c r="G112" s="1"/>
      <c r="H112" s="1"/>
      <c r="I112" s="1"/>
      <c r="J112" s="1"/>
      <c r="K112" s="1"/>
      <c r="L112" s="1"/>
      <c r="M112" s="1"/>
      <c r="N112" s="1"/>
      <c r="O112" s="1"/>
      <c r="P112" s="1"/>
      <c r="Q112" s="1"/>
      <c r="R112" s="1"/>
      <c r="S112" s="1"/>
      <c r="T112" s="1"/>
      <c r="U112" s="1"/>
      <c r="V112" s="1"/>
      <c r="W112" s="1"/>
      <c r="X112" s="1"/>
      <c r="Y112" s="1"/>
      <c r="Z112" s="1"/>
    </row>
    <row r="113" spans="1:26" ht="12.75">
      <c r="A113" s="1" t="s">
        <v>1</v>
      </c>
      <c r="B113" s="1" t="s">
        <v>323</v>
      </c>
      <c r="C113" s="21">
        <v>20.576131687242796</v>
      </c>
      <c r="D113" s="173">
        <f>IF(B113="","",IFERROR(VLOOKUP(B113,'ITEM LIST'!B:M,12,0)*C113,0))</f>
        <v>0.72016460905349788</v>
      </c>
      <c r="E113" s="1">
        <f t="shared" si="3"/>
        <v>46.018518518518512</v>
      </c>
      <c r="F113" s="20"/>
      <c r="G113" s="1"/>
      <c r="H113" s="1"/>
      <c r="I113" s="1"/>
      <c r="J113" s="1"/>
      <c r="K113" s="1"/>
      <c r="L113" s="1"/>
      <c r="M113" s="1"/>
      <c r="N113" s="1"/>
      <c r="O113" s="1"/>
      <c r="P113" s="1"/>
      <c r="Q113" s="1"/>
      <c r="R113" s="1"/>
      <c r="S113" s="1"/>
      <c r="T113" s="1"/>
      <c r="U113" s="1"/>
      <c r="V113" s="1"/>
      <c r="W113" s="1"/>
      <c r="X113" s="1"/>
      <c r="Y113" s="1"/>
      <c r="Z113" s="1"/>
    </row>
    <row r="114" spans="1:26" ht="12.75">
      <c r="A114" s="1"/>
      <c r="B114" s="1" t="s">
        <v>371</v>
      </c>
      <c r="C114" s="20"/>
      <c r="D114" s="173" t="str">
        <f>IF(B114="","",IFERROR(VLOOKUP(B114,'ITEM LIST'!B:M,12,0)*C114,0))</f>
        <v/>
      </c>
      <c r="E114" s="1" t="str">
        <f t="shared" si="3"/>
        <v/>
      </c>
      <c r="F114" s="20"/>
      <c r="G114" s="1"/>
      <c r="H114" s="1"/>
      <c r="I114" s="1"/>
      <c r="J114" s="1"/>
      <c r="K114" s="1"/>
      <c r="L114" s="1"/>
      <c r="M114" s="1"/>
      <c r="N114" s="1"/>
      <c r="O114" s="1"/>
      <c r="P114" s="1"/>
      <c r="Q114" s="1"/>
      <c r="R114" s="1"/>
      <c r="S114" s="1"/>
      <c r="T114" s="1"/>
      <c r="U114" s="1"/>
      <c r="V114" s="1"/>
      <c r="W114" s="1"/>
      <c r="X114" s="1"/>
      <c r="Y114" s="1"/>
      <c r="Z114" s="1"/>
    </row>
    <row r="115" spans="1:26" ht="12.75">
      <c r="A115" s="1" t="s">
        <v>286</v>
      </c>
      <c r="B115" s="1" t="s">
        <v>278</v>
      </c>
      <c r="C115" s="21">
        <v>20</v>
      </c>
      <c r="D115" s="173">
        <f>IF(B115="","",IFERROR(VLOOKUP(B115,'ITEM LIST'!B:M,12,0)*C115,0))</f>
        <v>2.4</v>
      </c>
      <c r="E115" s="1">
        <f t="shared" si="3"/>
        <v>5.4960683759899993</v>
      </c>
      <c r="F115" s="20"/>
      <c r="G115" s="1"/>
      <c r="H115" s="1"/>
      <c r="I115" s="1"/>
      <c r="J115" s="1"/>
      <c r="K115" s="1"/>
      <c r="L115" s="1"/>
      <c r="M115" s="1"/>
      <c r="N115" s="1"/>
      <c r="O115" s="1"/>
      <c r="P115" s="1"/>
      <c r="Q115" s="1"/>
      <c r="R115" s="1"/>
      <c r="S115" s="1"/>
      <c r="T115" s="1"/>
      <c r="U115" s="1"/>
      <c r="V115" s="1"/>
      <c r="W115" s="1"/>
      <c r="X115" s="1"/>
      <c r="Y115" s="1"/>
      <c r="Z115" s="1"/>
    </row>
    <row r="116" spans="1:26" ht="12.75">
      <c r="A116" s="1" t="s">
        <v>286</v>
      </c>
      <c r="B116" s="1" t="s">
        <v>540</v>
      </c>
      <c r="C116" s="21">
        <v>50</v>
      </c>
      <c r="D116" s="173">
        <f>IF(B116="","",IFERROR(VLOOKUP(B116,'ITEM LIST'!B:M,12,0)*C116,0))</f>
        <v>3.0260683759899996</v>
      </c>
      <c r="E116" s="1">
        <f t="shared" si="3"/>
        <v>5.4960683759899993</v>
      </c>
      <c r="F116" s="20"/>
      <c r="G116" s="1"/>
      <c r="H116" s="1"/>
      <c r="I116" s="1"/>
      <c r="J116" s="1"/>
      <c r="K116" s="1"/>
      <c r="L116" s="1"/>
      <c r="M116" s="1"/>
      <c r="N116" s="1"/>
      <c r="O116" s="1"/>
      <c r="P116" s="1"/>
      <c r="Q116" s="1"/>
      <c r="R116" s="1"/>
      <c r="S116" s="1"/>
      <c r="T116" s="1"/>
      <c r="U116" s="1"/>
      <c r="V116" s="1"/>
      <c r="W116" s="1"/>
      <c r="X116" s="1"/>
      <c r="Y116" s="1"/>
      <c r="Z116" s="1"/>
    </row>
    <row r="117" spans="1:26" ht="12.75">
      <c r="A117" s="1" t="s">
        <v>286</v>
      </c>
      <c r="B117" s="1" t="s">
        <v>114</v>
      </c>
      <c r="C117" s="21">
        <v>2.5</v>
      </c>
      <c r="D117" s="173">
        <f>IF(B117="","",IFERROR(VLOOKUP(B117,'ITEM LIST'!B:M,12,0)*C117,0))</f>
        <v>7.0000000000000007E-2</v>
      </c>
      <c r="E117" s="1">
        <f t="shared" si="3"/>
        <v>5.4960683759899993</v>
      </c>
      <c r="F117" s="20"/>
      <c r="G117" s="1"/>
      <c r="H117" s="1"/>
      <c r="I117" s="1"/>
      <c r="J117" s="1"/>
      <c r="K117" s="1"/>
      <c r="L117" s="1"/>
      <c r="M117" s="1"/>
      <c r="N117" s="1"/>
      <c r="O117" s="1"/>
      <c r="P117" s="1"/>
      <c r="Q117" s="1"/>
      <c r="R117" s="1"/>
      <c r="S117" s="1"/>
      <c r="T117" s="1"/>
      <c r="U117" s="1"/>
      <c r="V117" s="1"/>
      <c r="W117" s="1"/>
      <c r="X117" s="1"/>
      <c r="Y117" s="1"/>
      <c r="Z117" s="1"/>
    </row>
    <row r="118" spans="1:26" ht="12.75">
      <c r="A118" s="1"/>
      <c r="B118" s="1" t="s">
        <v>371</v>
      </c>
      <c r="C118" s="20"/>
      <c r="D118" s="173" t="str">
        <f>IF(B118="","",IFERROR(VLOOKUP(B118,'ITEM LIST'!B:M,12,0)*C118,0))</f>
        <v/>
      </c>
      <c r="E118" s="1" t="str">
        <f t="shared" si="3"/>
        <v/>
      </c>
      <c r="F118" s="20"/>
      <c r="G118" s="1"/>
      <c r="H118" s="1"/>
      <c r="I118" s="1"/>
      <c r="J118" s="1"/>
      <c r="K118" s="1"/>
      <c r="L118" s="1"/>
      <c r="M118" s="1"/>
      <c r="N118" s="1"/>
      <c r="O118" s="1"/>
      <c r="P118" s="1"/>
      <c r="Q118" s="1"/>
      <c r="R118" s="1"/>
      <c r="S118" s="1"/>
      <c r="T118" s="1"/>
      <c r="U118" s="1"/>
      <c r="V118" s="1"/>
      <c r="W118" s="1"/>
      <c r="X118" s="1"/>
      <c r="Y118" s="1"/>
      <c r="Z118" s="1"/>
    </row>
    <row r="119" spans="1:26" ht="12.75">
      <c r="A119" s="1" t="s">
        <v>16</v>
      </c>
      <c r="B119" s="1" t="s">
        <v>239</v>
      </c>
      <c r="C119" s="21">
        <v>96.15384615384616</v>
      </c>
      <c r="D119" s="173">
        <f>IF(B119="","",IFERROR(VLOOKUP(B119,'ITEM LIST'!B:M,12,0)*C119,0))</f>
        <v>10.576923076923078</v>
      </c>
      <c r="E119" s="1">
        <f t="shared" si="3"/>
        <v>37.667307692307688</v>
      </c>
      <c r="F119" s="20"/>
      <c r="G119" s="1"/>
      <c r="H119" s="1"/>
      <c r="I119" s="1"/>
      <c r="J119" s="1"/>
      <c r="K119" s="1"/>
      <c r="L119" s="1"/>
      <c r="M119" s="1"/>
      <c r="N119" s="1"/>
      <c r="O119" s="1"/>
      <c r="P119" s="1"/>
      <c r="Q119" s="1"/>
      <c r="R119" s="1"/>
      <c r="S119" s="1"/>
      <c r="T119" s="1"/>
      <c r="U119" s="1"/>
      <c r="V119" s="1"/>
      <c r="W119" s="1"/>
      <c r="X119" s="1"/>
      <c r="Y119" s="1"/>
      <c r="Z119" s="1"/>
    </row>
    <row r="120" spans="1:26" ht="12.75">
      <c r="A120" s="1" t="s">
        <v>16</v>
      </c>
      <c r="B120" s="1" t="s">
        <v>237</v>
      </c>
      <c r="C120" s="21">
        <v>9.615384615384615</v>
      </c>
      <c r="D120" s="173">
        <f>IF(B120="","",IFERROR(VLOOKUP(B120,'ITEM LIST'!B:M,12,0)*C120,0))</f>
        <v>0.96153846153846156</v>
      </c>
      <c r="E120" s="1">
        <f t="shared" si="3"/>
        <v>37.667307692307688</v>
      </c>
      <c r="F120" s="20"/>
      <c r="G120" s="1"/>
      <c r="H120" s="1"/>
      <c r="I120" s="1"/>
      <c r="J120" s="1"/>
      <c r="K120" s="1"/>
      <c r="L120" s="1"/>
      <c r="M120" s="1"/>
      <c r="N120" s="1"/>
      <c r="O120" s="1"/>
      <c r="P120" s="1"/>
      <c r="Q120" s="1"/>
      <c r="R120" s="1"/>
      <c r="S120" s="1"/>
      <c r="T120" s="1"/>
      <c r="U120" s="1"/>
      <c r="V120" s="1"/>
      <c r="W120" s="1"/>
      <c r="X120" s="1"/>
      <c r="Y120" s="1"/>
      <c r="Z120" s="1"/>
    </row>
    <row r="121" spans="1:26" ht="12.75">
      <c r="A121" s="1" t="s">
        <v>16</v>
      </c>
      <c r="B121" s="1" t="s">
        <v>669</v>
      </c>
      <c r="C121" s="21">
        <v>19.23076923076923</v>
      </c>
      <c r="D121" s="173">
        <f>IF(B121="","",IFERROR(VLOOKUP(B121,'ITEM LIST'!B:M,12,0)*C121,0))</f>
        <v>0.96153846153846156</v>
      </c>
      <c r="E121" s="1">
        <f t="shared" si="3"/>
        <v>37.667307692307688</v>
      </c>
      <c r="F121" s="20"/>
      <c r="G121" s="1"/>
      <c r="H121" s="1"/>
      <c r="I121" s="1"/>
      <c r="J121" s="1"/>
      <c r="K121" s="1"/>
      <c r="L121" s="1"/>
      <c r="M121" s="1"/>
      <c r="N121" s="1"/>
      <c r="O121" s="1"/>
      <c r="P121" s="1"/>
      <c r="Q121" s="1"/>
      <c r="R121" s="1"/>
      <c r="S121" s="1"/>
      <c r="T121" s="1"/>
      <c r="U121" s="1"/>
      <c r="V121" s="1"/>
      <c r="W121" s="1"/>
      <c r="X121" s="1"/>
      <c r="Y121" s="1"/>
      <c r="Z121" s="1"/>
    </row>
    <row r="122" spans="1:26" ht="12.75">
      <c r="A122" s="1" t="s">
        <v>16</v>
      </c>
      <c r="B122" s="1" t="s">
        <v>329</v>
      </c>
      <c r="C122" s="21">
        <v>57.692307692307693</v>
      </c>
      <c r="D122" s="173">
        <f>IF(B122="","",IFERROR(VLOOKUP(B122,'ITEM LIST'!B:M,12,0)*C122,0))</f>
        <v>2.0192307692307696</v>
      </c>
      <c r="E122" s="1">
        <f t="shared" si="3"/>
        <v>37.667307692307688</v>
      </c>
      <c r="F122" s="20"/>
      <c r="G122" s="1"/>
      <c r="H122" s="1"/>
      <c r="I122" s="1"/>
      <c r="J122" s="1"/>
      <c r="K122" s="1"/>
      <c r="L122" s="1"/>
      <c r="M122" s="1"/>
      <c r="N122" s="1"/>
      <c r="O122" s="1"/>
      <c r="P122" s="1"/>
      <c r="Q122" s="1"/>
      <c r="R122" s="1"/>
      <c r="S122" s="1"/>
      <c r="T122" s="1"/>
      <c r="U122" s="1"/>
      <c r="V122" s="1"/>
      <c r="W122" s="1"/>
      <c r="X122" s="1"/>
      <c r="Y122" s="1"/>
      <c r="Z122" s="1"/>
    </row>
    <row r="123" spans="1:26" ht="12.75">
      <c r="A123" s="1" t="s">
        <v>16</v>
      </c>
      <c r="B123" s="1" t="s">
        <v>32</v>
      </c>
      <c r="C123" s="21">
        <v>19.23076923076923</v>
      </c>
      <c r="D123" s="173">
        <f>IF(B123="","",IFERROR(VLOOKUP(B123,'ITEM LIST'!B:M,12,0)*C123,0))</f>
        <v>0.67307692307692313</v>
      </c>
      <c r="E123" s="1">
        <f t="shared" si="3"/>
        <v>37.667307692307688</v>
      </c>
      <c r="F123" s="20"/>
      <c r="G123" s="1"/>
      <c r="H123" s="1"/>
      <c r="I123" s="1"/>
      <c r="J123" s="1"/>
      <c r="K123" s="1"/>
      <c r="L123" s="1"/>
      <c r="M123" s="1"/>
      <c r="N123" s="1"/>
      <c r="O123" s="1"/>
      <c r="P123" s="1"/>
      <c r="Q123" s="1"/>
      <c r="R123" s="1"/>
      <c r="S123" s="1"/>
      <c r="T123" s="1"/>
      <c r="U123" s="1"/>
      <c r="V123" s="1"/>
      <c r="W123" s="1"/>
      <c r="X123" s="1"/>
      <c r="Y123" s="1"/>
      <c r="Z123" s="1"/>
    </row>
    <row r="124" spans="1:26" ht="12.75">
      <c r="A124" s="1" t="s">
        <v>16</v>
      </c>
      <c r="B124" s="1" t="s">
        <v>34</v>
      </c>
      <c r="C124" s="21">
        <v>19.23076923076923</v>
      </c>
      <c r="D124" s="173">
        <f>IF(B124="","",IFERROR(VLOOKUP(B124,'ITEM LIST'!B:M,12,0)*C124,0))</f>
        <v>1.7307692307692306</v>
      </c>
      <c r="E124" s="1">
        <f t="shared" si="3"/>
        <v>37.667307692307688</v>
      </c>
      <c r="F124" s="20"/>
      <c r="G124" s="1"/>
      <c r="H124" s="1"/>
      <c r="I124" s="1"/>
      <c r="J124" s="1"/>
      <c r="K124" s="1"/>
      <c r="L124" s="1"/>
      <c r="M124" s="1"/>
      <c r="N124" s="1"/>
      <c r="O124" s="1"/>
      <c r="P124" s="1"/>
      <c r="Q124" s="1"/>
      <c r="R124" s="1"/>
      <c r="S124" s="1"/>
      <c r="T124" s="1"/>
      <c r="U124" s="1"/>
      <c r="V124" s="1"/>
      <c r="W124" s="1"/>
      <c r="X124" s="1"/>
      <c r="Y124" s="1"/>
      <c r="Z124" s="1"/>
    </row>
    <row r="125" spans="1:26" ht="12.75">
      <c r="A125" s="1" t="s">
        <v>16</v>
      </c>
      <c r="B125" s="1" t="s">
        <v>530</v>
      </c>
      <c r="C125" s="21">
        <v>57.692307692307693</v>
      </c>
      <c r="D125" s="173">
        <f>IF(B125="","",IFERROR(VLOOKUP(B125,'ITEM LIST'!B:M,12,0)*C125,0))</f>
        <v>1.7307692307692308</v>
      </c>
      <c r="E125" s="1">
        <f t="shared" si="3"/>
        <v>37.667307692307688</v>
      </c>
      <c r="F125" s="20"/>
      <c r="G125" s="1"/>
      <c r="H125" s="1"/>
      <c r="I125" s="1"/>
      <c r="J125" s="1"/>
      <c r="K125" s="1"/>
      <c r="L125" s="1"/>
      <c r="M125" s="1"/>
      <c r="N125" s="1"/>
      <c r="O125" s="1"/>
      <c r="P125" s="1"/>
      <c r="Q125" s="1"/>
      <c r="R125" s="1"/>
      <c r="S125" s="1"/>
      <c r="T125" s="1"/>
      <c r="U125" s="1"/>
      <c r="V125" s="1"/>
      <c r="W125" s="1"/>
      <c r="X125" s="1"/>
      <c r="Y125" s="1"/>
      <c r="Z125" s="1"/>
    </row>
    <row r="126" spans="1:26" ht="12.75">
      <c r="A126" s="1" t="s">
        <v>16</v>
      </c>
      <c r="B126" s="1" t="s">
        <v>114</v>
      </c>
      <c r="C126" s="21">
        <v>17.307692307692307</v>
      </c>
      <c r="D126" s="173">
        <f>IF(B126="","",IFERROR(VLOOKUP(B126,'ITEM LIST'!B:M,12,0)*C126,0))</f>
        <v>0.48461538461538461</v>
      </c>
      <c r="E126" s="1">
        <f t="shared" si="3"/>
        <v>37.667307692307688</v>
      </c>
      <c r="F126" s="20"/>
      <c r="G126" s="1"/>
      <c r="H126" s="1"/>
      <c r="I126" s="1"/>
      <c r="J126" s="1"/>
      <c r="K126" s="1"/>
      <c r="L126" s="1"/>
      <c r="M126" s="1"/>
      <c r="N126" s="1"/>
      <c r="O126" s="1"/>
      <c r="P126" s="1"/>
      <c r="Q126" s="1"/>
      <c r="R126" s="1"/>
      <c r="S126" s="1"/>
      <c r="T126" s="1"/>
      <c r="U126" s="1"/>
      <c r="V126" s="1"/>
      <c r="W126" s="1"/>
      <c r="X126" s="1"/>
      <c r="Y126" s="1"/>
      <c r="Z126" s="1"/>
    </row>
    <row r="127" spans="1:26" ht="12.75">
      <c r="A127" s="1" t="s">
        <v>16</v>
      </c>
      <c r="B127" s="1" t="s">
        <v>541</v>
      </c>
      <c r="C127" s="21">
        <v>19.23076923076923</v>
      </c>
      <c r="D127" s="173">
        <f>IF(B127="","",IFERROR(VLOOKUP(B127,'ITEM LIST'!B:M,12,0)*C127,0))</f>
        <v>0</v>
      </c>
      <c r="E127" s="1">
        <f t="shared" si="3"/>
        <v>37.667307692307688</v>
      </c>
      <c r="F127" s="20"/>
      <c r="G127" s="1"/>
      <c r="H127" s="1"/>
      <c r="I127" s="1"/>
      <c r="J127" s="1"/>
      <c r="K127" s="1"/>
      <c r="L127" s="1"/>
      <c r="M127" s="1"/>
      <c r="N127" s="1"/>
      <c r="O127" s="1"/>
      <c r="P127" s="1"/>
      <c r="Q127" s="1"/>
      <c r="R127" s="1"/>
      <c r="S127" s="1"/>
      <c r="T127" s="1"/>
      <c r="U127" s="1"/>
      <c r="V127" s="1"/>
      <c r="W127" s="1"/>
      <c r="X127" s="1"/>
      <c r="Y127" s="1"/>
      <c r="Z127" s="1"/>
    </row>
    <row r="128" spans="1:26" ht="12.75">
      <c r="A128" s="1" t="s">
        <v>16</v>
      </c>
      <c r="B128" s="1" t="s">
        <v>12</v>
      </c>
      <c r="C128" s="21">
        <v>3.8461538461538463</v>
      </c>
      <c r="D128" s="173">
        <f>IF(B128="","",IFERROR(VLOOKUP(B128,'ITEM LIST'!B:M,12,0)*C128,0))</f>
        <v>0.37307692307692308</v>
      </c>
      <c r="E128" s="1">
        <f t="shared" si="3"/>
        <v>37.667307692307688</v>
      </c>
      <c r="F128" s="20"/>
      <c r="G128" s="1"/>
      <c r="H128" s="1"/>
      <c r="I128" s="1"/>
      <c r="J128" s="1"/>
      <c r="K128" s="1"/>
      <c r="L128" s="1"/>
      <c r="M128" s="1"/>
      <c r="N128" s="1"/>
      <c r="O128" s="1"/>
      <c r="P128" s="1"/>
      <c r="Q128" s="1"/>
      <c r="R128" s="1"/>
      <c r="S128" s="1"/>
      <c r="T128" s="1"/>
      <c r="U128" s="1"/>
      <c r="V128" s="1"/>
      <c r="W128" s="1"/>
      <c r="X128" s="1"/>
      <c r="Y128" s="1"/>
      <c r="Z128" s="1"/>
    </row>
    <row r="129" spans="1:26" ht="12.75">
      <c r="A129" s="1" t="s">
        <v>16</v>
      </c>
      <c r="B129" s="1" t="s">
        <v>345</v>
      </c>
      <c r="C129" s="21">
        <v>3.8461538461538463</v>
      </c>
      <c r="D129" s="173">
        <f>IF(B129="","",IFERROR(VLOOKUP(B129,'ITEM LIST'!B:M,12,0)*C129,0))</f>
        <v>2.3076923076923075</v>
      </c>
      <c r="E129" s="1">
        <f t="shared" si="3"/>
        <v>37.667307692307688</v>
      </c>
      <c r="F129" s="20"/>
      <c r="G129" s="1"/>
      <c r="H129" s="1"/>
      <c r="I129" s="1"/>
      <c r="J129" s="1"/>
      <c r="K129" s="1"/>
      <c r="L129" s="1"/>
      <c r="M129" s="1"/>
      <c r="N129" s="1"/>
      <c r="O129" s="1"/>
      <c r="P129" s="1"/>
      <c r="Q129" s="1"/>
      <c r="R129" s="1"/>
      <c r="S129" s="1"/>
      <c r="T129" s="1"/>
      <c r="U129" s="1"/>
      <c r="V129" s="1"/>
      <c r="W129" s="1"/>
      <c r="X129" s="1"/>
      <c r="Y129" s="1"/>
      <c r="Z129" s="1"/>
    </row>
    <row r="130" spans="1:26" ht="12.75">
      <c r="A130" s="1" t="s">
        <v>16</v>
      </c>
      <c r="B130" s="1" t="s">
        <v>340</v>
      </c>
      <c r="C130" s="21">
        <v>1.9230769230769231</v>
      </c>
      <c r="D130" s="173">
        <f>IF(B130="","",IFERROR(VLOOKUP(B130,'ITEM LIST'!B:M,12,0)*C130,0))</f>
        <v>9.615384615384615</v>
      </c>
      <c r="E130" s="1">
        <f t="shared" ref="E130:E161" si="4">IF(A130="","", SUMIFS(D:D,A:A,A130))</f>
        <v>37.667307692307688</v>
      </c>
      <c r="F130" s="20"/>
      <c r="G130" s="1"/>
      <c r="H130" s="1"/>
      <c r="I130" s="1"/>
      <c r="J130" s="1"/>
      <c r="K130" s="1"/>
      <c r="L130" s="1"/>
      <c r="M130" s="1"/>
      <c r="N130" s="1"/>
      <c r="O130" s="1"/>
      <c r="P130" s="1"/>
      <c r="Q130" s="1"/>
      <c r="R130" s="1"/>
      <c r="S130" s="1"/>
      <c r="T130" s="1"/>
      <c r="U130" s="1"/>
      <c r="V130" s="1"/>
      <c r="W130" s="1"/>
      <c r="X130" s="1"/>
      <c r="Y130" s="1"/>
      <c r="Z130" s="1"/>
    </row>
    <row r="131" spans="1:26" ht="12.75">
      <c r="A131" s="1" t="s">
        <v>16</v>
      </c>
      <c r="B131" s="1" t="s">
        <v>101</v>
      </c>
      <c r="C131" s="21">
        <v>769.23076923076928</v>
      </c>
      <c r="D131" s="173">
        <f>IF(B131="","",IFERROR(VLOOKUP(B131,'ITEM LIST'!B:M,12,0)*C131,0))</f>
        <v>0</v>
      </c>
      <c r="E131" s="1">
        <f t="shared" si="4"/>
        <v>37.667307692307688</v>
      </c>
      <c r="F131" s="20"/>
      <c r="G131" s="1"/>
      <c r="H131" s="1"/>
      <c r="I131" s="1"/>
      <c r="J131" s="1"/>
      <c r="K131" s="1"/>
      <c r="L131" s="1"/>
      <c r="M131" s="1"/>
      <c r="N131" s="1"/>
      <c r="O131" s="1"/>
      <c r="P131" s="1"/>
      <c r="Q131" s="1"/>
      <c r="R131" s="1"/>
      <c r="S131" s="1"/>
      <c r="T131" s="1"/>
      <c r="U131" s="1"/>
      <c r="V131" s="1"/>
      <c r="W131" s="1"/>
      <c r="X131" s="1"/>
      <c r="Y131" s="1"/>
      <c r="Z131" s="1"/>
    </row>
    <row r="132" spans="1:26" ht="12.75">
      <c r="A132" s="1" t="s">
        <v>16</v>
      </c>
      <c r="B132" s="1" t="s">
        <v>19</v>
      </c>
      <c r="C132" s="21">
        <v>57.692307692307693</v>
      </c>
      <c r="D132" s="173">
        <f>IF(B132="","",IFERROR(VLOOKUP(B132,'ITEM LIST'!B:M,12,0)*C132,0))</f>
        <v>0.92307692307692313</v>
      </c>
      <c r="E132" s="1">
        <f t="shared" si="4"/>
        <v>37.667307692307688</v>
      </c>
      <c r="F132" s="20"/>
      <c r="G132" s="1"/>
      <c r="H132" s="1"/>
      <c r="I132" s="1"/>
      <c r="J132" s="1"/>
      <c r="K132" s="1"/>
      <c r="L132" s="1"/>
      <c r="M132" s="1"/>
      <c r="N132" s="1"/>
      <c r="O132" s="1"/>
      <c r="P132" s="1"/>
      <c r="Q132" s="1"/>
      <c r="R132" s="1"/>
      <c r="S132" s="1"/>
      <c r="T132" s="1"/>
      <c r="U132" s="1"/>
      <c r="V132" s="1"/>
      <c r="W132" s="1"/>
      <c r="X132" s="1"/>
      <c r="Y132" s="1"/>
      <c r="Z132" s="1"/>
    </row>
    <row r="133" spans="1:26" ht="12.75">
      <c r="A133" s="1" t="s">
        <v>16</v>
      </c>
      <c r="B133" s="1" t="s">
        <v>20</v>
      </c>
      <c r="C133" s="21">
        <v>38.46153846153846</v>
      </c>
      <c r="D133" s="173">
        <f>IF(B133="","",IFERROR(VLOOKUP(B133,'ITEM LIST'!B:M,12,0)*C133,0))</f>
        <v>0.73076923076923073</v>
      </c>
      <c r="E133" s="1">
        <f t="shared" si="4"/>
        <v>37.667307692307688</v>
      </c>
      <c r="F133" s="20"/>
      <c r="G133" s="1"/>
      <c r="H133" s="1"/>
      <c r="I133" s="1"/>
      <c r="J133" s="1"/>
      <c r="K133" s="1"/>
      <c r="L133" s="1"/>
      <c r="M133" s="1"/>
      <c r="N133" s="1"/>
      <c r="O133" s="1"/>
      <c r="P133" s="1"/>
      <c r="Q133" s="1"/>
      <c r="R133" s="1"/>
      <c r="S133" s="1"/>
      <c r="T133" s="1"/>
      <c r="U133" s="1"/>
      <c r="V133" s="1"/>
      <c r="W133" s="1"/>
      <c r="X133" s="1"/>
      <c r="Y133" s="1"/>
      <c r="Z133" s="1"/>
    </row>
    <row r="134" spans="1:26" ht="12.75">
      <c r="A134" s="1" t="s">
        <v>16</v>
      </c>
      <c r="B134" s="1" t="s">
        <v>343</v>
      </c>
      <c r="C134" s="21">
        <v>3.8461538461538463</v>
      </c>
      <c r="D134" s="173">
        <f>IF(B134="","",IFERROR(VLOOKUP(B134,'ITEM LIST'!B:M,12,0)*C134,0))</f>
        <v>0.42307692307692307</v>
      </c>
      <c r="E134" s="1">
        <f t="shared" si="4"/>
        <v>37.667307692307688</v>
      </c>
      <c r="F134" s="20"/>
      <c r="G134" s="1"/>
      <c r="H134" s="1"/>
      <c r="I134" s="1"/>
      <c r="J134" s="1"/>
      <c r="K134" s="1"/>
      <c r="L134" s="1"/>
      <c r="M134" s="1"/>
      <c r="N134" s="1"/>
      <c r="O134" s="1"/>
      <c r="P134" s="1"/>
      <c r="Q134" s="1"/>
      <c r="R134" s="1"/>
      <c r="S134" s="1"/>
      <c r="T134" s="1"/>
      <c r="U134" s="1"/>
      <c r="V134" s="1"/>
      <c r="W134" s="1"/>
      <c r="X134" s="1"/>
      <c r="Y134" s="1"/>
      <c r="Z134" s="1"/>
    </row>
    <row r="135" spans="1:26" ht="12.75">
      <c r="A135" s="1" t="s">
        <v>16</v>
      </c>
      <c r="B135" s="1" t="s">
        <v>328</v>
      </c>
      <c r="C135" s="20">
        <v>0.96153846153846156</v>
      </c>
      <c r="D135" s="173">
        <f>IF(B135="","",IFERROR(VLOOKUP(B135,'ITEM LIST'!B:M,12,0)*C135,0))</f>
        <v>8.6538461538461536E-2</v>
      </c>
      <c r="E135" s="1">
        <f t="shared" si="4"/>
        <v>37.667307692307688</v>
      </c>
      <c r="F135" s="20"/>
      <c r="G135" s="1"/>
      <c r="H135" s="1"/>
      <c r="I135" s="1"/>
      <c r="J135" s="1"/>
      <c r="K135" s="1"/>
      <c r="L135" s="1"/>
      <c r="M135" s="1"/>
      <c r="N135" s="1"/>
      <c r="O135" s="1"/>
      <c r="P135" s="1"/>
      <c r="Q135" s="1"/>
      <c r="R135" s="1"/>
      <c r="S135" s="1"/>
      <c r="T135" s="1"/>
      <c r="U135" s="1"/>
      <c r="V135" s="1"/>
      <c r="W135" s="1"/>
      <c r="X135" s="1"/>
      <c r="Y135" s="1"/>
      <c r="Z135" s="1"/>
    </row>
    <row r="136" spans="1:26" ht="12.75">
      <c r="A136" s="1" t="s">
        <v>16</v>
      </c>
      <c r="B136" s="1" t="s">
        <v>49</v>
      </c>
      <c r="C136" s="21">
        <v>3.8461538461538463</v>
      </c>
      <c r="D136" s="173">
        <f>IF(B136="","",IFERROR(VLOOKUP(B136,'ITEM LIST'!B:M,12,0)*C136,0))</f>
        <v>2.8846153846153846</v>
      </c>
      <c r="E136" s="1">
        <f t="shared" si="4"/>
        <v>37.667307692307688</v>
      </c>
      <c r="F136" s="20"/>
      <c r="G136" s="1"/>
      <c r="H136" s="1"/>
      <c r="I136" s="1"/>
      <c r="J136" s="1"/>
      <c r="K136" s="1"/>
      <c r="L136" s="1"/>
      <c r="M136" s="1"/>
      <c r="N136" s="1"/>
      <c r="O136" s="1"/>
      <c r="P136" s="1"/>
      <c r="Q136" s="1"/>
      <c r="R136" s="1"/>
      <c r="S136" s="1"/>
      <c r="T136" s="1"/>
      <c r="U136" s="1"/>
      <c r="V136" s="1"/>
      <c r="W136" s="1"/>
      <c r="X136" s="1"/>
      <c r="Y136" s="1"/>
      <c r="Z136" s="1"/>
    </row>
    <row r="137" spans="1:26" ht="12.75">
      <c r="A137" s="1" t="s">
        <v>16</v>
      </c>
      <c r="B137" s="1" t="s">
        <v>336</v>
      </c>
      <c r="C137" s="21">
        <v>1.9230769230769231</v>
      </c>
      <c r="D137" s="173">
        <f>IF(B137="","",IFERROR(VLOOKUP(B137,'ITEM LIST'!B:M,12,0)*C137,0))</f>
        <v>0.51153846153846161</v>
      </c>
      <c r="E137" s="1">
        <f t="shared" si="4"/>
        <v>37.667307692307688</v>
      </c>
      <c r="F137" s="20"/>
      <c r="G137" s="1"/>
      <c r="H137" s="1"/>
      <c r="I137" s="1"/>
      <c r="J137" s="1"/>
      <c r="K137" s="1"/>
      <c r="L137" s="1"/>
      <c r="M137" s="1"/>
      <c r="N137" s="1"/>
      <c r="O137" s="1"/>
      <c r="P137" s="1"/>
      <c r="Q137" s="1"/>
      <c r="R137" s="1"/>
      <c r="S137" s="1"/>
      <c r="T137" s="1"/>
      <c r="U137" s="1"/>
      <c r="V137" s="1"/>
      <c r="W137" s="1"/>
      <c r="X137" s="1"/>
      <c r="Y137" s="1"/>
      <c r="Z137" s="1"/>
    </row>
    <row r="138" spans="1:26" ht="12.75">
      <c r="A138" s="1" t="s">
        <v>16</v>
      </c>
      <c r="B138" s="1" t="s">
        <v>59</v>
      </c>
      <c r="C138" s="21">
        <v>9.615384615384615</v>
      </c>
      <c r="D138" s="173">
        <f>IF(B138="","",IFERROR(VLOOKUP(B138,'ITEM LIST'!B:M,12,0)*C138,0))</f>
        <v>0.67307692307692313</v>
      </c>
      <c r="E138" s="1">
        <f t="shared" si="4"/>
        <v>37.667307692307688</v>
      </c>
      <c r="F138" s="20"/>
      <c r="G138" s="1"/>
      <c r="H138" s="1"/>
      <c r="I138" s="1"/>
      <c r="J138" s="1"/>
      <c r="K138" s="1"/>
      <c r="L138" s="1"/>
      <c r="M138" s="1"/>
      <c r="N138" s="1"/>
      <c r="O138" s="1"/>
      <c r="P138" s="1"/>
      <c r="Q138" s="1"/>
      <c r="R138" s="1"/>
      <c r="S138" s="1"/>
      <c r="T138" s="1"/>
      <c r="U138" s="1"/>
      <c r="V138" s="1"/>
      <c r="W138" s="1"/>
      <c r="X138" s="1"/>
      <c r="Y138" s="1"/>
      <c r="Z138" s="1"/>
    </row>
    <row r="139" spans="1:26" ht="12.75">
      <c r="A139" s="1"/>
      <c r="B139" s="1" t="s">
        <v>371</v>
      </c>
      <c r="C139" s="20"/>
      <c r="D139" s="173" t="str">
        <f>IF(B139="","",IFERROR(VLOOKUP(B139,'ITEM LIST'!B:M,12,0)*C139,0))</f>
        <v/>
      </c>
      <c r="E139" s="1" t="str">
        <f t="shared" si="4"/>
        <v/>
      </c>
      <c r="F139" s="20"/>
      <c r="G139" s="1"/>
      <c r="H139" s="1"/>
      <c r="I139" s="1"/>
      <c r="J139" s="1"/>
      <c r="K139" s="1"/>
      <c r="L139" s="1"/>
      <c r="M139" s="1"/>
      <c r="N139" s="1"/>
      <c r="O139" s="1"/>
      <c r="P139" s="1"/>
      <c r="Q139" s="1"/>
      <c r="R139" s="1"/>
      <c r="S139" s="1"/>
      <c r="T139" s="1"/>
      <c r="U139" s="1"/>
      <c r="V139" s="1"/>
      <c r="W139" s="1"/>
      <c r="X139" s="1"/>
      <c r="Y139" s="1"/>
      <c r="Z139" s="1"/>
    </row>
    <row r="140" spans="1:26" ht="12.75">
      <c r="A140" s="1"/>
      <c r="B140" s="1" t="s">
        <v>371</v>
      </c>
      <c r="C140" s="20"/>
      <c r="D140" s="173" t="str">
        <f>IF(B140="","",IFERROR(VLOOKUP(B140,'ITEM LIST'!B:M,12,0)*C140,0))</f>
        <v/>
      </c>
      <c r="E140" s="1" t="str">
        <f t="shared" si="4"/>
        <v/>
      </c>
      <c r="F140" s="20"/>
      <c r="G140" s="1"/>
      <c r="H140" s="1"/>
      <c r="I140" s="1"/>
      <c r="J140" s="1"/>
      <c r="K140" s="1"/>
      <c r="L140" s="1"/>
      <c r="M140" s="1"/>
      <c r="N140" s="1"/>
      <c r="O140" s="1"/>
      <c r="P140" s="1"/>
      <c r="Q140" s="1"/>
      <c r="R140" s="1"/>
      <c r="S140" s="1"/>
      <c r="T140" s="1"/>
      <c r="U140" s="1"/>
      <c r="V140" s="1"/>
      <c r="W140" s="1"/>
      <c r="X140" s="1"/>
      <c r="Y140" s="1"/>
      <c r="Z140" s="1"/>
    </row>
    <row r="141" spans="1:26" ht="12.75">
      <c r="A141" s="1" t="s">
        <v>287</v>
      </c>
      <c r="B141" s="1" t="s">
        <v>276</v>
      </c>
      <c r="C141" s="20">
        <v>24.271844660194173</v>
      </c>
      <c r="D141" s="173">
        <f>IF(B141="","",IFERROR(VLOOKUP(B141,'ITEM LIST'!B:M,12,0)*C141,0))</f>
        <v>5.8252427184466011</v>
      </c>
      <c r="E141" s="1">
        <f t="shared" si="4"/>
        <v>67.702427184466018</v>
      </c>
      <c r="F141" s="20"/>
      <c r="G141" s="1"/>
      <c r="H141" s="1"/>
      <c r="I141" s="1"/>
      <c r="J141" s="1"/>
      <c r="K141" s="1"/>
      <c r="L141" s="1"/>
      <c r="M141" s="1"/>
      <c r="N141" s="1"/>
      <c r="O141" s="1"/>
      <c r="P141" s="1"/>
      <c r="Q141" s="1"/>
      <c r="R141" s="1"/>
      <c r="S141" s="1"/>
      <c r="T141" s="1"/>
      <c r="U141" s="1"/>
      <c r="V141" s="1"/>
      <c r="W141" s="1"/>
      <c r="X141" s="1"/>
      <c r="Y141" s="1"/>
      <c r="Z141" s="1"/>
    </row>
    <row r="142" spans="1:26" ht="12.75">
      <c r="A142" s="1" t="s">
        <v>287</v>
      </c>
      <c r="B142" s="1" t="s">
        <v>422</v>
      </c>
      <c r="C142" s="20">
        <v>728.15533980582518</v>
      </c>
      <c r="D142" s="173">
        <f>IF(B142="","",IFERROR(VLOOKUP(B142,'ITEM LIST'!B:M,12,0)*C142,0))</f>
        <v>50.970873786407765</v>
      </c>
      <c r="E142" s="1">
        <f t="shared" si="4"/>
        <v>67.702427184466018</v>
      </c>
      <c r="F142" s="20"/>
      <c r="G142" s="1"/>
      <c r="H142" s="1"/>
      <c r="I142" s="1"/>
      <c r="J142" s="1"/>
      <c r="K142" s="1"/>
      <c r="L142" s="1"/>
      <c r="M142" s="1"/>
      <c r="N142" s="1"/>
      <c r="O142" s="1"/>
      <c r="P142" s="1"/>
      <c r="Q142" s="1"/>
      <c r="R142" s="1"/>
      <c r="S142" s="1"/>
      <c r="T142" s="1"/>
      <c r="U142" s="1"/>
      <c r="V142" s="1"/>
      <c r="W142" s="1"/>
      <c r="X142" s="1"/>
      <c r="Y142" s="1"/>
      <c r="Z142" s="1"/>
    </row>
    <row r="143" spans="1:26" ht="12.75">
      <c r="A143" s="1" t="s">
        <v>287</v>
      </c>
      <c r="B143" s="1" t="s">
        <v>52</v>
      </c>
      <c r="C143" s="20">
        <v>2.912621359223301</v>
      </c>
      <c r="D143" s="173">
        <f>IF(B143="","",IFERROR(VLOOKUP(B143,'ITEM LIST'!B:M,12,0)*C143,0))</f>
        <v>1.8932038834951457</v>
      </c>
      <c r="E143" s="1">
        <f t="shared" si="4"/>
        <v>67.702427184466018</v>
      </c>
      <c r="F143" s="20"/>
      <c r="G143" s="1"/>
      <c r="H143" s="1"/>
      <c r="I143" s="1"/>
      <c r="J143" s="1"/>
      <c r="K143" s="1"/>
      <c r="L143" s="1"/>
      <c r="M143" s="1"/>
      <c r="N143" s="1"/>
      <c r="O143" s="1"/>
      <c r="P143" s="1"/>
      <c r="Q143" s="1"/>
      <c r="R143" s="1"/>
      <c r="S143" s="1"/>
      <c r="T143" s="1"/>
      <c r="U143" s="1"/>
      <c r="V143" s="1"/>
      <c r="W143" s="1"/>
      <c r="X143" s="1"/>
      <c r="Y143" s="1"/>
      <c r="Z143" s="1"/>
    </row>
    <row r="144" spans="1:26" ht="12.75">
      <c r="A144" s="1" t="s">
        <v>287</v>
      </c>
      <c r="B144" s="1" t="s">
        <v>420</v>
      </c>
      <c r="C144" s="20">
        <v>121.35922330097087</v>
      </c>
      <c r="D144" s="173">
        <f>IF(B144="","",IFERROR(VLOOKUP(B144,'ITEM LIST'!B:M,12,0)*C144,0))</f>
        <v>8.0097087378640772</v>
      </c>
      <c r="E144" s="1">
        <f t="shared" si="4"/>
        <v>67.702427184466018</v>
      </c>
      <c r="F144" s="20"/>
      <c r="G144" s="1"/>
      <c r="H144" s="1"/>
      <c r="I144" s="1"/>
      <c r="J144" s="1"/>
      <c r="K144" s="1"/>
      <c r="L144" s="1"/>
      <c r="M144" s="1"/>
      <c r="N144" s="1"/>
      <c r="O144" s="1"/>
      <c r="P144" s="1"/>
      <c r="Q144" s="1"/>
      <c r="R144" s="1"/>
      <c r="S144" s="1"/>
      <c r="T144" s="1"/>
      <c r="U144" s="1"/>
      <c r="V144" s="1"/>
      <c r="W144" s="1"/>
      <c r="X144" s="1"/>
      <c r="Y144" s="1"/>
      <c r="Z144" s="1"/>
    </row>
    <row r="145" spans="1:26" ht="12.75">
      <c r="A145" s="1" t="s">
        <v>287</v>
      </c>
      <c r="B145" s="1" t="s">
        <v>101</v>
      </c>
      <c r="C145" s="20">
        <v>121.35922330097087</v>
      </c>
      <c r="D145" s="173">
        <f>IF(B145="","",IFERROR(VLOOKUP(B145,'ITEM LIST'!B:M,12,0)*C145,0))</f>
        <v>0</v>
      </c>
      <c r="E145" s="1">
        <f t="shared" si="4"/>
        <v>67.702427184466018</v>
      </c>
      <c r="F145" s="20"/>
      <c r="G145" s="1"/>
      <c r="H145" s="1"/>
      <c r="I145" s="1"/>
      <c r="J145" s="1"/>
      <c r="K145" s="1"/>
      <c r="L145" s="1"/>
      <c r="M145" s="1"/>
      <c r="N145" s="1"/>
      <c r="O145" s="1"/>
      <c r="P145" s="1"/>
      <c r="Q145" s="1"/>
      <c r="R145" s="1"/>
      <c r="S145" s="1"/>
      <c r="T145" s="1"/>
      <c r="U145" s="1"/>
      <c r="V145" s="1"/>
      <c r="W145" s="1"/>
      <c r="X145" s="1"/>
      <c r="Y145" s="1"/>
      <c r="Z145" s="1"/>
    </row>
    <row r="146" spans="1:26" ht="12.75">
      <c r="A146" s="1" t="s">
        <v>287</v>
      </c>
      <c r="B146" s="1" t="s">
        <v>338</v>
      </c>
      <c r="C146" s="20">
        <v>1.4563106796116505</v>
      </c>
      <c r="D146" s="173">
        <f>IF(B146="","",IFERROR(VLOOKUP(B146,'ITEM LIST'!B:M,12,0)*C146,0))</f>
        <v>0.1150485436893204</v>
      </c>
      <c r="E146" s="1">
        <f t="shared" si="4"/>
        <v>67.702427184466018</v>
      </c>
      <c r="F146" s="20"/>
      <c r="G146" s="1"/>
      <c r="H146" s="1"/>
      <c r="I146" s="1"/>
      <c r="J146" s="1"/>
      <c r="K146" s="1"/>
      <c r="L146" s="1"/>
      <c r="M146" s="1"/>
      <c r="N146" s="1"/>
      <c r="O146" s="1"/>
      <c r="P146" s="1"/>
      <c r="Q146" s="1"/>
      <c r="R146" s="1"/>
      <c r="S146" s="1"/>
      <c r="T146" s="1"/>
      <c r="U146" s="1"/>
      <c r="V146" s="1"/>
      <c r="W146" s="1"/>
      <c r="X146" s="1"/>
      <c r="Y146" s="1"/>
      <c r="Z146" s="1"/>
    </row>
    <row r="147" spans="1:26" ht="12.75">
      <c r="A147" s="1" t="s">
        <v>287</v>
      </c>
      <c r="B147" s="1" t="s">
        <v>521</v>
      </c>
      <c r="C147" s="20">
        <v>0.72815533980582525</v>
      </c>
      <c r="D147" s="173">
        <f>IF(B147="","",IFERROR(VLOOKUP(B147,'ITEM LIST'!B:M,12,0)*C147,0))</f>
        <v>0.88834951456310673</v>
      </c>
      <c r="E147" s="1">
        <f t="shared" si="4"/>
        <v>67.702427184466018</v>
      </c>
      <c r="F147" s="20"/>
      <c r="G147" s="1"/>
      <c r="H147" s="1"/>
      <c r="I147" s="1"/>
      <c r="J147" s="1"/>
      <c r="K147" s="1"/>
      <c r="L147" s="1"/>
      <c r="M147" s="1"/>
      <c r="N147" s="1"/>
      <c r="O147" s="1"/>
      <c r="P147" s="1"/>
      <c r="Q147" s="1"/>
      <c r="R147" s="1"/>
      <c r="S147" s="1"/>
      <c r="T147" s="1"/>
      <c r="U147" s="1"/>
      <c r="V147" s="1"/>
      <c r="W147" s="1"/>
      <c r="X147" s="1"/>
      <c r="Y147" s="1"/>
      <c r="Z147" s="1"/>
    </row>
    <row r="148" spans="1:26" ht="12.75">
      <c r="A148" s="1"/>
      <c r="B148" s="1" t="s">
        <v>371</v>
      </c>
      <c r="C148" s="20"/>
      <c r="D148" s="173" t="str">
        <f>IF(B148="","",IFERROR(VLOOKUP(B148,'ITEM LIST'!B:M,12,0)*C148,0))</f>
        <v/>
      </c>
      <c r="E148" s="1" t="str">
        <f t="shared" si="4"/>
        <v/>
      </c>
      <c r="F148" s="20"/>
      <c r="G148" s="1"/>
      <c r="H148" s="1"/>
      <c r="I148" s="1"/>
      <c r="J148" s="1"/>
      <c r="K148" s="1"/>
      <c r="L148" s="1"/>
      <c r="M148" s="1"/>
      <c r="N148" s="1"/>
      <c r="O148" s="1"/>
      <c r="P148" s="1"/>
      <c r="Q148" s="1"/>
      <c r="R148" s="1"/>
      <c r="S148" s="1"/>
      <c r="T148" s="1"/>
      <c r="U148" s="1"/>
      <c r="V148" s="1"/>
      <c r="W148" s="1"/>
      <c r="X148" s="1"/>
      <c r="Y148" s="1"/>
      <c r="Z148" s="1"/>
    </row>
    <row r="149" spans="1:26" ht="12.75">
      <c r="A149" s="1" t="s">
        <v>51</v>
      </c>
      <c r="B149" s="1" t="s">
        <v>278</v>
      </c>
      <c r="C149" s="21">
        <v>425.531914893617</v>
      </c>
      <c r="D149" s="173">
        <f>IF(B149="","",IFERROR(VLOOKUP(B149,'ITEM LIST'!B:M,12,0)*C149,0))</f>
        <v>51.063829787234035</v>
      </c>
      <c r="E149" s="1">
        <f t="shared" si="4"/>
        <v>151.36170212765956</v>
      </c>
      <c r="F149" s="20"/>
      <c r="G149" s="1"/>
      <c r="H149" s="1"/>
      <c r="I149" s="1"/>
      <c r="J149" s="1"/>
      <c r="K149" s="1"/>
      <c r="L149" s="1"/>
      <c r="M149" s="1"/>
      <c r="N149" s="1"/>
      <c r="O149" s="1"/>
      <c r="P149" s="1"/>
      <c r="Q149" s="1"/>
      <c r="R149" s="1"/>
      <c r="S149" s="1"/>
      <c r="T149" s="1"/>
      <c r="U149" s="1"/>
      <c r="V149" s="1"/>
      <c r="W149" s="1"/>
      <c r="X149" s="1"/>
      <c r="Y149" s="1"/>
      <c r="Z149" s="1"/>
    </row>
    <row r="150" spans="1:26" ht="12.75">
      <c r="A150" s="1" t="s">
        <v>51</v>
      </c>
      <c r="B150" s="1" t="s">
        <v>383</v>
      </c>
      <c r="C150" s="21">
        <v>42.553191489361701</v>
      </c>
      <c r="D150" s="173">
        <f>IF(B150="","",IFERROR(VLOOKUP(B150,'ITEM LIST'!B:M,12,0)*C150,0))</f>
        <v>2.9787234042553195</v>
      </c>
      <c r="E150" s="1">
        <f t="shared" si="4"/>
        <v>151.36170212765956</v>
      </c>
      <c r="F150" s="20"/>
      <c r="G150" s="1"/>
      <c r="H150" s="1"/>
      <c r="I150" s="1"/>
      <c r="J150" s="1"/>
      <c r="K150" s="1"/>
      <c r="L150" s="1"/>
      <c r="M150" s="1"/>
      <c r="N150" s="1"/>
      <c r="O150" s="1"/>
      <c r="P150" s="1"/>
      <c r="Q150" s="1"/>
      <c r="R150" s="1"/>
      <c r="S150" s="1"/>
      <c r="T150" s="1"/>
      <c r="U150" s="1"/>
      <c r="V150" s="1"/>
      <c r="W150" s="1"/>
      <c r="X150" s="1"/>
      <c r="Y150" s="1"/>
      <c r="Z150" s="1"/>
    </row>
    <row r="151" spans="1:26" ht="12.75">
      <c r="A151" s="1" t="s">
        <v>51</v>
      </c>
      <c r="B151" s="1" t="s">
        <v>162</v>
      </c>
      <c r="C151" s="21">
        <v>85.106382978723403</v>
      </c>
      <c r="D151" s="173">
        <f>IF(B151="","",IFERROR(VLOOKUP(B151,'ITEM LIST'!B:M,12,0)*C151,0))</f>
        <v>9.0212765957446805</v>
      </c>
      <c r="E151" s="1">
        <f t="shared" si="4"/>
        <v>151.36170212765956</v>
      </c>
      <c r="F151" s="20"/>
      <c r="G151" s="1"/>
      <c r="H151" s="1"/>
      <c r="I151" s="1"/>
      <c r="J151" s="1"/>
      <c r="K151" s="1"/>
      <c r="L151" s="1"/>
      <c r="M151" s="1"/>
      <c r="N151" s="1"/>
      <c r="O151" s="1"/>
      <c r="P151" s="1"/>
      <c r="Q151" s="1"/>
      <c r="R151" s="1"/>
      <c r="S151" s="1"/>
      <c r="T151" s="1"/>
      <c r="U151" s="1"/>
      <c r="V151" s="1"/>
      <c r="W151" s="1"/>
      <c r="X151" s="1"/>
      <c r="Y151" s="1"/>
      <c r="Z151" s="1"/>
    </row>
    <row r="152" spans="1:26" ht="12.75">
      <c r="A152" s="1" t="s">
        <v>51</v>
      </c>
      <c r="B152" s="1" t="s">
        <v>414</v>
      </c>
      <c r="C152" s="21">
        <v>85.106382978723403</v>
      </c>
      <c r="D152" s="173">
        <f>IF(B152="","",IFERROR(VLOOKUP(B152,'ITEM LIST'!B:M,12,0)*C152,0))</f>
        <v>43.404255319148938</v>
      </c>
      <c r="E152" s="1">
        <f t="shared" si="4"/>
        <v>151.36170212765956</v>
      </c>
      <c r="F152" s="20"/>
      <c r="G152" s="1"/>
      <c r="H152" s="1"/>
      <c r="I152" s="1"/>
      <c r="J152" s="1"/>
      <c r="K152" s="1"/>
      <c r="L152" s="1"/>
      <c r="M152" s="1"/>
      <c r="N152" s="1"/>
      <c r="O152" s="1"/>
      <c r="P152" s="1"/>
      <c r="Q152" s="1"/>
      <c r="R152" s="1"/>
      <c r="S152" s="1"/>
      <c r="T152" s="1"/>
      <c r="U152" s="1"/>
      <c r="V152" s="1"/>
      <c r="W152" s="1"/>
      <c r="X152" s="1"/>
      <c r="Y152" s="1"/>
      <c r="Z152" s="1"/>
    </row>
    <row r="153" spans="1:26" ht="12.75">
      <c r="A153" s="1" t="s">
        <v>51</v>
      </c>
      <c r="B153" s="1" t="s">
        <v>415</v>
      </c>
      <c r="C153" s="21">
        <v>42.553191489361701</v>
      </c>
      <c r="D153" s="173">
        <f>IF(B153="","",IFERROR(VLOOKUP(B153,'ITEM LIST'!B:M,12,0)*C153,0))</f>
        <v>12.76595744680851</v>
      </c>
      <c r="E153" s="1">
        <f t="shared" si="4"/>
        <v>151.36170212765956</v>
      </c>
      <c r="F153" s="20"/>
      <c r="G153" s="1"/>
      <c r="H153" s="1"/>
      <c r="I153" s="1"/>
      <c r="J153" s="1"/>
      <c r="K153" s="1"/>
      <c r="L153" s="1"/>
      <c r="M153" s="1"/>
      <c r="N153" s="1"/>
      <c r="O153" s="1"/>
      <c r="P153" s="1"/>
      <c r="Q153" s="1"/>
      <c r="R153" s="1"/>
      <c r="S153" s="1"/>
      <c r="T153" s="1"/>
      <c r="U153" s="1"/>
      <c r="V153" s="1"/>
      <c r="W153" s="1"/>
      <c r="X153" s="1"/>
      <c r="Y153" s="1"/>
      <c r="Z153" s="1"/>
    </row>
    <row r="154" spans="1:26" ht="12.75">
      <c r="A154" s="1" t="s">
        <v>51</v>
      </c>
      <c r="B154" s="1" t="s">
        <v>323</v>
      </c>
      <c r="C154" s="21">
        <v>42.553191489361701</v>
      </c>
      <c r="D154" s="173">
        <f>IF(B154="","",IFERROR(VLOOKUP(B154,'ITEM LIST'!B:M,12,0)*C154,0))</f>
        <v>1.4893617021276597</v>
      </c>
      <c r="E154" s="1">
        <f t="shared" si="4"/>
        <v>151.36170212765956</v>
      </c>
      <c r="F154" s="20"/>
      <c r="G154" s="1"/>
      <c r="H154" s="1"/>
      <c r="I154" s="1"/>
      <c r="J154" s="1"/>
      <c r="K154" s="1"/>
      <c r="L154" s="1"/>
      <c r="M154" s="1"/>
      <c r="N154" s="1"/>
      <c r="O154" s="1"/>
      <c r="P154" s="1"/>
      <c r="Q154" s="1"/>
      <c r="R154" s="1"/>
      <c r="S154" s="1"/>
      <c r="T154" s="1"/>
      <c r="U154" s="1"/>
      <c r="V154" s="1"/>
      <c r="W154" s="1"/>
      <c r="X154" s="1"/>
      <c r="Y154" s="1"/>
      <c r="Z154" s="1"/>
    </row>
    <row r="155" spans="1:26" ht="12.75">
      <c r="A155" s="1" t="s">
        <v>51</v>
      </c>
      <c r="B155" s="1" t="s">
        <v>37</v>
      </c>
      <c r="C155" s="21">
        <v>42.553191489361701</v>
      </c>
      <c r="D155" s="173">
        <f>IF(B155="","",IFERROR(VLOOKUP(B155,'ITEM LIST'!B:M,12,0)*C155,0))</f>
        <v>8.5106382978723403</v>
      </c>
      <c r="E155" s="1">
        <f t="shared" si="4"/>
        <v>151.36170212765956</v>
      </c>
      <c r="F155" s="20"/>
      <c r="G155" s="1"/>
      <c r="H155" s="1"/>
      <c r="I155" s="1"/>
      <c r="J155" s="1"/>
      <c r="K155" s="1"/>
      <c r="L155" s="1"/>
      <c r="M155" s="1"/>
      <c r="N155" s="1"/>
      <c r="O155" s="1"/>
      <c r="P155" s="1"/>
      <c r="Q155" s="1"/>
      <c r="R155" s="1"/>
      <c r="S155" s="1"/>
      <c r="T155" s="1"/>
      <c r="U155" s="1"/>
      <c r="V155" s="1"/>
      <c r="W155" s="1"/>
      <c r="X155" s="1"/>
      <c r="Y155" s="1"/>
      <c r="Z155" s="1"/>
    </row>
    <row r="156" spans="1:26" ht="12.75">
      <c r="A156" s="1" t="s">
        <v>51</v>
      </c>
      <c r="B156" s="1" t="s">
        <v>18</v>
      </c>
      <c r="C156" s="21">
        <v>10.638297872340425</v>
      </c>
      <c r="D156" s="173">
        <f>IF(B156="","",IFERROR(VLOOKUP(B156,'ITEM LIST'!B:M,12,0)*C156,0))</f>
        <v>0.31914893617021273</v>
      </c>
      <c r="E156" s="1">
        <f t="shared" si="4"/>
        <v>151.36170212765956</v>
      </c>
      <c r="F156" s="20"/>
      <c r="G156" s="1"/>
      <c r="H156" s="1"/>
      <c r="I156" s="1"/>
      <c r="J156" s="1"/>
      <c r="K156" s="1"/>
      <c r="L156" s="1"/>
      <c r="M156" s="1"/>
      <c r="N156" s="1"/>
      <c r="O156" s="1"/>
      <c r="P156" s="1"/>
      <c r="Q156" s="1"/>
      <c r="R156" s="1"/>
      <c r="S156" s="1"/>
      <c r="T156" s="1"/>
      <c r="U156" s="1"/>
      <c r="V156" s="1"/>
      <c r="W156" s="1"/>
      <c r="X156" s="1"/>
      <c r="Y156" s="1"/>
      <c r="Z156" s="1"/>
    </row>
    <row r="157" spans="1:26" ht="12.75">
      <c r="A157" s="1" t="s">
        <v>51</v>
      </c>
      <c r="B157" s="1" t="s">
        <v>52</v>
      </c>
      <c r="C157" s="21">
        <v>10.638297872340425</v>
      </c>
      <c r="D157" s="173">
        <f>IF(B157="","",IFERROR(VLOOKUP(B157,'ITEM LIST'!B:M,12,0)*C157,0))</f>
        <v>6.9148936170212769</v>
      </c>
      <c r="E157" s="1">
        <f t="shared" si="4"/>
        <v>151.36170212765956</v>
      </c>
      <c r="F157" s="20"/>
      <c r="G157" s="1"/>
      <c r="H157" s="1"/>
      <c r="I157" s="1"/>
      <c r="J157" s="1"/>
      <c r="K157" s="1"/>
      <c r="L157" s="1"/>
      <c r="M157" s="1"/>
      <c r="N157" s="1"/>
      <c r="O157" s="1"/>
      <c r="P157" s="1"/>
      <c r="Q157" s="1"/>
      <c r="R157" s="1"/>
      <c r="S157" s="1"/>
      <c r="T157" s="1"/>
      <c r="U157" s="1"/>
      <c r="V157" s="1"/>
      <c r="W157" s="1"/>
      <c r="X157" s="1"/>
      <c r="Y157" s="1"/>
      <c r="Z157" s="1"/>
    </row>
    <row r="158" spans="1:26" ht="12.75">
      <c r="A158" s="1" t="s">
        <v>51</v>
      </c>
      <c r="B158" s="1" t="s">
        <v>675</v>
      </c>
      <c r="C158" s="202"/>
      <c r="D158" s="173">
        <f>IF(B158="","",IFERROR(VLOOKUP(B158,'ITEM LIST'!B:M,12,0)*C158,0))</f>
        <v>0</v>
      </c>
      <c r="E158" s="1">
        <f t="shared" si="4"/>
        <v>151.36170212765956</v>
      </c>
      <c r="F158" s="20"/>
      <c r="G158" s="1"/>
      <c r="H158" s="1"/>
      <c r="I158" s="1"/>
      <c r="J158" s="1"/>
      <c r="K158" s="1"/>
      <c r="L158" s="1"/>
      <c r="M158" s="1"/>
      <c r="N158" s="1"/>
      <c r="O158" s="1"/>
      <c r="P158" s="1"/>
      <c r="Q158" s="1"/>
      <c r="R158" s="1"/>
      <c r="S158" s="1"/>
      <c r="T158" s="1"/>
      <c r="U158" s="1"/>
      <c r="V158" s="1"/>
      <c r="W158" s="1"/>
      <c r="X158" s="1"/>
      <c r="Y158" s="1"/>
      <c r="Z158" s="1"/>
    </row>
    <row r="159" spans="1:26" ht="12.75">
      <c r="A159" s="1" t="s">
        <v>51</v>
      </c>
      <c r="B159" s="1" t="s">
        <v>24</v>
      </c>
      <c r="C159" s="21">
        <v>212.7659574468085</v>
      </c>
      <c r="D159" s="173">
        <f>IF(B159="","",IFERROR(VLOOKUP(B159,'ITEM LIST'!B:M,12,0)*C159,0))</f>
        <v>14.893617021276597</v>
      </c>
      <c r="E159" s="1">
        <f t="shared" si="4"/>
        <v>151.36170212765956</v>
      </c>
      <c r="F159" s="20"/>
      <c r="G159" s="1"/>
      <c r="H159" s="1"/>
      <c r="I159" s="1"/>
      <c r="J159" s="1"/>
      <c r="K159" s="1"/>
      <c r="L159" s="1"/>
      <c r="M159" s="1"/>
      <c r="N159" s="1"/>
      <c r="O159" s="1"/>
      <c r="P159" s="1"/>
      <c r="Q159" s="1"/>
      <c r="R159" s="1"/>
      <c r="S159" s="1"/>
      <c r="T159" s="1"/>
      <c r="U159" s="1"/>
      <c r="V159" s="1"/>
      <c r="W159" s="1"/>
      <c r="X159" s="1"/>
      <c r="Y159" s="1"/>
      <c r="Z159" s="1"/>
    </row>
    <row r="160" spans="1:26" ht="12.75">
      <c r="A160" s="1"/>
      <c r="B160" s="1" t="s">
        <v>371</v>
      </c>
      <c r="C160" s="20"/>
      <c r="D160" s="173" t="str">
        <f>IF(B160="","",IFERROR(VLOOKUP(B160,'ITEM LIST'!B:M,12,0)*C160,0))</f>
        <v/>
      </c>
      <c r="E160" s="1" t="str">
        <f t="shared" si="4"/>
        <v/>
      </c>
      <c r="F160" s="20"/>
      <c r="G160" s="1"/>
      <c r="H160" s="1"/>
      <c r="I160" s="1"/>
      <c r="J160" s="1"/>
      <c r="K160" s="1"/>
      <c r="L160" s="1"/>
      <c r="M160" s="1"/>
      <c r="N160" s="1"/>
      <c r="O160" s="1"/>
      <c r="P160" s="1"/>
      <c r="Q160" s="1"/>
      <c r="R160" s="1"/>
      <c r="S160" s="1"/>
      <c r="T160" s="1"/>
      <c r="U160" s="1"/>
      <c r="V160" s="1"/>
      <c r="W160" s="1"/>
      <c r="X160" s="1"/>
      <c r="Y160" s="1"/>
      <c r="Z160" s="1"/>
    </row>
    <row r="161" spans="1:26" ht="12.75">
      <c r="A161" s="1" t="s">
        <v>288</v>
      </c>
      <c r="B161" s="1" t="s">
        <v>675</v>
      </c>
      <c r="C161" s="202"/>
      <c r="D161" s="173">
        <f>IF(B161="","",IFERROR(VLOOKUP(B161,'ITEM LIST'!B:M,12,0)*C161,0))</f>
        <v>0</v>
      </c>
      <c r="E161" s="1">
        <f t="shared" si="4"/>
        <v>139.9</v>
      </c>
      <c r="F161" s="20"/>
      <c r="G161" s="1"/>
      <c r="H161" s="1"/>
      <c r="I161" s="1"/>
      <c r="J161" s="1"/>
      <c r="K161" s="1"/>
      <c r="L161" s="1"/>
      <c r="M161" s="1"/>
      <c r="N161" s="1"/>
      <c r="O161" s="1"/>
      <c r="P161" s="1"/>
      <c r="Q161" s="1"/>
      <c r="R161" s="1"/>
      <c r="S161" s="1"/>
      <c r="T161" s="1"/>
      <c r="U161" s="1"/>
      <c r="V161" s="1"/>
      <c r="W161" s="1"/>
      <c r="X161" s="1"/>
      <c r="Y161" s="1"/>
      <c r="Z161" s="1"/>
    </row>
    <row r="162" spans="1:26" ht="12.75">
      <c r="A162" s="1" t="s">
        <v>288</v>
      </c>
      <c r="B162" s="1" t="s">
        <v>52</v>
      </c>
      <c r="C162" s="21">
        <v>25</v>
      </c>
      <c r="D162" s="173">
        <f>IF(B162="","",IFERROR(VLOOKUP(B162,'ITEM LIST'!B:M,12,0)*C162,0))</f>
        <v>16.25</v>
      </c>
      <c r="E162" s="1">
        <f t="shared" ref="E162:E193" si="5">IF(A162="","", SUMIFS(D:D,A:A,A162))</f>
        <v>139.9</v>
      </c>
      <c r="F162" s="20"/>
      <c r="G162" s="1"/>
      <c r="H162" s="1"/>
      <c r="I162" s="1"/>
      <c r="J162" s="1"/>
      <c r="K162" s="1"/>
      <c r="L162" s="1"/>
      <c r="M162" s="1"/>
      <c r="N162" s="1"/>
      <c r="O162" s="1"/>
      <c r="P162" s="1"/>
      <c r="Q162" s="1"/>
      <c r="R162" s="1"/>
      <c r="S162" s="1"/>
      <c r="T162" s="1"/>
      <c r="U162" s="1"/>
      <c r="V162" s="1"/>
      <c r="W162" s="1"/>
      <c r="X162" s="1"/>
      <c r="Y162" s="1"/>
      <c r="Z162" s="1"/>
    </row>
    <row r="163" spans="1:26" ht="12.75">
      <c r="A163" s="1" t="s">
        <v>288</v>
      </c>
      <c r="B163" s="1" t="s">
        <v>23</v>
      </c>
      <c r="C163" s="21">
        <v>25</v>
      </c>
      <c r="D163" s="173">
        <f>IF(B163="","",IFERROR(VLOOKUP(B163,'ITEM LIST'!B:M,12,0)*C163,0))</f>
        <v>3.65</v>
      </c>
      <c r="E163" s="1">
        <f t="shared" si="5"/>
        <v>139.9</v>
      </c>
      <c r="F163" s="20"/>
      <c r="G163" s="1"/>
      <c r="H163" s="1"/>
      <c r="I163" s="1"/>
      <c r="J163" s="1"/>
      <c r="K163" s="1"/>
      <c r="L163" s="1"/>
      <c r="M163" s="1"/>
      <c r="N163" s="1"/>
      <c r="O163" s="1"/>
      <c r="P163" s="1"/>
      <c r="Q163" s="1"/>
      <c r="R163" s="1"/>
      <c r="S163" s="1"/>
      <c r="T163" s="1"/>
      <c r="U163" s="1"/>
      <c r="V163" s="1"/>
      <c r="W163" s="1"/>
      <c r="X163" s="1"/>
      <c r="Y163" s="1"/>
      <c r="Z163" s="1"/>
    </row>
    <row r="164" spans="1:26" ht="12.75">
      <c r="A164" s="1" t="s">
        <v>288</v>
      </c>
      <c r="B164" s="1" t="s">
        <v>396</v>
      </c>
      <c r="C164" s="21">
        <v>1000</v>
      </c>
      <c r="D164" s="173">
        <f>IF(B164="","",IFERROR(VLOOKUP(B164,'ITEM LIST'!B:M,12,0)*C164,0))</f>
        <v>120</v>
      </c>
      <c r="E164" s="1">
        <f t="shared" si="5"/>
        <v>139.9</v>
      </c>
      <c r="F164" s="20"/>
      <c r="G164" s="1"/>
      <c r="H164" s="1"/>
      <c r="I164" s="1"/>
      <c r="J164" s="1"/>
      <c r="K164" s="1"/>
      <c r="L164" s="1"/>
      <c r="M164" s="1"/>
      <c r="N164" s="1"/>
      <c r="O164" s="1"/>
      <c r="P164" s="1"/>
      <c r="Q164" s="1"/>
      <c r="R164" s="1"/>
      <c r="S164" s="1"/>
      <c r="T164" s="1"/>
      <c r="U164" s="1"/>
      <c r="V164" s="1"/>
      <c r="W164" s="1"/>
      <c r="X164" s="1"/>
      <c r="Y164" s="1"/>
      <c r="Z164" s="1"/>
    </row>
    <row r="165" spans="1:26" ht="12.75">
      <c r="A165" s="1"/>
      <c r="B165" s="1" t="s">
        <v>371</v>
      </c>
      <c r="C165" s="21"/>
      <c r="D165" s="173" t="str">
        <f>IF(B165="","",IFERROR(VLOOKUP(B165,'ITEM LIST'!B:M,12,0)*C165,0))</f>
        <v/>
      </c>
      <c r="E165" s="1" t="str">
        <f t="shared" si="5"/>
        <v/>
      </c>
      <c r="F165" s="20"/>
      <c r="G165" s="1"/>
      <c r="H165" s="1"/>
      <c r="I165" s="1"/>
      <c r="J165" s="1"/>
      <c r="K165" s="1"/>
      <c r="L165" s="1"/>
      <c r="M165" s="1"/>
      <c r="N165" s="1"/>
      <c r="O165" s="1"/>
      <c r="P165" s="1"/>
      <c r="Q165" s="1"/>
      <c r="R165" s="1"/>
      <c r="S165" s="1"/>
      <c r="T165" s="1"/>
      <c r="U165" s="1"/>
      <c r="V165" s="1"/>
      <c r="W165" s="1"/>
      <c r="X165" s="1"/>
      <c r="Y165" s="1"/>
      <c r="Z165" s="1"/>
    </row>
    <row r="166" spans="1:26" ht="12.75">
      <c r="A166" s="1" t="s">
        <v>46</v>
      </c>
      <c r="B166" s="1" t="s">
        <v>40</v>
      </c>
      <c r="C166" s="21">
        <v>50</v>
      </c>
      <c r="D166" s="173">
        <f>IF(B166="","",IFERROR(VLOOKUP(B166,'ITEM LIST'!B:M,12,0)*C166,0))</f>
        <v>1.6</v>
      </c>
      <c r="E166" s="1">
        <f t="shared" si="5"/>
        <v>18.00516551724138</v>
      </c>
      <c r="F166" s="20"/>
      <c r="G166" s="1"/>
      <c r="H166" s="1"/>
      <c r="I166" s="1"/>
      <c r="J166" s="1"/>
      <c r="K166" s="1"/>
      <c r="L166" s="1"/>
      <c r="M166" s="1"/>
      <c r="N166" s="1"/>
      <c r="O166" s="1"/>
      <c r="P166" s="1"/>
      <c r="Q166" s="1"/>
      <c r="R166" s="1"/>
      <c r="S166" s="1"/>
      <c r="T166" s="1"/>
      <c r="U166" s="1"/>
      <c r="V166" s="1"/>
      <c r="W166" s="1"/>
      <c r="X166" s="1"/>
      <c r="Y166" s="1"/>
      <c r="Z166" s="1"/>
    </row>
    <row r="167" spans="1:26" ht="12.75">
      <c r="A167" s="1" t="s">
        <v>46</v>
      </c>
      <c r="B167" s="1" t="s">
        <v>380</v>
      </c>
      <c r="C167" s="21">
        <v>15</v>
      </c>
      <c r="D167" s="173">
        <f>IF(B167="","",IFERROR(VLOOKUP(B167,'ITEM LIST'!B:M,12,0)*C167,0))</f>
        <v>7.999950000000001</v>
      </c>
      <c r="E167" s="1">
        <f t="shared" si="5"/>
        <v>18.00516551724138</v>
      </c>
      <c r="F167" s="20"/>
      <c r="G167" s="1"/>
      <c r="H167" s="1"/>
      <c r="I167" s="1"/>
      <c r="J167" s="1"/>
      <c r="K167" s="1"/>
      <c r="L167" s="1"/>
      <c r="M167" s="1"/>
      <c r="N167" s="1"/>
      <c r="O167" s="1"/>
      <c r="P167" s="1"/>
      <c r="Q167" s="1"/>
      <c r="R167" s="1"/>
      <c r="S167" s="1"/>
      <c r="T167" s="1"/>
      <c r="U167" s="1"/>
      <c r="V167" s="1"/>
      <c r="W167" s="1"/>
      <c r="X167" s="1"/>
      <c r="Y167" s="1"/>
      <c r="Z167" s="1"/>
    </row>
    <row r="168" spans="1:26" ht="12.75">
      <c r="A168" s="1" t="s">
        <v>46</v>
      </c>
      <c r="B168" s="1" t="s">
        <v>101</v>
      </c>
      <c r="C168" s="21">
        <v>10</v>
      </c>
      <c r="D168" s="173">
        <f>IF(B168="","",IFERROR(VLOOKUP(B168,'ITEM LIST'!B:M,12,0)*C168,0))</f>
        <v>0</v>
      </c>
      <c r="E168" s="1">
        <f t="shared" si="5"/>
        <v>18.00516551724138</v>
      </c>
      <c r="F168" s="20"/>
      <c r="G168" s="1"/>
      <c r="H168" s="1"/>
      <c r="I168" s="1"/>
      <c r="J168" s="1"/>
      <c r="K168" s="1"/>
      <c r="L168" s="1"/>
      <c r="M168" s="1"/>
      <c r="N168" s="1"/>
      <c r="O168" s="1"/>
      <c r="P168" s="1"/>
      <c r="Q168" s="1"/>
      <c r="R168" s="1"/>
      <c r="S168" s="1"/>
      <c r="T168" s="1"/>
      <c r="U168" s="1"/>
      <c r="V168" s="1"/>
      <c r="W168" s="1"/>
      <c r="X168" s="1"/>
      <c r="Y168" s="1"/>
      <c r="Z168" s="1"/>
    </row>
    <row r="169" spans="1:26" ht="12.75">
      <c r="A169" s="1" t="s">
        <v>46</v>
      </c>
      <c r="B169" s="1" t="s">
        <v>675</v>
      </c>
      <c r="C169" s="200"/>
      <c r="D169" s="173">
        <f>IF(B169="","",IFERROR(VLOOKUP(B169,'ITEM LIST'!B:M,12,0)*C169,0))</f>
        <v>0</v>
      </c>
      <c r="E169" s="1">
        <f t="shared" si="5"/>
        <v>18.00516551724138</v>
      </c>
      <c r="F169" s="20"/>
      <c r="G169" s="1"/>
      <c r="H169" s="1"/>
      <c r="I169" s="1"/>
      <c r="J169" s="1"/>
      <c r="K169" s="1"/>
      <c r="L169" s="1"/>
      <c r="M169" s="1"/>
      <c r="N169" s="1"/>
      <c r="O169" s="1"/>
      <c r="P169" s="1"/>
      <c r="Q169" s="1"/>
      <c r="R169" s="1"/>
      <c r="S169" s="1"/>
      <c r="T169" s="1"/>
      <c r="U169" s="1"/>
      <c r="V169" s="1"/>
      <c r="W169" s="1"/>
      <c r="X169" s="1"/>
      <c r="Y169" s="1"/>
      <c r="Z169" s="1"/>
    </row>
    <row r="170" spans="1:26" ht="12.75">
      <c r="A170" s="1" t="s">
        <v>46</v>
      </c>
      <c r="B170" s="1" t="s">
        <v>542</v>
      </c>
      <c r="C170" s="20">
        <v>25</v>
      </c>
      <c r="D170" s="173">
        <f>IF(B170="","",IFERROR(VLOOKUP(B170,'ITEM LIST'!B:M,12,0)*C170,0))</f>
        <v>8.4052155172413805</v>
      </c>
      <c r="E170" s="1">
        <f t="shared" si="5"/>
        <v>18.00516551724138</v>
      </c>
      <c r="F170" s="20"/>
      <c r="G170" s="1"/>
      <c r="H170" s="1"/>
      <c r="I170" s="1"/>
      <c r="J170" s="1"/>
      <c r="K170" s="1"/>
      <c r="L170" s="1"/>
      <c r="M170" s="1"/>
      <c r="N170" s="1"/>
      <c r="O170" s="1"/>
      <c r="P170" s="1"/>
      <c r="Q170" s="1"/>
      <c r="R170" s="1"/>
      <c r="S170" s="1"/>
      <c r="T170" s="1"/>
      <c r="U170" s="1"/>
      <c r="V170" s="1"/>
      <c r="W170" s="1"/>
      <c r="X170" s="1"/>
      <c r="Y170" s="1"/>
      <c r="Z170" s="1"/>
    </row>
    <row r="171" spans="1:26" ht="12.75">
      <c r="A171" s="1"/>
      <c r="B171" s="1" t="s">
        <v>371</v>
      </c>
      <c r="C171" s="21"/>
      <c r="D171" s="173" t="str">
        <f>IF(B171="","",IFERROR(VLOOKUP(B171,'ITEM LIST'!B:M,12,0)*C171,0))</f>
        <v/>
      </c>
      <c r="E171" s="1" t="str">
        <f t="shared" si="5"/>
        <v/>
      </c>
      <c r="F171" s="20"/>
      <c r="G171" s="1"/>
      <c r="H171" s="1"/>
      <c r="I171" s="1"/>
      <c r="J171" s="1"/>
      <c r="K171" s="1"/>
      <c r="L171" s="1"/>
      <c r="M171" s="1"/>
      <c r="N171" s="1"/>
      <c r="O171" s="1"/>
      <c r="P171" s="1"/>
      <c r="Q171" s="1"/>
      <c r="R171" s="1"/>
      <c r="S171" s="1"/>
      <c r="T171" s="1"/>
      <c r="U171" s="1"/>
      <c r="V171" s="1"/>
      <c r="W171" s="1"/>
      <c r="X171" s="1"/>
      <c r="Y171" s="1"/>
      <c r="Z171" s="1"/>
    </row>
    <row r="172" spans="1:26" ht="15">
      <c r="A172" s="2" t="s">
        <v>289</v>
      </c>
      <c r="B172" s="2" t="s">
        <v>278</v>
      </c>
      <c r="C172" s="22">
        <v>344.82758620689657</v>
      </c>
      <c r="D172" s="173">
        <f>IF(B172="","",IFERROR(VLOOKUP(B172,'ITEM LIST'!B:M,12,0)*C172,0))</f>
        <v>41.379310344827587</v>
      </c>
      <c r="E172" s="1">
        <f t="shared" si="5"/>
        <v>336.20862068965522</v>
      </c>
      <c r="F172" s="20"/>
      <c r="G172" s="1"/>
      <c r="H172" s="1"/>
      <c r="I172" s="1"/>
      <c r="J172" s="1"/>
      <c r="K172" s="1"/>
      <c r="L172" s="1"/>
      <c r="M172" s="1"/>
      <c r="N172" s="1"/>
      <c r="O172" s="1"/>
      <c r="P172" s="1"/>
      <c r="Q172" s="1"/>
      <c r="R172" s="1"/>
      <c r="S172" s="1"/>
      <c r="T172" s="1"/>
      <c r="U172" s="1"/>
      <c r="V172" s="1"/>
      <c r="W172" s="1"/>
      <c r="X172" s="1"/>
      <c r="Y172" s="1"/>
      <c r="Z172" s="1"/>
    </row>
    <row r="173" spans="1:26" ht="15">
      <c r="A173" s="2" t="s">
        <v>289</v>
      </c>
      <c r="B173" s="2" t="s">
        <v>384</v>
      </c>
      <c r="C173" s="22">
        <v>172.41379310344828</v>
      </c>
      <c r="D173" s="173">
        <f>IF(B173="","",IFERROR(VLOOKUP(B173,'ITEM LIST'!B:M,12,0)*C173,0))</f>
        <v>6.0344827586206904</v>
      </c>
      <c r="E173" s="1">
        <f t="shared" si="5"/>
        <v>336.20862068965522</v>
      </c>
      <c r="F173" s="20"/>
      <c r="G173" s="1"/>
      <c r="H173" s="1"/>
      <c r="I173" s="1"/>
      <c r="J173" s="1"/>
      <c r="K173" s="1"/>
      <c r="L173" s="1"/>
      <c r="M173" s="1"/>
      <c r="N173" s="1"/>
      <c r="O173" s="1"/>
      <c r="P173" s="1"/>
      <c r="Q173" s="1"/>
      <c r="R173" s="1"/>
      <c r="S173" s="1"/>
      <c r="T173" s="1"/>
      <c r="U173" s="1"/>
      <c r="V173" s="1"/>
      <c r="W173" s="1"/>
      <c r="X173" s="1"/>
      <c r="Y173" s="1"/>
      <c r="Z173" s="1"/>
    </row>
    <row r="174" spans="1:26" ht="15">
      <c r="A174" s="2" t="s">
        <v>289</v>
      </c>
      <c r="B174" s="2" t="s">
        <v>380</v>
      </c>
      <c r="C174" s="22">
        <v>172.41379310344828</v>
      </c>
      <c r="D174" s="173">
        <f>IF(B174="","",IFERROR(VLOOKUP(B174,'ITEM LIST'!B:M,12,0)*C174,0))</f>
        <v>91.953448275862087</v>
      </c>
      <c r="E174" s="1">
        <f t="shared" si="5"/>
        <v>336.20862068965522</v>
      </c>
      <c r="F174" s="20"/>
      <c r="G174" s="1"/>
      <c r="H174" s="1"/>
      <c r="I174" s="1"/>
      <c r="J174" s="1"/>
      <c r="K174" s="1"/>
      <c r="L174" s="1"/>
      <c r="M174" s="1"/>
      <c r="N174" s="1"/>
      <c r="O174" s="1"/>
      <c r="P174" s="1"/>
      <c r="Q174" s="1"/>
      <c r="R174" s="1"/>
      <c r="S174" s="1"/>
      <c r="T174" s="1"/>
      <c r="U174" s="1"/>
      <c r="V174" s="1"/>
      <c r="W174" s="1"/>
      <c r="X174" s="1"/>
      <c r="Y174" s="1"/>
      <c r="Z174" s="1"/>
    </row>
    <row r="175" spans="1:26" ht="15">
      <c r="A175" s="2" t="s">
        <v>289</v>
      </c>
      <c r="B175" s="2" t="s">
        <v>114</v>
      </c>
      <c r="C175" s="22">
        <v>10.344827586206897</v>
      </c>
      <c r="D175" s="173">
        <f>IF(B175="","",IFERROR(VLOOKUP(B175,'ITEM LIST'!B:M,12,0)*C175,0))</f>
        <v>0.28965517241379313</v>
      </c>
      <c r="E175" s="1">
        <f t="shared" si="5"/>
        <v>336.20862068965522</v>
      </c>
      <c r="F175" s="20"/>
      <c r="G175" s="1"/>
      <c r="H175" s="1"/>
      <c r="I175" s="1"/>
      <c r="J175" s="1"/>
      <c r="K175" s="1"/>
      <c r="L175" s="1"/>
      <c r="M175" s="1"/>
      <c r="N175" s="1"/>
      <c r="O175" s="1"/>
      <c r="P175" s="1"/>
      <c r="Q175" s="1"/>
      <c r="R175" s="1"/>
      <c r="S175" s="1"/>
      <c r="T175" s="1"/>
      <c r="U175" s="1"/>
      <c r="V175" s="1"/>
      <c r="W175" s="1"/>
      <c r="X175" s="1"/>
      <c r="Y175" s="1"/>
      <c r="Z175" s="1"/>
    </row>
    <row r="176" spans="1:26" ht="15">
      <c r="A176" s="2" t="s">
        <v>289</v>
      </c>
      <c r="B176" s="2" t="s">
        <v>9</v>
      </c>
      <c r="C176" s="22">
        <v>6.8965517241379306</v>
      </c>
      <c r="D176" s="173">
        <f>IF(B176="","",IFERROR(VLOOKUP(B176,'ITEM LIST'!B:M,12,0)*C176,0))</f>
        <v>0</v>
      </c>
      <c r="E176" s="1">
        <f t="shared" si="5"/>
        <v>336.20862068965522</v>
      </c>
      <c r="F176" s="20"/>
      <c r="G176" s="1"/>
      <c r="H176" s="1"/>
      <c r="I176" s="1"/>
      <c r="J176" s="1"/>
      <c r="K176" s="1"/>
      <c r="L176" s="1"/>
      <c r="M176" s="1"/>
      <c r="N176" s="1"/>
      <c r="O176" s="1"/>
      <c r="P176" s="1"/>
      <c r="Q176" s="1"/>
      <c r="R176" s="1"/>
      <c r="S176" s="1"/>
      <c r="T176" s="1"/>
      <c r="U176" s="1"/>
      <c r="V176" s="1"/>
      <c r="W176" s="1"/>
      <c r="X176" s="1"/>
      <c r="Y176" s="1"/>
      <c r="Z176" s="1"/>
    </row>
    <row r="177" spans="1:26" ht="15">
      <c r="A177" s="2" t="s">
        <v>289</v>
      </c>
      <c r="B177" s="2" t="s">
        <v>49</v>
      </c>
      <c r="C177" s="22">
        <v>34.482758620689658</v>
      </c>
      <c r="D177" s="173">
        <f>IF(B177="","",IFERROR(VLOOKUP(B177,'ITEM LIST'!B:M,12,0)*C177,0))</f>
        <v>25.862068965517246</v>
      </c>
      <c r="E177" s="1">
        <f t="shared" si="5"/>
        <v>336.20862068965522</v>
      </c>
      <c r="F177" s="20"/>
      <c r="G177" s="1"/>
      <c r="H177" s="1"/>
      <c r="I177" s="1"/>
      <c r="J177" s="1"/>
      <c r="K177" s="1"/>
      <c r="L177" s="1"/>
      <c r="M177" s="1"/>
      <c r="N177" s="1"/>
      <c r="O177" s="1"/>
      <c r="P177" s="1"/>
      <c r="Q177" s="1"/>
      <c r="R177" s="1"/>
      <c r="S177" s="1"/>
      <c r="T177" s="1"/>
      <c r="U177" s="1"/>
      <c r="V177" s="1"/>
      <c r="W177" s="1"/>
      <c r="X177" s="1"/>
      <c r="Y177" s="1"/>
      <c r="Z177" s="1"/>
    </row>
    <row r="178" spans="1:26" ht="15">
      <c r="A178" s="2" t="s">
        <v>289</v>
      </c>
      <c r="B178" s="2" t="s">
        <v>340</v>
      </c>
      <c r="C178" s="22">
        <v>17.241379310344829</v>
      </c>
      <c r="D178" s="173">
        <f>IF(B178="","",IFERROR(VLOOKUP(B178,'ITEM LIST'!B:M,12,0)*C178,0))</f>
        <v>86.206896551724142</v>
      </c>
      <c r="E178" s="1">
        <f t="shared" si="5"/>
        <v>336.20862068965522</v>
      </c>
      <c r="F178" s="20"/>
      <c r="G178" s="1"/>
      <c r="H178" s="1"/>
      <c r="I178" s="1"/>
      <c r="J178" s="1"/>
      <c r="K178" s="1"/>
      <c r="L178" s="1"/>
      <c r="M178" s="1"/>
      <c r="N178" s="1"/>
      <c r="O178" s="1"/>
      <c r="P178" s="1"/>
      <c r="Q178" s="1"/>
      <c r="R178" s="1"/>
      <c r="S178" s="1"/>
      <c r="T178" s="1"/>
      <c r="U178" s="1"/>
      <c r="V178" s="1"/>
      <c r="W178" s="1"/>
      <c r="X178" s="1"/>
      <c r="Y178" s="1"/>
      <c r="Z178" s="1"/>
    </row>
    <row r="179" spans="1:26" ht="15">
      <c r="A179" s="2" t="s">
        <v>289</v>
      </c>
      <c r="B179" s="2" t="s">
        <v>230</v>
      </c>
      <c r="C179" s="22">
        <v>172.41379310344828</v>
      </c>
      <c r="D179" s="173">
        <f>IF(B179="","",IFERROR(VLOOKUP(B179,'ITEM LIST'!B:M,12,0)*C179,0))</f>
        <v>51.724137931034484</v>
      </c>
      <c r="E179" s="1">
        <f t="shared" si="5"/>
        <v>336.20862068965522</v>
      </c>
      <c r="F179" s="20"/>
      <c r="G179" s="1"/>
      <c r="H179" s="1"/>
      <c r="I179" s="1"/>
      <c r="J179" s="1"/>
      <c r="K179" s="1"/>
      <c r="L179" s="1"/>
      <c r="M179" s="1"/>
      <c r="N179" s="1"/>
      <c r="O179" s="1"/>
      <c r="P179" s="1"/>
      <c r="Q179" s="1"/>
      <c r="R179" s="1"/>
      <c r="S179" s="1"/>
      <c r="T179" s="1"/>
      <c r="U179" s="1"/>
      <c r="V179" s="1"/>
      <c r="W179" s="1"/>
      <c r="X179" s="1"/>
      <c r="Y179" s="1"/>
      <c r="Z179" s="1"/>
    </row>
    <row r="180" spans="1:26" ht="15">
      <c r="A180" s="2" t="s">
        <v>289</v>
      </c>
      <c r="B180" s="2" t="s">
        <v>335</v>
      </c>
      <c r="C180" s="22">
        <v>34.482758620689658</v>
      </c>
      <c r="D180" s="173">
        <f>IF(B180="","",IFERROR(VLOOKUP(B180,'ITEM LIST'!B:M,12,0)*C180,0))</f>
        <v>10.344827586206897</v>
      </c>
      <c r="E180" s="1">
        <f t="shared" si="5"/>
        <v>336.20862068965522</v>
      </c>
      <c r="F180" s="20"/>
      <c r="G180" s="1"/>
      <c r="H180" s="1"/>
      <c r="I180" s="1"/>
      <c r="J180" s="1"/>
      <c r="K180" s="1"/>
      <c r="L180" s="1"/>
      <c r="M180" s="1"/>
      <c r="N180" s="1"/>
      <c r="O180" s="1"/>
      <c r="P180" s="1"/>
      <c r="Q180" s="1"/>
      <c r="R180" s="1"/>
      <c r="S180" s="1"/>
      <c r="T180" s="1"/>
      <c r="U180" s="1"/>
      <c r="V180" s="1"/>
      <c r="W180" s="1"/>
      <c r="X180" s="1"/>
      <c r="Y180" s="1"/>
      <c r="Z180" s="1"/>
    </row>
    <row r="181" spans="1:26" ht="15">
      <c r="A181" s="2" t="s">
        <v>289</v>
      </c>
      <c r="B181" s="2" t="s">
        <v>52</v>
      </c>
      <c r="C181" s="22">
        <v>34.482758620689658</v>
      </c>
      <c r="D181" s="173">
        <f>IF(B181="","",IFERROR(VLOOKUP(B181,'ITEM LIST'!B:M,12,0)*C181,0))</f>
        <v>22.413793103448278</v>
      </c>
      <c r="E181" s="1">
        <f t="shared" si="5"/>
        <v>336.20862068965522</v>
      </c>
      <c r="F181" s="20"/>
      <c r="G181" s="1"/>
      <c r="H181" s="1"/>
      <c r="I181" s="1"/>
      <c r="J181" s="1"/>
      <c r="K181" s="1"/>
      <c r="L181" s="1"/>
      <c r="M181" s="1"/>
      <c r="N181" s="1"/>
      <c r="O181" s="1"/>
      <c r="P181" s="1"/>
      <c r="Q181" s="1"/>
      <c r="R181" s="1"/>
      <c r="S181" s="1"/>
      <c r="T181" s="1"/>
      <c r="U181" s="1"/>
      <c r="V181" s="1"/>
      <c r="W181" s="1"/>
      <c r="X181" s="1"/>
      <c r="Y181" s="1"/>
      <c r="Z181" s="1"/>
    </row>
    <row r="182" spans="1:26" ht="12.75">
      <c r="A182" s="1"/>
      <c r="B182" s="1" t="s">
        <v>371</v>
      </c>
      <c r="C182" s="21"/>
      <c r="D182" s="173" t="str">
        <f>IF(B182="","",IFERROR(VLOOKUP(B182,'ITEM LIST'!B:M,12,0)*C182,0))</f>
        <v/>
      </c>
      <c r="E182" s="1" t="str">
        <f t="shared" si="5"/>
        <v/>
      </c>
      <c r="F182" s="20"/>
      <c r="G182" s="1"/>
      <c r="H182" s="1"/>
      <c r="I182" s="1"/>
      <c r="J182" s="1"/>
      <c r="K182" s="1"/>
      <c r="L182" s="1"/>
      <c r="M182" s="1"/>
      <c r="N182" s="1"/>
      <c r="O182" s="1"/>
      <c r="P182" s="1"/>
      <c r="Q182" s="1"/>
      <c r="R182" s="1"/>
      <c r="S182" s="1"/>
      <c r="T182" s="1"/>
      <c r="U182" s="1"/>
      <c r="V182" s="1"/>
      <c r="W182" s="1"/>
      <c r="X182" s="1"/>
      <c r="Y182" s="1"/>
      <c r="Z182" s="1"/>
    </row>
    <row r="183" spans="1:26" ht="15">
      <c r="A183" s="1" t="s">
        <v>290</v>
      </c>
      <c r="B183" s="2" t="s">
        <v>19</v>
      </c>
      <c r="C183" s="2">
        <v>88.235294117647058</v>
      </c>
      <c r="D183" s="173">
        <f>IF(B183="","",IFERROR(VLOOKUP(B183,'ITEM LIST'!B:M,12,0)*C183,0))</f>
        <v>1.411764705882353</v>
      </c>
      <c r="E183" s="1">
        <f t="shared" si="5"/>
        <v>62.755294117647068</v>
      </c>
      <c r="F183" s="20"/>
      <c r="G183" s="1"/>
      <c r="H183" s="1"/>
      <c r="I183" s="1"/>
      <c r="J183" s="1"/>
      <c r="K183" s="1"/>
      <c r="L183" s="1"/>
      <c r="M183" s="1"/>
      <c r="N183" s="1"/>
      <c r="O183" s="1"/>
      <c r="P183" s="1"/>
      <c r="Q183" s="1"/>
      <c r="R183" s="1"/>
      <c r="S183" s="1"/>
      <c r="T183" s="1"/>
      <c r="U183" s="1"/>
      <c r="V183" s="1"/>
      <c r="W183" s="1"/>
      <c r="X183" s="1"/>
      <c r="Y183" s="1"/>
      <c r="Z183" s="1"/>
    </row>
    <row r="184" spans="1:26" ht="15">
      <c r="A184" s="1" t="s">
        <v>290</v>
      </c>
      <c r="B184" s="2" t="s">
        <v>422</v>
      </c>
      <c r="C184" s="5">
        <v>5.2941176470588234</v>
      </c>
      <c r="D184" s="173">
        <f>IF(B184="","",IFERROR(VLOOKUP(B184,'ITEM LIST'!B:M,12,0)*C184,0))</f>
        <v>0.37058823529411766</v>
      </c>
      <c r="E184" s="1">
        <f t="shared" si="5"/>
        <v>62.755294117647068</v>
      </c>
      <c r="F184" s="20"/>
      <c r="G184" s="1"/>
      <c r="H184" s="1"/>
      <c r="I184" s="1"/>
      <c r="J184" s="1"/>
      <c r="K184" s="1"/>
      <c r="L184" s="1"/>
      <c r="M184" s="1"/>
      <c r="N184" s="1"/>
      <c r="O184" s="1"/>
      <c r="P184" s="1"/>
      <c r="Q184" s="1"/>
      <c r="R184" s="1"/>
      <c r="S184" s="1"/>
      <c r="T184" s="1"/>
      <c r="U184" s="1"/>
      <c r="V184" s="1"/>
      <c r="W184" s="1"/>
      <c r="X184" s="1"/>
      <c r="Y184" s="1"/>
      <c r="Z184" s="1"/>
    </row>
    <row r="185" spans="1:26" ht="15">
      <c r="A185" s="1" t="s">
        <v>290</v>
      </c>
      <c r="B185" s="2" t="s">
        <v>380</v>
      </c>
      <c r="C185" s="7">
        <v>58.82352941176471</v>
      </c>
      <c r="D185" s="173">
        <f>IF(B185="","",IFERROR(VLOOKUP(B185,'ITEM LIST'!B:M,12,0)*C185,0))</f>
        <v>31.372352941176477</v>
      </c>
      <c r="E185" s="1">
        <f t="shared" si="5"/>
        <v>62.755294117647068</v>
      </c>
      <c r="F185" s="20"/>
      <c r="G185" s="1"/>
      <c r="H185" s="1"/>
      <c r="I185" s="1"/>
      <c r="J185" s="1"/>
      <c r="K185" s="1"/>
      <c r="L185" s="1"/>
      <c r="M185" s="1"/>
      <c r="N185" s="1"/>
      <c r="O185" s="1"/>
      <c r="P185" s="1"/>
      <c r="Q185" s="1"/>
      <c r="R185" s="1"/>
      <c r="S185" s="1"/>
      <c r="T185" s="1"/>
      <c r="U185" s="1"/>
      <c r="V185" s="1"/>
      <c r="W185" s="1"/>
      <c r="X185" s="1"/>
      <c r="Y185" s="1"/>
      <c r="Z185" s="1"/>
    </row>
    <row r="186" spans="1:26" ht="15">
      <c r="A186" s="1" t="s">
        <v>290</v>
      </c>
      <c r="B186" s="2" t="s">
        <v>332</v>
      </c>
      <c r="C186" s="2">
        <v>4.4117647058823533</v>
      </c>
      <c r="D186" s="173">
        <f>IF(B186="","",IFERROR(VLOOKUP(B186,'ITEM LIST'!B:M,12,0)*C186,0))</f>
        <v>1.5441176470588236</v>
      </c>
      <c r="E186" s="1">
        <f t="shared" si="5"/>
        <v>62.755294117647068</v>
      </c>
      <c r="F186" s="20"/>
      <c r="G186" s="1"/>
      <c r="H186" s="1"/>
      <c r="I186" s="1"/>
      <c r="J186" s="1"/>
      <c r="K186" s="1"/>
      <c r="L186" s="1"/>
      <c r="M186" s="1"/>
      <c r="N186" s="1"/>
      <c r="O186" s="1"/>
      <c r="P186" s="1"/>
      <c r="Q186" s="1"/>
      <c r="R186" s="1"/>
      <c r="S186" s="1"/>
      <c r="T186" s="1"/>
      <c r="U186" s="1"/>
      <c r="V186" s="1"/>
      <c r="W186" s="1"/>
      <c r="X186" s="1"/>
      <c r="Y186" s="1"/>
      <c r="Z186" s="1"/>
    </row>
    <row r="187" spans="1:26" ht="15">
      <c r="A187" s="1" t="s">
        <v>290</v>
      </c>
      <c r="B187" s="23" t="s">
        <v>336</v>
      </c>
      <c r="C187" s="2">
        <v>3.5294117647058822</v>
      </c>
      <c r="D187" s="173">
        <f>IF(B187="","",IFERROR(VLOOKUP(B187,'ITEM LIST'!B:M,12,0)*C187,0))</f>
        <v>0.93882352941176472</v>
      </c>
      <c r="E187" s="1">
        <f t="shared" si="5"/>
        <v>62.755294117647068</v>
      </c>
      <c r="F187" s="20"/>
      <c r="G187" s="1"/>
      <c r="H187" s="1"/>
      <c r="I187" s="1"/>
      <c r="J187" s="1"/>
      <c r="K187" s="1"/>
      <c r="L187" s="1"/>
      <c r="M187" s="1"/>
      <c r="N187" s="1"/>
      <c r="O187" s="1"/>
      <c r="P187" s="1"/>
      <c r="Q187" s="1"/>
      <c r="R187" s="1"/>
      <c r="S187" s="1"/>
      <c r="T187" s="1"/>
      <c r="U187" s="1"/>
      <c r="V187" s="1"/>
      <c r="W187" s="1"/>
      <c r="X187" s="1"/>
      <c r="Y187" s="1"/>
      <c r="Z187" s="1"/>
    </row>
    <row r="188" spans="1:26" ht="15">
      <c r="A188" s="1" t="s">
        <v>290</v>
      </c>
      <c r="B188" s="23" t="s">
        <v>9</v>
      </c>
      <c r="C188" s="2">
        <v>3.5294117647058822</v>
      </c>
      <c r="D188" s="173">
        <f>IF(B188="","",IFERROR(VLOOKUP(B188,'ITEM LIST'!B:M,12,0)*C188,0))</f>
        <v>0</v>
      </c>
      <c r="E188" s="1">
        <f t="shared" si="5"/>
        <v>62.755294117647068</v>
      </c>
      <c r="F188" s="20"/>
      <c r="G188" s="1"/>
      <c r="H188" s="1"/>
      <c r="I188" s="1"/>
      <c r="J188" s="1"/>
      <c r="K188" s="1"/>
      <c r="L188" s="1"/>
      <c r="M188" s="1"/>
      <c r="N188" s="1"/>
      <c r="O188" s="1"/>
      <c r="P188" s="1"/>
      <c r="Q188" s="1"/>
      <c r="R188" s="1"/>
      <c r="S188" s="1"/>
      <c r="T188" s="1"/>
      <c r="U188" s="1"/>
      <c r="V188" s="1"/>
      <c r="W188" s="1"/>
      <c r="X188" s="1"/>
      <c r="Y188" s="1"/>
      <c r="Z188" s="1"/>
    </row>
    <row r="189" spans="1:26" ht="15">
      <c r="A189" s="1" t="s">
        <v>290</v>
      </c>
      <c r="B189" s="23" t="s">
        <v>335</v>
      </c>
      <c r="C189" s="2">
        <v>3.5294117647058822</v>
      </c>
      <c r="D189" s="173">
        <f>IF(B189="","",IFERROR(VLOOKUP(B189,'ITEM LIST'!B:M,12,0)*C189,0))</f>
        <v>1.0588235294117647</v>
      </c>
      <c r="E189" s="1">
        <f t="shared" si="5"/>
        <v>62.755294117647068</v>
      </c>
      <c r="F189" s="20"/>
      <c r="G189" s="1"/>
      <c r="H189" s="1"/>
      <c r="I189" s="1"/>
      <c r="J189" s="1"/>
      <c r="K189" s="1"/>
      <c r="L189" s="1"/>
      <c r="M189" s="1"/>
      <c r="N189" s="1"/>
      <c r="O189" s="1"/>
      <c r="P189" s="1"/>
      <c r="Q189" s="1"/>
      <c r="R189" s="1"/>
      <c r="S189" s="1"/>
      <c r="T189" s="1"/>
      <c r="U189" s="1"/>
      <c r="V189" s="1"/>
      <c r="W189" s="1"/>
      <c r="X189" s="1"/>
      <c r="Y189" s="1"/>
      <c r="Z189" s="1"/>
    </row>
    <row r="190" spans="1:26" ht="22.5" customHeight="1">
      <c r="A190" s="1" t="s">
        <v>290</v>
      </c>
      <c r="B190" s="23" t="s">
        <v>140</v>
      </c>
      <c r="C190" s="7">
        <v>441.1764705882353</v>
      </c>
      <c r="D190" s="173">
        <f>IF(B190="","",IFERROR(VLOOKUP(B190,'ITEM LIST'!B:M,12,0)*C190,0))</f>
        <v>10.588235294117647</v>
      </c>
      <c r="E190" s="1">
        <f t="shared" si="5"/>
        <v>62.755294117647068</v>
      </c>
      <c r="F190" s="20"/>
      <c r="G190" s="1"/>
      <c r="H190" s="1"/>
      <c r="I190" s="1"/>
      <c r="J190" s="1"/>
      <c r="K190" s="1"/>
      <c r="L190" s="1"/>
      <c r="M190" s="1"/>
      <c r="N190" s="1"/>
      <c r="O190" s="1"/>
      <c r="P190" s="1"/>
      <c r="Q190" s="1"/>
      <c r="R190" s="1"/>
      <c r="S190" s="1"/>
      <c r="T190" s="1"/>
      <c r="U190" s="1"/>
      <c r="V190" s="1"/>
      <c r="W190" s="1"/>
      <c r="X190" s="1"/>
      <c r="Y190" s="1"/>
      <c r="Z190" s="1"/>
    </row>
    <row r="191" spans="1:26" ht="15">
      <c r="A191" s="1" t="s">
        <v>290</v>
      </c>
      <c r="B191" s="23" t="s">
        <v>101</v>
      </c>
      <c r="C191" s="7">
        <v>588.23529411764707</v>
      </c>
      <c r="D191" s="173">
        <f>IF(B191="","",IFERROR(VLOOKUP(B191,'ITEM LIST'!B:M,12,0)*C191,0))</f>
        <v>0</v>
      </c>
      <c r="E191" s="1">
        <f t="shared" si="5"/>
        <v>62.755294117647068</v>
      </c>
      <c r="F191" s="20"/>
      <c r="G191" s="1"/>
      <c r="H191" s="1"/>
      <c r="I191" s="1"/>
      <c r="J191" s="1"/>
      <c r="K191" s="1"/>
      <c r="L191" s="1"/>
      <c r="M191" s="1"/>
      <c r="N191" s="1"/>
      <c r="O191" s="1"/>
      <c r="P191" s="1"/>
      <c r="Q191" s="1"/>
      <c r="R191" s="1"/>
      <c r="S191" s="1"/>
      <c r="T191" s="1"/>
      <c r="U191" s="1"/>
      <c r="V191" s="1"/>
      <c r="W191" s="1"/>
      <c r="X191" s="1"/>
      <c r="Y191" s="1"/>
      <c r="Z191" s="1"/>
    </row>
    <row r="192" spans="1:26" ht="15">
      <c r="A192" s="1" t="s">
        <v>290</v>
      </c>
      <c r="B192" s="23" t="s">
        <v>340</v>
      </c>
      <c r="C192" s="7">
        <v>2.9411764705882355</v>
      </c>
      <c r="D192" s="173">
        <f>IF(B192="","",IFERROR(VLOOKUP(B192,'ITEM LIST'!B:M,12,0)*C192,0))</f>
        <v>14.705882352941178</v>
      </c>
      <c r="E192" s="1">
        <f t="shared" si="5"/>
        <v>62.755294117647068</v>
      </c>
      <c r="F192" s="20"/>
      <c r="G192" s="1"/>
      <c r="H192" s="1"/>
      <c r="I192" s="1"/>
      <c r="J192" s="1"/>
      <c r="K192" s="1"/>
      <c r="L192" s="1"/>
      <c r="M192" s="1"/>
      <c r="N192" s="1"/>
      <c r="O192" s="1"/>
      <c r="P192" s="1"/>
      <c r="Q192" s="1"/>
      <c r="R192" s="1"/>
      <c r="S192" s="1"/>
      <c r="T192" s="1"/>
      <c r="U192" s="1"/>
      <c r="V192" s="1"/>
      <c r="W192" s="1"/>
      <c r="X192" s="1"/>
      <c r="Y192" s="1"/>
      <c r="Z192" s="1"/>
    </row>
    <row r="193" spans="1:26" ht="15">
      <c r="A193" s="1" t="s">
        <v>290</v>
      </c>
      <c r="B193" s="2" t="s">
        <v>37</v>
      </c>
      <c r="C193" s="5">
        <v>1.7647058823529411</v>
      </c>
      <c r="D193" s="173">
        <f>IF(B193="","",IFERROR(VLOOKUP(B193,'ITEM LIST'!B:M,12,0)*C193,0))</f>
        <v>0.35294117647058826</v>
      </c>
      <c r="E193" s="1">
        <f t="shared" si="5"/>
        <v>62.755294117647068</v>
      </c>
      <c r="F193" s="20"/>
      <c r="G193" s="1"/>
      <c r="H193" s="1"/>
      <c r="I193" s="1"/>
      <c r="J193" s="1"/>
      <c r="K193" s="1"/>
      <c r="L193" s="1"/>
      <c r="M193" s="1"/>
      <c r="N193" s="1"/>
      <c r="O193" s="1"/>
      <c r="P193" s="1"/>
      <c r="Q193" s="1"/>
      <c r="R193" s="1"/>
      <c r="S193" s="1"/>
      <c r="T193" s="1"/>
      <c r="U193" s="1"/>
      <c r="V193" s="1"/>
      <c r="W193" s="1"/>
      <c r="X193" s="1"/>
      <c r="Y193" s="1"/>
      <c r="Z193" s="1"/>
    </row>
    <row r="194" spans="1:26" ht="15">
      <c r="A194" s="1" t="s">
        <v>290</v>
      </c>
      <c r="B194" s="2" t="s">
        <v>323</v>
      </c>
      <c r="C194" s="5">
        <v>11.764705882352942</v>
      </c>
      <c r="D194" s="173">
        <f>IF(B194="","",IFERROR(VLOOKUP(B194,'ITEM LIST'!B:M,12,0)*C194,0))</f>
        <v>0.41176470588235303</v>
      </c>
      <c r="E194" s="1">
        <f t="shared" ref="E194:E214" si="6">IF(A194="","", SUMIFS(D:D,A:A,A194))</f>
        <v>62.755294117647068</v>
      </c>
      <c r="F194" s="20"/>
      <c r="G194" s="1"/>
      <c r="H194" s="1"/>
      <c r="I194" s="1"/>
      <c r="J194" s="1"/>
      <c r="K194" s="1"/>
      <c r="L194" s="1"/>
      <c r="M194" s="1"/>
      <c r="N194" s="1"/>
      <c r="O194" s="1"/>
      <c r="P194" s="1"/>
      <c r="Q194" s="1"/>
      <c r="R194" s="1"/>
      <c r="S194" s="1"/>
      <c r="T194" s="1"/>
      <c r="U194" s="1"/>
      <c r="V194" s="1"/>
      <c r="W194" s="1"/>
      <c r="X194" s="1"/>
      <c r="Y194" s="1"/>
      <c r="Z194" s="1"/>
    </row>
    <row r="195" spans="1:26" ht="12.75">
      <c r="A195" s="1" t="s">
        <v>291</v>
      </c>
      <c r="B195" s="3" t="s">
        <v>674</v>
      </c>
      <c r="C195" s="24">
        <v>6</v>
      </c>
      <c r="D195" s="173">
        <f>IF(B195="","",IFERROR(VLOOKUP(B195,'ITEM LIST'!B:M,12,0)*C195,0))</f>
        <v>3.1980000000000004</v>
      </c>
      <c r="E195" s="1">
        <f t="shared" si="6"/>
        <v>10.4972075</v>
      </c>
      <c r="F195" s="20"/>
      <c r="G195" s="1"/>
      <c r="H195" s="1"/>
      <c r="I195" s="1"/>
      <c r="J195" s="1"/>
      <c r="K195" s="1"/>
      <c r="L195" s="1"/>
      <c r="M195" s="1"/>
      <c r="N195" s="1"/>
      <c r="O195" s="1"/>
      <c r="P195" s="1"/>
      <c r="Q195" s="1"/>
      <c r="R195" s="1"/>
      <c r="S195" s="1"/>
      <c r="T195" s="1"/>
      <c r="U195" s="1"/>
      <c r="V195" s="1"/>
      <c r="W195" s="1"/>
      <c r="X195" s="1"/>
      <c r="Y195" s="1"/>
      <c r="Z195" s="1"/>
    </row>
    <row r="196" spans="1:26" ht="12.75">
      <c r="A196" s="1" t="s">
        <v>291</v>
      </c>
      <c r="B196" s="1" t="s">
        <v>40</v>
      </c>
      <c r="C196" s="21">
        <v>40.625</v>
      </c>
      <c r="D196" s="173">
        <f>IF(B196="","",IFERROR(VLOOKUP(B196,'ITEM LIST'!B:M,12,0)*C196,0))</f>
        <v>1.3</v>
      </c>
      <c r="E196" s="1">
        <f t="shared" si="6"/>
        <v>10.4972075</v>
      </c>
      <c r="F196" s="20"/>
      <c r="G196" s="1"/>
      <c r="H196" s="1"/>
      <c r="I196" s="1"/>
      <c r="J196" s="1"/>
      <c r="K196" s="1"/>
      <c r="L196" s="1"/>
      <c r="M196" s="1"/>
      <c r="N196" s="1"/>
      <c r="O196" s="1"/>
      <c r="P196" s="1"/>
      <c r="Q196" s="1"/>
      <c r="R196" s="1"/>
      <c r="S196" s="1"/>
      <c r="T196" s="1"/>
      <c r="U196" s="1"/>
      <c r="V196" s="1"/>
      <c r="W196" s="1"/>
      <c r="X196" s="1"/>
      <c r="Y196" s="1"/>
      <c r="Z196" s="1"/>
    </row>
    <row r="197" spans="1:26" ht="12.75">
      <c r="A197" s="1" t="s">
        <v>291</v>
      </c>
      <c r="B197" s="1" t="s">
        <v>384</v>
      </c>
      <c r="C197" s="20">
        <v>32.5</v>
      </c>
      <c r="D197" s="173">
        <f>IF(B197="","",IFERROR(VLOOKUP(B197,'ITEM LIST'!B:M,12,0)*C197,0))</f>
        <v>1.1375000000000002</v>
      </c>
      <c r="E197" s="1">
        <f t="shared" si="6"/>
        <v>10.4972075</v>
      </c>
      <c r="F197" s="20"/>
      <c r="G197" s="1"/>
      <c r="H197" s="1"/>
      <c r="I197" s="1"/>
      <c r="J197" s="1"/>
      <c r="K197" s="1"/>
      <c r="L197" s="1"/>
      <c r="M197" s="1"/>
      <c r="N197" s="1"/>
      <c r="O197" s="1"/>
      <c r="P197" s="1"/>
      <c r="Q197" s="1"/>
      <c r="R197" s="1"/>
      <c r="S197" s="1"/>
      <c r="T197" s="1"/>
      <c r="U197" s="1"/>
      <c r="V197" s="1"/>
      <c r="W197" s="1"/>
      <c r="X197" s="1"/>
      <c r="Y197" s="1"/>
      <c r="Z197" s="1"/>
    </row>
    <row r="198" spans="1:26" ht="12.75">
      <c r="A198" s="1" t="s">
        <v>291</v>
      </c>
      <c r="B198" s="1" t="s">
        <v>501</v>
      </c>
      <c r="C198" s="21">
        <v>0.32500000000000001</v>
      </c>
      <c r="D198" s="173">
        <f>IF(B198="","",IFERROR(VLOOKUP(B198,'ITEM LIST'!B:M,12,0)*C198,0))</f>
        <v>0.10400000000000001</v>
      </c>
      <c r="E198" s="1">
        <f t="shared" si="6"/>
        <v>10.4972075</v>
      </c>
      <c r="F198" s="20"/>
      <c r="G198" s="1"/>
      <c r="H198" s="1"/>
      <c r="I198" s="1"/>
      <c r="J198" s="1"/>
      <c r="K198" s="1"/>
      <c r="L198" s="1"/>
      <c r="M198" s="1"/>
      <c r="N198" s="1"/>
      <c r="O198" s="1"/>
      <c r="P198" s="1"/>
      <c r="Q198" s="1"/>
      <c r="R198" s="1"/>
      <c r="S198" s="1"/>
      <c r="T198" s="1"/>
      <c r="U198" s="1"/>
      <c r="V198" s="1"/>
      <c r="W198" s="1"/>
      <c r="X198" s="1"/>
      <c r="Y198" s="1"/>
      <c r="Z198" s="1"/>
    </row>
    <row r="199" spans="1:26" ht="12.75">
      <c r="A199" s="1" t="s">
        <v>291</v>
      </c>
      <c r="B199" s="1" t="s">
        <v>355</v>
      </c>
      <c r="C199" s="21">
        <v>0.48750000000000004</v>
      </c>
      <c r="D199" s="173">
        <f>IF(B199="","",IFERROR(VLOOKUP(B199,'ITEM LIST'!B:M,12,0)*C199,0))</f>
        <v>7.8000000000000014E-2</v>
      </c>
      <c r="E199" s="1">
        <f t="shared" si="6"/>
        <v>10.4972075</v>
      </c>
      <c r="F199" s="20"/>
      <c r="G199" s="1"/>
      <c r="H199" s="1"/>
      <c r="I199" s="1"/>
      <c r="J199" s="1"/>
      <c r="K199" s="1"/>
      <c r="L199" s="1"/>
      <c r="M199" s="1"/>
      <c r="N199" s="1"/>
      <c r="O199" s="1"/>
      <c r="P199" s="1"/>
      <c r="Q199" s="1"/>
      <c r="R199" s="1"/>
      <c r="S199" s="1"/>
      <c r="T199" s="1"/>
      <c r="U199" s="1"/>
      <c r="V199" s="1"/>
      <c r="W199" s="1"/>
      <c r="X199" s="1"/>
      <c r="Y199" s="1"/>
      <c r="Z199" s="1"/>
    </row>
    <row r="200" spans="1:26" ht="12.75">
      <c r="A200" s="1" t="s">
        <v>291</v>
      </c>
      <c r="B200" s="1" t="s">
        <v>114</v>
      </c>
      <c r="C200" s="21">
        <v>0.203125</v>
      </c>
      <c r="D200" s="173">
        <f>IF(B200="","",IFERROR(VLOOKUP(B200,'ITEM LIST'!B:M,12,0)*C200,0))</f>
        <v>5.6874999999999998E-3</v>
      </c>
      <c r="E200" s="1">
        <f t="shared" si="6"/>
        <v>10.4972075</v>
      </c>
      <c r="F200" s="20"/>
      <c r="G200" s="1"/>
      <c r="H200" s="1"/>
      <c r="I200" s="1"/>
      <c r="J200" s="1"/>
      <c r="K200" s="1"/>
      <c r="L200" s="1"/>
      <c r="M200" s="1"/>
      <c r="N200" s="1"/>
      <c r="O200" s="1"/>
      <c r="P200" s="1"/>
      <c r="Q200" s="1"/>
      <c r="R200" s="1"/>
      <c r="S200" s="1"/>
      <c r="T200" s="1"/>
      <c r="U200" s="1"/>
      <c r="V200" s="1"/>
      <c r="W200" s="1"/>
      <c r="X200" s="1"/>
      <c r="Y200" s="1"/>
      <c r="Z200" s="1"/>
    </row>
    <row r="201" spans="1:26" ht="12.75">
      <c r="A201" s="1" t="s">
        <v>291</v>
      </c>
      <c r="B201" s="1" t="s">
        <v>511</v>
      </c>
      <c r="C201" s="21">
        <v>0.203125</v>
      </c>
      <c r="D201" s="173">
        <f>IF(B201="","",IFERROR(VLOOKUP(B201,'ITEM LIST'!B:M,12,0)*C201,0))</f>
        <v>8.1250000000000003E-3</v>
      </c>
      <c r="E201" s="1">
        <f t="shared" si="6"/>
        <v>10.4972075</v>
      </c>
      <c r="F201" s="20"/>
      <c r="G201" s="1"/>
      <c r="H201" s="1"/>
      <c r="I201" s="1"/>
      <c r="J201" s="1"/>
      <c r="K201" s="1"/>
      <c r="L201" s="1"/>
      <c r="M201" s="1"/>
      <c r="N201" s="1"/>
      <c r="O201" s="1"/>
      <c r="P201" s="1"/>
      <c r="Q201" s="1"/>
      <c r="R201" s="1"/>
      <c r="S201" s="1"/>
      <c r="T201" s="1"/>
      <c r="U201" s="1"/>
      <c r="V201" s="1"/>
      <c r="W201" s="1"/>
      <c r="X201" s="1"/>
      <c r="Y201" s="1"/>
      <c r="Z201" s="1"/>
    </row>
    <row r="202" spans="1:26" ht="12.75">
      <c r="A202" s="1" t="s">
        <v>291</v>
      </c>
      <c r="B202" s="1" t="s">
        <v>380</v>
      </c>
      <c r="C202" s="21">
        <v>6.5</v>
      </c>
      <c r="D202" s="173">
        <f>IF(B202="","",IFERROR(VLOOKUP(B202,'ITEM LIST'!B:M,12,0)*C202,0))</f>
        <v>3.4666450000000006</v>
      </c>
      <c r="E202" s="1">
        <f t="shared" si="6"/>
        <v>10.4972075</v>
      </c>
      <c r="F202" s="20"/>
      <c r="G202" s="1"/>
      <c r="H202" s="1"/>
      <c r="I202" s="1"/>
      <c r="J202" s="1"/>
      <c r="K202" s="1"/>
      <c r="L202" s="1"/>
      <c r="M202" s="1"/>
      <c r="N202" s="1"/>
      <c r="O202" s="1"/>
      <c r="P202" s="1"/>
      <c r="Q202" s="1"/>
      <c r="R202" s="1"/>
      <c r="S202" s="1"/>
      <c r="T202" s="1"/>
      <c r="U202" s="1"/>
      <c r="V202" s="1"/>
      <c r="W202" s="1"/>
      <c r="X202" s="1"/>
      <c r="Y202" s="1"/>
      <c r="Z202" s="1"/>
    </row>
    <row r="203" spans="1:26" ht="12.75">
      <c r="A203" s="1" t="s">
        <v>291</v>
      </c>
      <c r="B203" s="1" t="s">
        <v>661</v>
      </c>
      <c r="C203" s="21">
        <v>9.1</v>
      </c>
      <c r="D203" s="173">
        <f>IF(B203="","",IFERROR(VLOOKUP(B203,'ITEM LIST'!B:M,12,0)*C203,0))</f>
        <v>1.1992499999999999</v>
      </c>
      <c r="E203" s="1">
        <f t="shared" si="6"/>
        <v>10.4972075</v>
      </c>
      <c r="F203" s="20"/>
      <c r="G203" s="1"/>
      <c r="H203" s="1"/>
      <c r="I203" s="1"/>
      <c r="J203" s="1"/>
      <c r="K203" s="1"/>
      <c r="L203" s="1"/>
      <c r="M203" s="1"/>
      <c r="N203" s="1"/>
      <c r="O203" s="1"/>
      <c r="P203" s="1"/>
      <c r="Q203" s="1"/>
      <c r="R203" s="1"/>
      <c r="S203" s="1"/>
      <c r="T203" s="1"/>
      <c r="U203" s="1"/>
      <c r="V203" s="1"/>
      <c r="W203" s="1"/>
      <c r="X203" s="1"/>
      <c r="Y203" s="1"/>
      <c r="Z203" s="1"/>
    </row>
    <row r="204" spans="1:26" ht="15">
      <c r="A204" s="2" t="s">
        <v>63</v>
      </c>
      <c r="B204" s="2" t="s">
        <v>421</v>
      </c>
      <c r="C204" s="7">
        <v>2000</v>
      </c>
      <c r="D204" s="173">
        <f>IF(B204="","",IFERROR(VLOOKUP(B204,'ITEM LIST'!B:M,12,0)*C204,0))</f>
        <v>108</v>
      </c>
      <c r="E204" s="1">
        <f t="shared" si="6"/>
        <v>289.55</v>
      </c>
      <c r="F204" s="20"/>
      <c r="G204" s="1"/>
      <c r="H204" s="1"/>
      <c r="I204" s="1"/>
      <c r="J204" s="1"/>
      <c r="K204" s="1"/>
      <c r="L204" s="1"/>
      <c r="M204" s="1"/>
      <c r="N204" s="1"/>
      <c r="O204" s="1"/>
      <c r="P204" s="1"/>
      <c r="Q204" s="1"/>
      <c r="R204" s="1"/>
      <c r="S204" s="1"/>
      <c r="T204" s="1"/>
      <c r="U204" s="1"/>
      <c r="V204" s="1"/>
      <c r="W204" s="1"/>
      <c r="X204" s="1"/>
      <c r="Y204" s="1"/>
      <c r="Z204" s="1"/>
    </row>
    <row r="205" spans="1:26" ht="15">
      <c r="A205" s="2" t="s">
        <v>63</v>
      </c>
      <c r="B205" s="2" t="s">
        <v>382</v>
      </c>
      <c r="C205" s="7">
        <v>200</v>
      </c>
      <c r="D205" s="173">
        <f>IF(B205="","",IFERROR(VLOOKUP(B205,'ITEM LIST'!B:M,12,0)*C205,0))</f>
        <v>8</v>
      </c>
      <c r="E205" s="1">
        <f t="shared" si="6"/>
        <v>289.55</v>
      </c>
      <c r="F205" s="20"/>
      <c r="G205" s="1"/>
      <c r="H205" s="1"/>
      <c r="I205" s="1"/>
      <c r="J205" s="1"/>
      <c r="K205" s="1"/>
      <c r="L205" s="1"/>
      <c r="M205" s="1"/>
      <c r="N205" s="1"/>
      <c r="O205" s="1"/>
      <c r="P205" s="1"/>
      <c r="Q205" s="1"/>
      <c r="R205" s="1"/>
      <c r="S205" s="1"/>
      <c r="T205" s="1"/>
      <c r="U205" s="1"/>
      <c r="V205" s="1"/>
      <c r="W205" s="1"/>
      <c r="X205" s="1"/>
      <c r="Y205" s="1"/>
      <c r="Z205" s="1"/>
    </row>
    <row r="206" spans="1:26" ht="15">
      <c r="A206" s="2" t="s">
        <v>63</v>
      </c>
      <c r="B206" s="2" t="s">
        <v>500</v>
      </c>
      <c r="C206" s="7">
        <v>40</v>
      </c>
      <c r="D206" s="173">
        <f>IF(B206="","",IFERROR(VLOOKUP(B206,'ITEM LIST'!B:M,12,0)*C206,0))</f>
        <v>3.2</v>
      </c>
      <c r="E206" s="1">
        <f t="shared" si="6"/>
        <v>289.55</v>
      </c>
      <c r="F206" s="20"/>
      <c r="G206" s="1"/>
      <c r="H206" s="1"/>
      <c r="I206" s="1"/>
      <c r="J206" s="1"/>
      <c r="K206" s="1"/>
      <c r="L206" s="1"/>
      <c r="M206" s="1"/>
      <c r="N206" s="1"/>
      <c r="O206" s="1"/>
      <c r="P206" s="1"/>
      <c r="Q206" s="1"/>
      <c r="R206" s="1"/>
      <c r="S206" s="1"/>
      <c r="T206" s="1"/>
      <c r="U206" s="1"/>
      <c r="V206" s="1"/>
      <c r="W206" s="1"/>
      <c r="X206" s="1"/>
      <c r="Y206" s="1"/>
      <c r="Z206" s="1"/>
    </row>
    <row r="207" spans="1:26" ht="15">
      <c r="A207" s="2" t="s">
        <v>63</v>
      </c>
      <c r="B207" s="2" t="s">
        <v>0</v>
      </c>
      <c r="C207" s="7">
        <v>30</v>
      </c>
      <c r="D207" s="173">
        <f>IF(B207="","",IFERROR(VLOOKUP(B207,'ITEM LIST'!B:M,12,0)*C207,0))</f>
        <v>26.1</v>
      </c>
      <c r="E207" s="1">
        <f t="shared" si="6"/>
        <v>289.55</v>
      </c>
      <c r="F207" s="20"/>
      <c r="G207" s="1"/>
      <c r="H207" s="1"/>
      <c r="I207" s="1"/>
      <c r="J207" s="1"/>
      <c r="K207" s="1"/>
      <c r="L207" s="1"/>
      <c r="M207" s="1"/>
      <c r="N207" s="1"/>
      <c r="O207" s="1"/>
      <c r="P207" s="1"/>
      <c r="Q207" s="1"/>
      <c r="R207" s="1"/>
      <c r="S207" s="1"/>
      <c r="T207" s="1"/>
      <c r="U207" s="1"/>
      <c r="V207" s="1"/>
      <c r="W207" s="1"/>
      <c r="X207" s="1"/>
      <c r="Y207" s="1"/>
      <c r="Z207" s="1"/>
    </row>
    <row r="208" spans="1:26" ht="15">
      <c r="A208" s="2" t="s">
        <v>63</v>
      </c>
      <c r="B208" s="2" t="s">
        <v>103</v>
      </c>
      <c r="C208" s="7">
        <v>30</v>
      </c>
      <c r="D208" s="173">
        <f>IF(B208="","",IFERROR(VLOOKUP(B208,'ITEM LIST'!B:M,12,0)*C208,0))</f>
        <v>54</v>
      </c>
      <c r="E208" s="1">
        <f t="shared" si="6"/>
        <v>289.55</v>
      </c>
      <c r="F208" s="20"/>
      <c r="G208" s="1"/>
      <c r="H208" s="1"/>
      <c r="I208" s="1"/>
      <c r="J208" s="1"/>
      <c r="K208" s="1"/>
      <c r="L208" s="1"/>
      <c r="M208" s="1"/>
      <c r="N208" s="1"/>
      <c r="O208" s="1"/>
      <c r="P208" s="1"/>
      <c r="Q208" s="1"/>
      <c r="R208" s="1"/>
      <c r="S208" s="1"/>
      <c r="T208" s="1"/>
      <c r="U208" s="1"/>
      <c r="V208" s="1"/>
      <c r="W208" s="1"/>
      <c r="X208" s="1"/>
      <c r="Y208" s="1"/>
      <c r="Z208" s="1"/>
    </row>
    <row r="209" spans="1:26" ht="15">
      <c r="A209" s="2" t="s">
        <v>63</v>
      </c>
      <c r="B209" s="2" t="s">
        <v>411</v>
      </c>
      <c r="C209" s="7">
        <v>0.25</v>
      </c>
      <c r="D209" s="173">
        <f>IF(B209="","",IFERROR(VLOOKUP(B209,'ITEM LIST'!B:M,12,0)*C209,0))</f>
        <v>26.25</v>
      </c>
      <c r="E209" s="1">
        <f t="shared" si="6"/>
        <v>289.55</v>
      </c>
      <c r="F209" s="20"/>
      <c r="G209" s="1"/>
      <c r="H209" s="1"/>
      <c r="I209" s="1"/>
      <c r="J209" s="1"/>
      <c r="K209" s="1"/>
      <c r="L209" s="1"/>
      <c r="M209" s="1"/>
      <c r="N209" s="1"/>
      <c r="O209" s="1"/>
      <c r="P209" s="1"/>
      <c r="Q209" s="1"/>
      <c r="R209" s="1"/>
      <c r="S209" s="1"/>
      <c r="T209" s="1"/>
      <c r="U209" s="1"/>
      <c r="V209" s="1"/>
      <c r="W209" s="1"/>
      <c r="X209" s="1"/>
      <c r="Y209" s="1"/>
      <c r="Z209" s="1"/>
    </row>
    <row r="210" spans="1:26" ht="15">
      <c r="A210" s="2" t="s">
        <v>63</v>
      </c>
      <c r="B210" s="2" t="s">
        <v>352</v>
      </c>
      <c r="C210" s="7">
        <v>40</v>
      </c>
      <c r="D210" s="173">
        <f>IF(B210="","",IFERROR(VLOOKUP(B210,'ITEM LIST'!B:M,12,0)*C210,0))</f>
        <v>64</v>
      </c>
      <c r="E210" s="1">
        <f t="shared" si="6"/>
        <v>289.55</v>
      </c>
      <c r="F210" s="20"/>
      <c r="G210" s="1"/>
      <c r="H210" s="1"/>
      <c r="I210" s="1"/>
      <c r="J210" s="1"/>
      <c r="K210" s="1"/>
      <c r="L210" s="1"/>
      <c r="M210" s="1"/>
      <c r="N210" s="1"/>
      <c r="O210" s="1"/>
      <c r="P210" s="1"/>
      <c r="Q210" s="1"/>
      <c r="R210" s="1"/>
      <c r="S210" s="1"/>
      <c r="T210" s="1"/>
      <c r="U210" s="1"/>
      <c r="V210" s="1"/>
      <c r="W210" s="1"/>
      <c r="X210" s="1"/>
      <c r="Y210" s="1"/>
      <c r="Z210" s="1"/>
    </row>
    <row r="211" spans="1:26" ht="12.75">
      <c r="A211" s="1"/>
      <c r="B211" s="1" t="s">
        <v>371</v>
      </c>
      <c r="C211" s="21"/>
      <c r="D211" s="1"/>
      <c r="E211" s="1" t="str">
        <f t="shared" si="6"/>
        <v/>
      </c>
      <c r="F211" s="20"/>
      <c r="G211" s="1"/>
      <c r="H211" s="1"/>
      <c r="I211" s="1"/>
      <c r="J211" s="1"/>
      <c r="K211" s="1"/>
      <c r="L211" s="1"/>
      <c r="M211" s="1"/>
      <c r="N211" s="1"/>
      <c r="O211" s="1"/>
      <c r="P211" s="1"/>
      <c r="Q211" s="1"/>
      <c r="R211" s="1"/>
      <c r="S211" s="1"/>
      <c r="T211" s="1"/>
      <c r="U211" s="1"/>
      <c r="V211" s="1"/>
      <c r="W211" s="1"/>
      <c r="X211" s="1"/>
      <c r="Y211" s="1"/>
      <c r="Z211" s="1"/>
    </row>
    <row r="212" spans="1:26" ht="12.75">
      <c r="A212" s="1"/>
      <c r="B212" s="1" t="s">
        <v>371</v>
      </c>
      <c r="C212" s="21"/>
      <c r="D212" s="1"/>
      <c r="E212" s="1" t="str">
        <f t="shared" si="6"/>
        <v/>
      </c>
      <c r="F212" s="20"/>
      <c r="G212" s="1"/>
      <c r="H212" s="1"/>
      <c r="I212" s="1"/>
      <c r="J212" s="1"/>
      <c r="K212" s="1"/>
      <c r="L212" s="1"/>
      <c r="M212" s="1"/>
      <c r="N212" s="1"/>
      <c r="O212" s="1"/>
      <c r="P212" s="1"/>
      <c r="Q212" s="1"/>
      <c r="R212" s="1"/>
      <c r="S212" s="1"/>
      <c r="T212" s="1"/>
      <c r="U212" s="1"/>
      <c r="V212" s="1"/>
      <c r="W212" s="1"/>
      <c r="X212" s="1"/>
      <c r="Y212" s="1"/>
      <c r="Z212" s="1"/>
    </row>
    <row r="213" spans="1:26" ht="15">
      <c r="A213" s="2" t="s">
        <v>301</v>
      </c>
      <c r="B213" s="2" t="s">
        <v>385</v>
      </c>
      <c r="C213" s="7">
        <v>800</v>
      </c>
      <c r="D213" s="173">
        <f>IF(B213="","",IFERROR(VLOOKUP(B213,'ITEM LIST'!B:M,12,0)*C213,0))</f>
        <v>48</v>
      </c>
      <c r="E213" s="1">
        <f t="shared" si="6"/>
        <v>48</v>
      </c>
      <c r="F213" s="20"/>
      <c r="G213" s="1"/>
      <c r="H213" s="1"/>
      <c r="I213" s="1"/>
      <c r="J213" s="1"/>
      <c r="K213" s="1"/>
      <c r="L213" s="1"/>
      <c r="M213" s="1"/>
      <c r="N213" s="1"/>
      <c r="O213" s="1"/>
      <c r="P213" s="1"/>
      <c r="Q213" s="1"/>
      <c r="R213" s="1"/>
      <c r="S213" s="1"/>
      <c r="T213" s="1"/>
      <c r="U213" s="1"/>
      <c r="V213" s="1"/>
      <c r="W213" s="1"/>
      <c r="X213" s="1"/>
      <c r="Y213" s="1"/>
      <c r="Z213" s="1"/>
    </row>
    <row r="214" spans="1:26" ht="15">
      <c r="A214" s="2" t="s">
        <v>301</v>
      </c>
      <c r="B214" s="2" t="s">
        <v>101</v>
      </c>
      <c r="C214" s="7">
        <v>3200</v>
      </c>
      <c r="D214" s="173">
        <f>IF(B214="","",IFERROR(VLOOKUP(B214,'ITEM LIST'!B:M,12,0)*C214,0))</f>
        <v>0</v>
      </c>
      <c r="E214" s="1">
        <f t="shared" si="6"/>
        <v>48</v>
      </c>
      <c r="F214" s="20"/>
      <c r="G214" s="1"/>
      <c r="H214" s="1"/>
      <c r="I214" s="1"/>
      <c r="J214" s="1"/>
      <c r="K214" s="1"/>
      <c r="L214" s="1"/>
      <c r="M214" s="1"/>
      <c r="N214" s="1"/>
      <c r="O214" s="1"/>
      <c r="P214" s="1"/>
      <c r="Q214" s="1"/>
      <c r="R214" s="1"/>
      <c r="S214" s="1"/>
      <c r="T214" s="1"/>
      <c r="U214" s="1"/>
      <c r="V214" s="1"/>
      <c r="W214" s="1"/>
      <c r="X214" s="1"/>
      <c r="Y214" s="1"/>
      <c r="Z214" s="1"/>
    </row>
    <row r="215" spans="1:26" ht="12.75">
      <c r="A215" s="1"/>
      <c r="B215" s="1" t="s">
        <v>371</v>
      </c>
      <c r="C215" s="21"/>
      <c r="D215" s="173" t="str">
        <f>IF(B215="","",IFERROR(VLOOKUP(B215,'ITEM LIST'!B:M,12,0)*C215,0))</f>
        <v/>
      </c>
      <c r="E215" s="1"/>
      <c r="F215" s="20"/>
      <c r="G215" s="1"/>
      <c r="H215" s="1"/>
      <c r="I215" s="1"/>
      <c r="J215" s="1"/>
      <c r="K215" s="1"/>
      <c r="L215" s="1"/>
      <c r="M215" s="1"/>
      <c r="N215" s="1"/>
      <c r="O215" s="1"/>
      <c r="P215" s="1"/>
      <c r="Q215" s="1"/>
      <c r="R215" s="1"/>
      <c r="S215" s="1"/>
      <c r="T215" s="1"/>
      <c r="U215" s="1"/>
      <c r="V215" s="1"/>
      <c r="W215" s="1"/>
      <c r="X215" s="1"/>
      <c r="Y215" s="1"/>
      <c r="Z215" s="1"/>
    </row>
    <row r="216" spans="1:26" ht="15">
      <c r="A216" s="2" t="s">
        <v>574</v>
      </c>
      <c r="B216" s="2" t="s">
        <v>385</v>
      </c>
      <c r="C216" s="2">
        <v>500</v>
      </c>
      <c r="D216" s="173">
        <f>IF(B216="","",IFERROR(VLOOKUP(B216,'ITEM LIST'!B:M,12,0)*C216,0))</f>
        <v>30</v>
      </c>
      <c r="E216" s="1">
        <f t="shared" ref="E216:E247" si="7">IF(A216="","", SUMIFS(D:D,A:A,A216))</f>
        <v>71.650000000000006</v>
      </c>
      <c r="F216" s="20"/>
      <c r="G216" s="1"/>
      <c r="H216" s="1"/>
      <c r="I216" s="1"/>
      <c r="J216" s="1"/>
      <c r="K216" s="1"/>
      <c r="L216" s="1"/>
      <c r="M216" s="1"/>
      <c r="N216" s="1"/>
      <c r="O216" s="1"/>
      <c r="P216" s="1"/>
      <c r="Q216" s="1"/>
      <c r="R216" s="1"/>
      <c r="S216" s="1"/>
      <c r="T216" s="1"/>
      <c r="U216" s="1"/>
      <c r="V216" s="1"/>
      <c r="W216" s="1"/>
      <c r="X216" s="1"/>
      <c r="Y216" s="1"/>
      <c r="Z216" s="1"/>
    </row>
    <row r="217" spans="1:26" ht="15">
      <c r="A217" s="2" t="s">
        <v>574</v>
      </c>
      <c r="B217" s="2" t="s">
        <v>101</v>
      </c>
      <c r="C217" s="2">
        <v>2000</v>
      </c>
      <c r="D217" s="173">
        <f>IF(B217="","",IFERROR(VLOOKUP(B217,'ITEM LIST'!B:M,12,0)*C217,0))</f>
        <v>0</v>
      </c>
      <c r="E217" s="1">
        <f t="shared" si="7"/>
        <v>71.650000000000006</v>
      </c>
      <c r="F217" s="20"/>
      <c r="G217" s="1"/>
      <c r="H217" s="1"/>
      <c r="I217" s="1"/>
      <c r="J217" s="1"/>
      <c r="K217" s="1"/>
      <c r="L217" s="1"/>
      <c r="M217" s="1"/>
      <c r="N217" s="1"/>
      <c r="O217" s="1"/>
      <c r="P217" s="1"/>
      <c r="Q217" s="1"/>
      <c r="R217" s="1"/>
      <c r="S217" s="1"/>
      <c r="T217" s="1"/>
      <c r="U217" s="1"/>
      <c r="V217" s="1"/>
      <c r="W217" s="1"/>
      <c r="X217" s="1"/>
      <c r="Y217" s="1"/>
      <c r="Z217" s="1"/>
    </row>
    <row r="218" spans="1:26" ht="15">
      <c r="A218" s="2" t="s">
        <v>574</v>
      </c>
      <c r="B218" s="2" t="s">
        <v>382</v>
      </c>
      <c r="C218" s="2">
        <v>1000</v>
      </c>
      <c r="D218" s="173">
        <f>IF(B218="","",IFERROR(VLOOKUP(B218,'ITEM LIST'!B:M,12,0)*C218,0))</f>
        <v>40</v>
      </c>
      <c r="E218" s="1">
        <f t="shared" si="7"/>
        <v>71.650000000000006</v>
      </c>
      <c r="F218" s="20"/>
      <c r="G218" s="1"/>
      <c r="H218" s="1"/>
      <c r="I218" s="1"/>
      <c r="J218" s="1"/>
      <c r="K218" s="1"/>
      <c r="L218" s="1"/>
      <c r="M218" s="1"/>
      <c r="N218" s="1"/>
      <c r="O218" s="1"/>
      <c r="P218" s="1"/>
      <c r="Q218" s="1"/>
      <c r="R218" s="1"/>
      <c r="S218" s="1"/>
      <c r="T218" s="1"/>
      <c r="U218" s="1"/>
      <c r="V218" s="1"/>
      <c r="W218" s="1"/>
      <c r="X218" s="1"/>
      <c r="Y218" s="1"/>
      <c r="Z218" s="1"/>
    </row>
    <row r="219" spans="1:26" ht="15">
      <c r="A219" s="2" t="s">
        <v>574</v>
      </c>
      <c r="B219" s="2" t="s">
        <v>370</v>
      </c>
      <c r="C219" s="2">
        <v>2.5</v>
      </c>
      <c r="D219" s="173">
        <f>IF(B219="","",IFERROR(VLOOKUP(B219,'ITEM LIST'!B:M,12,0)*C219,0))</f>
        <v>1.6500000000000001</v>
      </c>
      <c r="E219" s="1">
        <f t="shared" si="7"/>
        <v>71.650000000000006</v>
      </c>
      <c r="F219" s="20"/>
      <c r="G219" s="1"/>
      <c r="H219" s="1"/>
      <c r="I219" s="1"/>
      <c r="J219" s="1"/>
      <c r="K219" s="1"/>
      <c r="L219" s="1"/>
      <c r="M219" s="1"/>
      <c r="N219" s="1"/>
      <c r="O219" s="1"/>
      <c r="P219" s="1"/>
      <c r="Q219" s="1"/>
      <c r="R219" s="1"/>
      <c r="S219" s="1"/>
      <c r="T219" s="1"/>
      <c r="U219" s="1"/>
      <c r="V219" s="1"/>
      <c r="W219" s="1"/>
      <c r="X219" s="1"/>
      <c r="Y219" s="1"/>
      <c r="Z219" s="1"/>
    </row>
    <row r="220" spans="1:26" ht="15">
      <c r="A220" s="2"/>
      <c r="B220" s="2" t="s">
        <v>371</v>
      </c>
      <c r="C220" s="2"/>
      <c r="D220" s="173" t="str">
        <f>IF(B220="","",IFERROR(VLOOKUP(B220,'ITEM LIST'!B:M,12,0)*C220,0))</f>
        <v/>
      </c>
      <c r="E220" s="1" t="str">
        <f t="shared" si="7"/>
        <v/>
      </c>
      <c r="F220" s="20"/>
      <c r="G220" s="1"/>
      <c r="H220" s="1"/>
      <c r="I220" s="1"/>
      <c r="J220" s="1"/>
      <c r="K220" s="1"/>
      <c r="L220" s="1"/>
      <c r="M220" s="1"/>
      <c r="N220" s="1"/>
      <c r="O220" s="1"/>
      <c r="P220" s="1"/>
      <c r="Q220" s="1"/>
      <c r="R220" s="1"/>
      <c r="S220" s="1"/>
      <c r="T220" s="1"/>
      <c r="U220" s="1"/>
      <c r="V220" s="1"/>
      <c r="W220" s="1"/>
      <c r="X220" s="1"/>
      <c r="Y220" s="1"/>
      <c r="Z220" s="1"/>
    </row>
    <row r="221" spans="1:26" ht="12.75">
      <c r="A221" s="1" t="s">
        <v>38</v>
      </c>
      <c r="B221" s="1" t="s">
        <v>394</v>
      </c>
      <c r="C221" s="21">
        <v>45.833333333333336</v>
      </c>
      <c r="D221" s="173">
        <f>IF(B221="","",IFERROR(VLOOKUP(B221,'ITEM LIST'!B:M,12,0)*C221,0))</f>
        <v>6.4166666666666679</v>
      </c>
      <c r="E221" s="1">
        <f t="shared" si="7"/>
        <v>164.89916666666667</v>
      </c>
      <c r="F221" s="20"/>
      <c r="G221" s="1"/>
      <c r="H221" s="1"/>
      <c r="I221" s="1"/>
      <c r="J221" s="1"/>
      <c r="K221" s="1"/>
      <c r="L221" s="1"/>
      <c r="M221" s="1"/>
      <c r="N221" s="1"/>
      <c r="O221" s="1"/>
      <c r="P221" s="1"/>
      <c r="Q221" s="1"/>
      <c r="R221" s="1"/>
      <c r="S221" s="1"/>
      <c r="T221" s="1"/>
      <c r="U221" s="1"/>
      <c r="V221" s="1"/>
      <c r="W221" s="1"/>
      <c r="X221" s="1"/>
      <c r="Y221" s="1"/>
      <c r="Z221" s="1"/>
    </row>
    <row r="222" spans="1:26" ht="12.75">
      <c r="A222" s="1" t="s">
        <v>38</v>
      </c>
      <c r="B222" s="1" t="s">
        <v>392</v>
      </c>
      <c r="C222" s="21">
        <v>36.666666666666671</v>
      </c>
      <c r="D222" s="173">
        <f>IF(B222="","",IFERROR(VLOOKUP(B222,'ITEM LIST'!B:M,12,0)*C222,0))</f>
        <v>2.3833333333333337</v>
      </c>
      <c r="E222" s="1">
        <f t="shared" si="7"/>
        <v>164.89916666666667</v>
      </c>
      <c r="F222" s="20"/>
      <c r="G222" s="1"/>
      <c r="H222" s="1"/>
      <c r="I222" s="1"/>
      <c r="J222" s="1"/>
      <c r="K222" s="1"/>
      <c r="L222" s="1"/>
      <c r="M222" s="1"/>
      <c r="N222" s="1"/>
      <c r="O222" s="1"/>
      <c r="P222" s="1"/>
      <c r="Q222" s="1"/>
      <c r="R222" s="1"/>
      <c r="S222" s="1"/>
      <c r="T222" s="1"/>
      <c r="U222" s="1"/>
      <c r="V222" s="1"/>
      <c r="W222" s="1"/>
      <c r="X222" s="1"/>
      <c r="Y222" s="1"/>
      <c r="Z222" s="1"/>
    </row>
    <row r="223" spans="1:26" ht="12.75">
      <c r="A223" s="1" t="s">
        <v>38</v>
      </c>
      <c r="B223" s="1" t="s">
        <v>397</v>
      </c>
      <c r="C223" s="21">
        <v>275</v>
      </c>
      <c r="D223" s="173">
        <f>IF(B223="","",IFERROR(VLOOKUP(B223,'ITEM LIST'!B:M,12,0)*C223,0))</f>
        <v>24.75</v>
      </c>
      <c r="E223" s="1">
        <f t="shared" si="7"/>
        <v>164.89916666666667</v>
      </c>
      <c r="F223" s="20"/>
      <c r="G223" s="1"/>
      <c r="H223" s="1"/>
      <c r="I223" s="1"/>
      <c r="J223" s="1"/>
      <c r="K223" s="1"/>
      <c r="L223" s="1"/>
      <c r="M223" s="1"/>
      <c r="N223" s="1"/>
      <c r="O223" s="1"/>
      <c r="P223" s="1"/>
      <c r="Q223" s="1"/>
      <c r="R223" s="1"/>
      <c r="S223" s="1"/>
      <c r="T223" s="1"/>
      <c r="U223" s="1"/>
      <c r="V223" s="1"/>
      <c r="W223" s="1"/>
      <c r="X223" s="1"/>
      <c r="Y223" s="1"/>
      <c r="Z223" s="1"/>
    </row>
    <row r="224" spans="1:26" ht="12.75">
      <c r="A224" s="1" t="s">
        <v>38</v>
      </c>
      <c r="B224" s="1" t="s">
        <v>225</v>
      </c>
      <c r="C224" s="21">
        <v>275</v>
      </c>
      <c r="D224" s="173">
        <f>IF(B224="","",IFERROR(VLOOKUP(B224,'ITEM LIST'!B:M,12,0)*C224,0))</f>
        <v>22</v>
      </c>
      <c r="E224" s="1">
        <f t="shared" si="7"/>
        <v>164.89916666666667</v>
      </c>
      <c r="F224" s="20"/>
      <c r="G224" s="1"/>
      <c r="H224" s="1"/>
      <c r="I224" s="1"/>
      <c r="J224" s="1"/>
      <c r="K224" s="1"/>
      <c r="L224" s="1"/>
      <c r="M224" s="1"/>
      <c r="N224" s="1"/>
      <c r="O224" s="1"/>
      <c r="P224" s="1"/>
      <c r="Q224" s="1"/>
      <c r="R224" s="1"/>
      <c r="S224" s="1"/>
      <c r="T224" s="1"/>
      <c r="U224" s="1"/>
      <c r="V224" s="1"/>
      <c r="W224" s="1"/>
      <c r="X224" s="1"/>
      <c r="Y224" s="1"/>
      <c r="Z224" s="1"/>
    </row>
    <row r="225" spans="1:26" ht="12.75">
      <c r="A225" s="1" t="s">
        <v>38</v>
      </c>
      <c r="B225" s="1" t="s">
        <v>12</v>
      </c>
      <c r="C225" s="21">
        <v>18.333333333333336</v>
      </c>
      <c r="D225" s="173">
        <f>IF(B225="","",IFERROR(VLOOKUP(B225,'ITEM LIST'!B:M,12,0)*C225,0))</f>
        <v>1.7783333333333335</v>
      </c>
      <c r="E225" s="1">
        <f t="shared" si="7"/>
        <v>164.89916666666667</v>
      </c>
      <c r="F225" s="20"/>
      <c r="G225" s="1"/>
      <c r="H225" s="1"/>
      <c r="I225" s="1"/>
      <c r="J225" s="1"/>
      <c r="K225" s="1"/>
      <c r="L225" s="1"/>
      <c r="M225" s="1"/>
      <c r="N225" s="1"/>
      <c r="O225" s="1"/>
      <c r="P225" s="1"/>
      <c r="Q225" s="1"/>
      <c r="R225" s="1"/>
      <c r="S225" s="1"/>
      <c r="T225" s="1"/>
      <c r="U225" s="1"/>
      <c r="V225" s="1"/>
      <c r="W225" s="1"/>
      <c r="X225" s="1"/>
      <c r="Y225" s="1"/>
      <c r="Z225" s="1"/>
    </row>
    <row r="226" spans="1:26" ht="12.75">
      <c r="A226" s="1" t="s">
        <v>38</v>
      </c>
      <c r="B226" s="1" t="s">
        <v>2</v>
      </c>
      <c r="C226" s="21">
        <v>4.5833333333333339</v>
      </c>
      <c r="D226" s="173">
        <f>IF(B226="","",IFERROR(VLOOKUP(B226,'ITEM LIST'!B:M,12,0)*C226,0))</f>
        <v>2.2000000000000002</v>
      </c>
      <c r="E226" s="1">
        <f t="shared" si="7"/>
        <v>164.89916666666667</v>
      </c>
      <c r="F226" s="20"/>
      <c r="G226" s="1"/>
      <c r="H226" s="1"/>
      <c r="I226" s="1"/>
      <c r="J226" s="1"/>
      <c r="K226" s="1"/>
      <c r="L226" s="1"/>
      <c r="M226" s="1"/>
      <c r="N226" s="1"/>
      <c r="O226" s="1"/>
      <c r="P226" s="1"/>
      <c r="Q226" s="1"/>
      <c r="R226" s="1"/>
      <c r="S226" s="1"/>
      <c r="T226" s="1"/>
      <c r="U226" s="1"/>
      <c r="V226" s="1"/>
      <c r="W226" s="1"/>
      <c r="X226" s="1"/>
      <c r="Y226" s="1"/>
      <c r="Z226" s="1"/>
    </row>
    <row r="227" spans="1:26" ht="12.75">
      <c r="A227" s="1" t="s">
        <v>38</v>
      </c>
      <c r="B227" s="1" t="s">
        <v>670</v>
      </c>
      <c r="C227" s="21">
        <v>275</v>
      </c>
      <c r="D227" s="210">
        <f>IF(B227="","",IFERROR(VLOOKUP(B227,'ITEM LIST'!B:M,12,0)*C227,0))</f>
        <v>33</v>
      </c>
      <c r="E227" s="1">
        <f t="shared" si="7"/>
        <v>164.89916666666667</v>
      </c>
      <c r="F227" s="20"/>
      <c r="G227" s="1"/>
      <c r="H227" s="1"/>
      <c r="I227" s="1"/>
      <c r="J227" s="1"/>
      <c r="K227" s="1"/>
      <c r="L227" s="1"/>
      <c r="M227" s="1"/>
      <c r="N227" s="1"/>
      <c r="O227" s="1"/>
      <c r="P227" s="1"/>
      <c r="Q227" s="1"/>
      <c r="R227" s="1"/>
      <c r="S227" s="1"/>
      <c r="T227" s="1"/>
      <c r="U227" s="1"/>
      <c r="V227" s="1"/>
      <c r="W227" s="1"/>
      <c r="X227" s="1"/>
      <c r="Y227" s="1"/>
      <c r="Z227" s="1"/>
    </row>
    <row r="228" spans="1:26" ht="12.75">
      <c r="A228" s="1" t="s">
        <v>38</v>
      </c>
      <c r="B228" s="1" t="s">
        <v>425</v>
      </c>
      <c r="C228" s="21">
        <v>91.666666666666671</v>
      </c>
      <c r="D228" s="173">
        <f>IF(B228="","",IFERROR(VLOOKUP(B228,'ITEM LIST'!B:M,12,0)*C228,0))</f>
        <v>43.083333333333336</v>
      </c>
      <c r="E228" s="1">
        <f t="shared" si="7"/>
        <v>164.89916666666667</v>
      </c>
      <c r="F228" s="20"/>
      <c r="G228" s="1"/>
      <c r="H228" s="1"/>
      <c r="I228" s="1"/>
      <c r="J228" s="1"/>
      <c r="K228" s="1"/>
      <c r="L228" s="1"/>
      <c r="M228" s="1"/>
      <c r="N228" s="1"/>
      <c r="O228" s="1"/>
      <c r="P228" s="1"/>
      <c r="Q228" s="1"/>
      <c r="R228" s="1"/>
      <c r="S228" s="1"/>
      <c r="T228" s="1"/>
      <c r="U228" s="1"/>
      <c r="V228" s="1"/>
      <c r="W228" s="1"/>
      <c r="X228" s="1"/>
      <c r="Y228" s="1"/>
      <c r="Z228" s="1"/>
    </row>
    <row r="229" spans="1:26" ht="12.75">
      <c r="A229" s="1" t="s">
        <v>38</v>
      </c>
      <c r="B229" s="1" t="s">
        <v>4</v>
      </c>
      <c r="C229" s="21">
        <v>137.5</v>
      </c>
      <c r="D229" s="173">
        <f>IF(B229="","",IFERROR(VLOOKUP(B229,'ITEM LIST'!B:M,12,0)*C229,0))</f>
        <v>29.287499999999998</v>
      </c>
      <c r="E229" s="1">
        <f t="shared" si="7"/>
        <v>164.89916666666667</v>
      </c>
      <c r="F229" s="20"/>
      <c r="G229" s="1"/>
      <c r="H229" s="1"/>
      <c r="I229" s="1"/>
      <c r="J229" s="1"/>
      <c r="K229" s="1"/>
      <c r="L229" s="1"/>
      <c r="M229" s="1"/>
      <c r="N229" s="1"/>
      <c r="O229" s="1"/>
      <c r="P229" s="1"/>
      <c r="Q229" s="1"/>
      <c r="R229" s="1"/>
      <c r="S229" s="1"/>
      <c r="T229" s="1"/>
      <c r="U229" s="1"/>
      <c r="V229" s="1"/>
      <c r="W229" s="1"/>
      <c r="X229" s="1"/>
      <c r="Y229" s="1"/>
      <c r="Z229" s="1"/>
    </row>
    <row r="230" spans="1:26" ht="12.75">
      <c r="A230" s="1"/>
      <c r="B230" s="1" t="s">
        <v>371</v>
      </c>
      <c r="C230" s="21"/>
      <c r="D230" s="173" t="str">
        <f>IF(B230="","",IFERROR(VLOOKUP(B230,'ITEM LIST'!B:M,12,0)*C230,0))</f>
        <v/>
      </c>
      <c r="E230" s="1" t="str">
        <f t="shared" si="7"/>
        <v/>
      </c>
      <c r="F230" s="20"/>
      <c r="G230" s="1"/>
      <c r="H230" s="1"/>
      <c r="I230" s="1"/>
      <c r="J230" s="1"/>
      <c r="K230" s="1"/>
      <c r="L230" s="1"/>
      <c r="M230" s="1"/>
      <c r="N230" s="1"/>
      <c r="O230" s="1"/>
      <c r="P230" s="1"/>
      <c r="Q230" s="1"/>
      <c r="R230" s="1"/>
      <c r="S230" s="1"/>
      <c r="T230" s="1"/>
      <c r="U230" s="1"/>
      <c r="V230" s="1"/>
      <c r="W230" s="1"/>
      <c r="X230" s="1"/>
      <c r="Y230" s="1"/>
      <c r="Z230" s="1"/>
    </row>
    <row r="231" spans="1:26" ht="15">
      <c r="A231" s="2" t="s">
        <v>293</v>
      </c>
      <c r="B231" s="1" t="s">
        <v>384</v>
      </c>
      <c r="C231" s="7">
        <v>8</v>
      </c>
      <c r="D231" s="173">
        <f>IF(B231="","",IFERROR(VLOOKUP(B231,'ITEM LIST'!B:M,12,0)*C231,0))</f>
        <v>0.28000000000000003</v>
      </c>
      <c r="E231" s="1">
        <f t="shared" si="7"/>
        <v>0.64</v>
      </c>
      <c r="F231" s="20"/>
      <c r="G231" s="1"/>
      <c r="H231" s="1"/>
      <c r="I231" s="1"/>
      <c r="J231" s="1"/>
      <c r="K231" s="1"/>
      <c r="L231" s="1"/>
      <c r="M231" s="1"/>
      <c r="N231" s="1"/>
      <c r="O231" s="1"/>
      <c r="P231" s="1"/>
      <c r="Q231" s="1"/>
      <c r="R231" s="1"/>
      <c r="S231" s="1"/>
      <c r="T231" s="1"/>
      <c r="U231" s="1"/>
      <c r="V231" s="1"/>
      <c r="W231" s="1"/>
      <c r="X231" s="1"/>
      <c r="Y231" s="1"/>
      <c r="Z231" s="1"/>
    </row>
    <row r="232" spans="1:26" ht="15">
      <c r="A232" s="2" t="s">
        <v>293</v>
      </c>
      <c r="B232" s="1" t="s">
        <v>675</v>
      </c>
      <c r="C232" s="211"/>
      <c r="D232" s="173">
        <f>IF(B232="","",IFERROR(VLOOKUP(B232,'ITEM LIST'!B:M,12,0)*C232,0))</f>
        <v>0</v>
      </c>
      <c r="E232" s="1">
        <f t="shared" si="7"/>
        <v>0.64</v>
      </c>
      <c r="F232" s="20"/>
      <c r="G232" s="1"/>
      <c r="H232" s="1"/>
      <c r="I232" s="1"/>
      <c r="J232" s="1"/>
      <c r="K232" s="1"/>
      <c r="L232" s="1"/>
      <c r="M232" s="1"/>
      <c r="N232" s="1"/>
      <c r="O232" s="1"/>
      <c r="P232" s="1"/>
      <c r="Q232" s="1"/>
      <c r="R232" s="1"/>
      <c r="S232" s="1"/>
      <c r="T232" s="1"/>
      <c r="U232" s="1"/>
      <c r="V232" s="1"/>
      <c r="W232" s="1"/>
      <c r="X232" s="1"/>
      <c r="Y232" s="1"/>
      <c r="Z232" s="1"/>
    </row>
    <row r="233" spans="1:26" ht="15">
      <c r="A233" s="2" t="s">
        <v>293</v>
      </c>
      <c r="B233" s="1" t="s">
        <v>671</v>
      </c>
      <c r="C233" s="7">
        <v>2</v>
      </c>
      <c r="D233" s="173">
        <f>IF(B233="","",IFERROR(VLOOKUP(B233,'ITEM LIST'!B:M,12,0)*C233,0))</f>
        <v>0.36</v>
      </c>
      <c r="E233" s="1">
        <f t="shared" si="7"/>
        <v>0.64</v>
      </c>
      <c r="F233" s="20"/>
      <c r="G233" s="1"/>
      <c r="H233" s="1"/>
      <c r="I233" s="1"/>
      <c r="J233" s="1"/>
      <c r="K233" s="1"/>
      <c r="L233" s="1"/>
      <c r="M233" s="1"/>
      <c r="N233" s="1"/>
      <c r="O233" s="1"/>
      <c r="P233" s="1"/>
      <c r="Q233" s="1"/>
      <c r="R233" s="1"/>
      <c r="S233" s="1"/>
      <c r="T233" s="1"/>
      <c r="U233" s="1"/>
      <c r="V233" s="1"/>
      <c r="W233" s="1"/>
      <c r="X233" s="1"/>
      <c r="Y233" s="1"/>
      <c r="Z233" s="1"/>
    </row>
    <row r="234" spans="1:26" ht="15">
      <c r="A234" s="2" t="s">
        <v>294</v>
      </c>
      <c r="B234" s="1" t="s">
        <v>341</v>
      </c>
      <c r="C234" s="22">
        <v>187.19580680000001</v>
      </c>
      <c r="D234" s="173">
        <f>IF(B234="","",IFERROR(VLOOKUP(B234,'ITEM LIST'!B:M,12,0)*C234,0))</f>
        <v>71.134406584000004</v>
      </c>
      <c r="E234" s="1">
        <f t="shared" si="7"/>
        <v>116.29539497928903</v>
      </c>
      <c r="F234" s="20"/>
      <c r="G234" s="1"/>
      <c r="H234" s="1"/>
      <c r="I234" s="1"/>
      <c r="J234" s="1"/>
      <c r="K234" s="1"/>
      <c r="L234" s="1"/>
      <c r="M234" s="1"/>
      <c r="N234" s="1"/>
      <c r="O234" s="1"/>
      <c r="P234" s="1"/>
      <c r="Q234" s="1"/>
      <c r="R234" s="1"/>
      <c r="S234" s="1"/>
      <c r="T234" s="1"/>
      <c r="U234" s="1"/>
      <c r="V234" s="1"/>
      <c r="W234" s="1"/>
      <c r="X234" s="1"/>
      <c r="Y234" s="1"/>
      <c r="Z234" s="1"/>
    </row>
    <row r="235" spans="1:26" ht="15">
      <c r="A235" s="2" t="s">
        <v>294</v>
      </c>
      <c r="B235" s="1" t="s">
        <v>382</v>
      </c>
      <c r="C235" s="22">
        <v>748.78322730000002</v>
      </c>
      <c r="D235" s="173">
        <f>IF(B235="","",IFERROR(VLOOKUP(B235,'ITEM LIST'!B:M,12,0)*C235,0))</f>
        <v>29.951329092000002</v>
      </c>
      <c r="E235" s="1">
        <f t="shared" si="7"/>
        <v>116.29539497928903</v>
      </c>
      <c r="F235" s="20"/>
      <c r="G235" s="1"/>
      <c r="H235" s="1"/>
      <c r="I235" s="1"/>
      <c r="J235" s="1"/>
      <c r="K235" s="1"/>
      <c r="L235" s="1"/>
      <c r="M235" s="1"/>
      <c r="N235" s="1"/>
      <c r="O235" s="1"/>
      <c r="P235" s="1"/>
      <c r="Q235" s="1"/>
      <c r="R235" s="1"/>
      <c r="S235" s="1"/>
      <c r="T235" s="1"/>
      <c r="U235" s="1"/>
      <c r="V235" s="1"/>
      <c r="W235" s="1"/>
      <c r="X235" s="1"/>
      <c r="Y235" s="1"/>
      <c r="Z235" s="1"/>
    </row>
    <row r="236" spans="1:26" ht="15">
      <c r="A236" s="2" t="s">
        <v>294</v>
      </c>
      <c r="B236" s="1" t="s">
        <v>114</v>
      </c>
      <c r="C236" s="22">
        <v>18.71958068</v>
      </c>
      <c r="D236" s="173">
        <f>IF(B236="","",IFERROR(VLOOKUP(B236,'ITEM LIST'!B:M,12,0)*C236,0))</f>
        <v>0.52414825904000006</v>
      </c>
      <c r="E236" s="1">
        <f t="shared" si="7"/>
        <v>116.29539497928903</v>
      </c>
      <c r="F236" s="20"/>
      <c r="G236" s="1"/>
      <c r="H236" s="1"/>
      <c r="I236" s="1"/>
      <c r="J236" s="1"/>
      <c r="K236" s="1"/>
      <c r="L236" s="1"/>
      <c r="M236" s="1"/>
      <c r="N236" s="1"/>
      <c r="O236" s="1"/>
      <c r="P236" s="1"/>
      <c r="Q236" s="1"/>
      <c r="R236" s="1"/>
      <c r="S236" s="1"/>
      <c r="T236" s="1"/>
      <c r="U236" s="1"/>
      <c r="V236" s="1"/>
      <c r="W236" s="1"/>
      <c r="X236" s="1"/>
      <c r="Y236" s="1"/>
      <c r="Z236" s="1"/>
    </row>
    <row r="237" spans="1:26" ht="15">
      <c r="A237" s="2" t="s">
        <v>294</v>
      </c>
      <c r="B237" s="1" t="s">
        <v>338</v>
      </c>
      <c r="C237" s="22">
        <v>9.3597903410000001</v>
      </c>
      <c r="D237" s="173">
        <f>IF(B237="","",IFERROR(VLOOKUP(B237,'ITEM LIST'!B:M,12,0)*C237,0))</f>
        <v>0.73942343693900003</v>
      </c>
      <c r="E237" s="1">
        <f t="shared" si="7"/>
        <v>116.29539497928903</v>
      </c>
      <c r="F237" s="20"/>
      <c r="G237" s="1"/>
      <c r="H237" s="1"/>
      <c r="I237" s="1"/>
      <c r="J237" s="1"/>
      <c r="K237" s="1"/>
      <c r="L237" s="1"/>
      <c r="M237" s="1"/>
      <c r="N237" s="1"/>
      <c r="O237" s="1"/>
      <c r="P237" s="1"/>
      <c r="Q237" s="1"/>
      <c r="R237" s="1"/>
      <c r="S237" s="1"/>
      <c r="T237" s="1"/>
      <c r="U237" s="1"/>
      <c r="V237" s="1"/>
      <c r="W237" s="1"/>
      <c r="X237" s="1"/>
      <c r="Y237" s="1"/>
      <c r="Z237" s="1"/>
    </row>
    <row r="238" spans="1:26" ht="15">
      <c r="A238" s="2" t="s">
        <v>294</v>
      </c>
      <c r="B238" s="1" t="s">
        <v>353</v>
      </c>
      <c r="C238" s="22">
        <v>3.7439161360000002</v>
      </c>
      <c r="D238" s="173">
        <f>IF(B238="","",IFERROR(VLOOKUP(B238,'ITEM LIST'!B:M,12,0)*C238,0))</f>
        <v>5.2414825903999995</v>
      </c>
      <c r="E238" s="1">
        <f t="shared" si="7"/>
        <v>116.29539497928903</v>
      </c>
      <c r="F238" s="20"/>
      <c r="G238" s="1"/>
      <c r="H238" s="1"/>
      <c r="I238" s="1"/>
      <c r="J238" s="1"/>
      <c r="K238" s="1"/>
      <c r="L238" s="1"/>
      <c r="M238" s="1"/>
      <c r="N238" s="1"/>
      <c r="O238" s="1"/>
      <c r="P238" s="1"/>
      <c r="Q238" s="1"/>
      <c r="R238" s="1"/>
      <c r="S238" s="1"/>
      <c r="T238" s="1"/>
      <c r="U238" s="1"/>
      <c r="V238" s="1"/>
      <c r="W238" s="1"/>
      <c r="X238" s="1"/>
      <c r="Y238" s="1"/>
      <c r="Z238" s="1"/>
    </row>
    <row r="239" spans="1:26" ht="15">
      <c r="A239" s="2" t="s">
        <v>294</v>
      </c>
      <c r="B239" s="1" t="s">
        <v>679</v>
      </c>
      <c r="C239" s="22">
        <v>3.7439161360000002</v>
      </c>
      <c r="D239" s="173">
        <f>IF(B239="","",IFERROR(VLOOKUP(B239,'ITEM LIST'!B:M,12,0)*C239,0))</f>
        <v>0</v>
      </c>
      <c r="E239" s="1">
        <f t="shared" si="7"/>
        <v>116.29539497928903</v>
      </c>
      <c r="F239" s="20"/>
      <c r="G239" s="1"/>
      <c r="H239" s="1"/>
      <c r="I239" s="1"/>
      <c r="J239" s="1"/>
      <c r="K239" s="1"/>
      <c r="L239" s="1"/>
      <c r="M239" s="1"/>
      <c r="N239" s="1"/>
      <c r="O239" s="1"/>
      <c r="P239" s="1"/>
      <c r="Q239" s="1"/>
      <c r="R239" s="1"/>
      <c r="S239" s="1"/>
      <c r="T239" s="1"/>
      <c r="U239" s="1"/>
      <c r="V239" s="1"/>
      <c r="W239" s="1"/>
      <c r="X239" s="1"/>
      <c r="Y239" s="1"/>
      <c r="Z239" s="1"/>
    </row>
    <row r="240" spans="1:26" ht="15">
      <c r="A240" s="2" t="s">
        <v>294</v>
      </c>
      <c r="B240" s="1" t="s">
        <v>12</v>
      </c>
      <c r="C240" s="22">
        <v>18.71958068</v>
      </c>
      <c r="D240" s="173">
        <f>IF(B240="","",IFERROR(VLOOKUP(B240,'ITEM LIST'!B:M,12,0)*C240,0))</f>
        <v>1.81579932596</v>
      </c>
      <c r="E240" s="1">
        <f t="shared" si="7"/>
        <v>116.29539497928903</v>
      </c>
      <c r="F240" s="20"/>
      <c r="G240" s="1"/>
      <c r="H240" s="1"/>
      <c r="I240" s="1"/>
      <c r="J240" s="1"/>
      <c r="K240" s="1"/>
      <c r="L240" s="1"/>
      <c r="M240" s="1"/>
      <c r="N240" s="1"/>
      <c r="O240" s="1"/>
      <c r="P240" s="1"/>
      <c r="Q240" s="1"/>
      <c r="R240" s="1"/>
      <c r="S240" s="1"/>
      <c r="T240" s="1"/>
      <c r="U240" s="1"/>
      <c r="V240" s="1"/>
      <c r="W240" s="1"/>
      <c r="X240" s="1"/>
      <c r="Y240" s="1"/>
      <c r="Z240" s="1"/>
    </row>
    <row r="241" spans="1:26" ht="15">
      <c r="A241" s="2" t="s">
        <v>294</v>
      </c>
      <c r="B241" s="1" t="s">
        <v>52</v>
      </c>
      <c r="C241" s="22">
        <v>0.37439161360000001</v>
      </c>
      <c r="D241" s="173">
        <f>IF(B241="","",IFERROR(VLOOKUP(B241,'ITEM LIST'!B:M,12,0)*C241,0))</f>
        <v>0.24335454884000002</v>
      </c>
      <c r="E241" s="1">
        <f t="shared" si="7"/>
        <v>116.29539497928903</v>
      </c>
      <c r="F241" s="20"/>
      <c r="G241" s="1"/>
      <c r="H241" s="1"/>
      <c r="I241" s="1"/>
      <c r="J241" s="1"/>
      <c r="K241" s="1"/>
      <c r="L241" s="1"/>
      <c r="M241" s="1"/>
      <c r="N241" s="1"/>
      <c r="O241" s="1"/>
      <c r="P241" s="1"/>
      <c r="Q241" s="1"/>
      <c r="R241" s="1"/>
      <c r="S241" s="1"/>
      <c r="T241" s="1"/>
      <c r="U241" s="1"/>
      <c r="V241" s="1"/>
      <c r="W241" s="1"/>
      <c r="X241" s="1"/>
      <c r="Y241" s="1"/>
      <c r="Z241" s="1"/>
    </row>
    <row r="242" spans="1:26" ht="15">
      <c r="A242" s="2" t="s">
        <v>294</v>
      </c>
      <c r="B242" s="1" t="s">
        <v>11</v>
      </c>
      <c r="C242" s="22">
        <v>9.3597903410000001</v>
      </c>
      <c r="D242" s="173">
        <f>IF(B242="","",IFERROR(VLOOKUP(B242,'ITEM LIST'!B:M,12,0)*C242,0))</f>
        <v>6.6454511421099998</v>
      </c>
      <c r="E242" s="1">
        <f t="shared" si="7"/>
        <v>116.29539497928903</v>
      </c>
      <c r="F242" s="20"/>
      <c r="G242" s="1"/>
      <c r="H242" s="1"/>
      <c r="I242" s="1"/>
      <c r="J242" s="1"/>
      <c r="K242" s="1"/>
      <c r="L242" s="1"/>
      <c r="M242" s="1"/>
      <c r="N242" s="1"/>
      <c r="O242" s="1"/>
      <c r="P242" s="1"/>
      <c r="Q242" s="1"/>
      <c r="R242" s="1"/>
      <c r="S242" s="1"/>
      <c r="T242" s="1"/>
      <c r="U242" s="1"/>
      <c r="V242" s="1"/>
      <c r="W242" s="1"/>
      <c r="X242" s="1"/>
      <c r="Y242" s="1"/>
      <c r="Z242" s="1"/>
    </row>
    <row r="243" spans="1:26" ht="12.75">
      <c r="A243" s="1"/>
      <c r="B243" s="1" t="s">
        <v>371</v>
      </c>
      <c r="C243" s="21"/>
      <c r="D243" s="173" t="str">
        <f>IF(B243="","",IFERROR(VLOOKUP(B243,'ITEM LIST'!B:M,12,0)*C243,0))</f>
        <v/>
      </c>
      <c r="E243" s="1" t="str">
        <f t="shared" si="7"/>
        <v/>
      </c>
      <c r="F243" s="20"/>
      <c r="G243" s="1"/>
      <c r="H243" s="1"/>
      <c r="I243" s="1"/>
      <c r="J243" s="1"/>
      <c r="K243" s="1"/>
      <c r="L243" s="1"/>
      <c r="M243" s="1"/>
      <c r="N243" s="1"/>
      <c r="O243" s="1"/>
      <c r="P243" s="1"/>
      <c r="Q243" s="1"/>
      <c r="R243" s="1"/>
      <c r="S243" s="1"/>
      <c r="T243" s="1"/>
      <c r="U243" s="1"/>
      <c r="V243" s="1"/>
      <c r="W243" s="1"/>
      <c r="X243" s="1"/>
      <c r="Y243" s="1"/>
      <c r="Z243" s="1"/>
    </row>
    <row r="244" spans="1:26" ht="12.75">
      <c r="A244" s="1" t="s">
        <v>45</v>
      </c>
      <c r="B244" s="1" t="s">
        <v>17</v>
      </c>
      <c r="C244" s="21">
        <v>60</v>
      </c>
      <c r="D244" s="173">
        <f>IF(B244="","",IFERROR(VLOOKUP(B244,'ITEM LIST'!B:M,12,0)*C244,0))</f>
        <v>16.200000000000003</v>
      </c>
      <c r="E244" s="1">
        <f t="shared" si="7"/>
        <v>17.600000000000001</v>
      </c>
      <c r="F244" s="20"/>
      <c r="G244" s="1"/>
      <c r="H244" s="1"/>
      <c r="I244" s="1"/>
      <c r="J244" s="1"/>
      <c r="K244" s="1"/>
      <c r="L244" s="1"/>
      <c r="M244" s="1"/>
      <c r="N244" s="1"/>
      <c r="O244" s="1"/>
      <c r="P244" s="1"/>
      <c r="Q244" s="1"/>
      <c r="R244" s="1"/>
      <c r="S244" s="1"/>
      <c r="T244" s="1"/>
      <c r="U244" s="1"/>
      <c r="V244" s="1"/>
      <c r="W244" s="1"/>
      <c r="X244" s="1"/>
      <c r="Y244" s="1"/>
      <c r="Z244" s="1"/>
    </row>
    <row r="245" spans="1:26" ht="12.75">
      <c r="A245" s="1" t="s">
        <v>45</v>
      </c>
      <c r="B245" s="1" t="s">
        <v>383</v>
      </c>
      <c r="C245" s="21">
        <v>20</v>
      </c>
      <c r="D245" s="173">
        <f>IF(B245="","",IFERROR(VLOOKUP(B245,'ITEM LIST'!B:M,12,0)*C245,0))</f>
        <v>1.4000000000000001</v>
      </c>
      <c r="E245" s="1">
        <f t="shared" si="7"/>
        <v>17.600000000000001</v>
      </c>
      <c r="F245" s="20"/>
      <c r="G245" s="1"/>
      <c r="H245" s="1"/>
      <c r="I245" s="1"/>
      <c r="J245" s="1"/>
      <c r="K245" s="1"/>
      <c r="L245" s="1"/>
      <c r="M245" s="1"/>
      <c r="N245" s="1"/>
      <c r="O245" s="1"/>
      <c r="P245" s="1"/>
      <c r="Q245" s="1"/>
      <c r="R245" s="1"/>
      <c r="S245" s="1"/>
      <c r="T245" s="1"/>
      <c r="U245" s="1"/>
      <c r="V245" s="1"/>
      <c r="W245" s="1"/>
      <c r="X245" s="1"/>
      <c r="Y245" s="1"/>
      <c r="Z245" s="1"/>
    </row>
    <row r="246" spans="1:26" ht="12.75">
      <c r="A246" s="1" t="s">
        <v>45</v>
      </c>
      <c r="B246" s="1" t="s">
        <v>674</v>
      </c>
      <c r="C246" s="202"/>
      <c r="D246" s="173">
        <f>IF(B246="","",IFERROR(VLOOKUP(B246,'ITEM LIST'!B:M,12,0)*C246,0))</f>
        <v>0</v>
      </c>
      <c r="E246" s="1">
        <f t="shared" si="7"/>
        <v>17.600000000000001</v>
      </c>
      <c r="F246" s="20"/>
      <c r="G246" s="1"/>
      <c r="H246" s="1"/>
      <c r="I246" s="1"/>
      <c r="J246" s="1"/>
      <c r="K246" s="1"/>
      <c r="L246" s="1"/>
      <c r="M246" s="1"/>
      <c r="N246" s="1"/>
      <c r="O246" s="1"/>
      <c r="P246" s="1"/>
      <c r="Q246" s="1"/>
      <c r="R246" s="1"/>
      <c r="S246" s="1"/>
      <c r="T246" s="1"/>
      <c r="U246" s="1"/>
      <c r="V246" s="1"/>
      <c r="W246" s="1"/>
      <c r="X246" s="1"/>
      <c r="Y246" s="1"/>
      <c r="Z246" s="1"/>
    </row>
    <row r="247" spans="1:26" ht="15">
      <c r="A247" s="2" t="s">
        <v>295</v>
      </c>
      <c r="B247" s="2" t="s">
        <v>10</v>
      </c>
      <c r="C247" s="22">
        <v>40</v>
      </c>
      <c r="D247" s="173">
        <f>IF(B247="","",IFERROR(VLOOKUP(B247,'ITEM LIST'!B:M,12,0)*C247,0))</f>
        <v>0.72</v>
      </c>
      <c r="E247" s="1">
        <f t="shared" si="7"/>
        <v>123.28832000000001</v>
      </c>
      <c r="F247" s="20"/>
      <c r="G247" s="1"/>
      <c r="H247" s="1"/>
      <c r="I247" s="1"/>
      <c r="J247" s="1"/>
      <c r="K247" s="1"/>
      <c r="L247" s="1"/>
      <c r="M247" s="1"/>
      <c r="N247" s="1"/>
      <c r="O247" s="1"/>
      <c r="P247" s="1"/>
      <c r="Q247" s="1"/>
      <c r="R247" s="1"/>
      <c r="S247" s="1"/>
      <c r="T247" s="1"/>
      <c r="U247" s="1"/>
      <c r="V247" s="1"/>
      <c r="W247" s="1"/>
      <c r="X247" s="1"/>
      <c r="Y247" s="1"/>
      <c r="Z247" s="1"/>
    </row>
    <row r="248" spans="1:26" ht="15">
      <c r="A248" s="2" t="s">
        <v>295</v>
      </c>
      <c r="B248" s="2" t="s">
        <v>391</v>
      </c>
      <c r="C248" s="22">
        <v>400</v>
      </c>
      <c r="D248" s="173">
        <f>IF(B248="","",IFERROR(VLOOKUP(B248,'ITEM LIST'!B:M,12,0)*C248,0))</f>
        <v>40</v>
      </c>
      <c r="E248" s="1">
        <f t="shared" ref="E248:E279" si="8">IF(A248="","", SUMIFS(D:D,A:A,A248))</f>
        <v>123.28832000000001</v>
      </c>
      <c r="F248" s="20"/>
      <c r="G248" s="1"/>
      <c r="H248" s="1"/>
      <c r="I248" s="1"/>
      <c r="J248" s="1"/>
      <c r="K248" s="1"/>
      <c r="L248" s="1"/>
      <c r="M248" s="1"/>
      <c r="N248" s="1"/>
      <c r="O248" s="1"/>
      <c r="P248" s="1"/>
      <c r="Q248" s="1"/>
      <c r="R248" s="1"/>
      <c r="S248" s="1"/>
      <c r="T248" s="1"/>
      <c r="U248" s="1"/>
      <c r="V248" s="1"/>
      <c r="W248" s="1"/>
      <c r="X248" s="1"/>
      <c r="Y248" s="1"/>
      <c r="Z248" s="1"/>
    </row>
    <row r="249" spans="1:26" ht="15">
      <c r="A249" s="2" t="s">
        <v>295</v>
      </c>
      <c r="B249" s="2" t="s">
        <v>19</v>
      </c>
      <c r="C249" s="22">
        <v>400</v>
      </c>
      <c r="D249" s="173">
        <f>IF(B249="","",IFERROR(VLOOKUP(B249,'ITEM LIST'!B:M,12,0)*C249,0))</f>
        <v>6.4</v>
      </c>
      <c r="E249" s="1">
        <f t="shared" si="8"/>
        <v>123.28832000000001</v>
      </c>
      <c r="F249" s="20"/>
      <c r="G249" s="1"/>
      <c r="H249" s="1"/>
      <c r="I249" s="1"/>
      <c r="J249" s="1"/>
      <c r="K249" s="1"/>
      <c r="L249" s="1"/>
      <c r="M249" s="1"/>
      <c r="N249" s="1"/>
      <c r="O249" s="1"/>
      <c r="P249" s="1"/>
      <c r="Q249" s="1"/>
      <c r="R249" s="1"/>
      <c r="S249" s="1"/>
      <c r="T249" s="1"/>
      <c r="U249" s="1"/>
      <c r="V249" s="1"/>
      <c r="W249" s="1"/>
      <c r="X249" s="1"/>
      <c r="Y249" s="1"/>
      <c r="Z249" s="1"/>
    </row>
    <row r="250" spans="1:26" ht="15">
      <c r="A250" s="2" t="s">
        <v>295</v>
      </c>
      <c r="B250" s="2" t="s">
        <v>114</v>
      </c>
      <c r="C250" s="23">
        <v>12</v>
      </c>
      <c r="D250" s="173">
        <f>IF(B250="","",IFERROR(VLOOKUP(B250,'ITEM LIST'!B:M,12,0)*C250,0))</f>
        <v>0.33600000000000002</v>
      </c>
      <c r="E250" s="1">
        <f t="shared" si="8"/>
        <v>123.28832000000001</v>
      </c>
      <c r="F250" s="20"/>
      <c r="G250" s="1"/>
      <c r="H250" s="1"/>
      <c r="I250" s="1"/>
      <c r="J250" s="1"/>
      <c r="K250" s="1"/>
      <c r="L250" s="1"/>
      <c r="M250" s="1"/>
      <c r="N250" s="1"/>
      <c r="O250" s="1"/>
      <c r="P250" s="1"/>
      <c r="Q250" s="1"/>
      <c r="R250" s="1"/>
      <c r="S250" s="1"/>
      <c r="T250" s="1"/>
      <c r="U250" s="1"/>
      <c r="V250" s="1"/>
      <c r="W250" s="1"/>
      <c r="X250" s="1"/>
      <c r="Y250" s="1"/>
      <c r="Z250" s="1"/>
    </row>
    <row r="251" spans="1:26" ht="15">
      <c r="A251" s="2" t="s">
        <v>295</v>
      </c>
      <c r="B251" s="2" t="s">
        <v>49</v>
      </c>
      <c r="C251" s="23">
        <v>3.6</v>
      </c>
      <c r="D251" s="173">
        <f>IF(B251="","",IFERROR(VLOOKUP(B251,'ITEM LIST'!B:M,12,0)*C251,0))</f>
        <v>2.7</v>
      </c>
      <c r="E251" s="1">
        <f t="shared" si="8"/>
        <v>123.28832000000001</v>
      </c>
      <c r="F251" s="20"/>
      <c r="G251" s="1"/>
      <c r="H251" s="1"/>
      <c r="I251" s="1"/>
      <c r="J251" s="1"/>
      <c r="K251" s="1"/>
      <c r="L251" s="1"/>
      <c r="M251" s="1"/>
      <c r="N251" s="1"/>
      <c r="O251" s="1"/>
      <c r="P251" s="1"/>
      <c r="Q251" s="1"/>
      <c r="R251" s="1"/>
      <c r="S251" s="1"/>
      <c r="T251" s="1"/>
      <c r="U251" s="1"/>
      <c r="V251" s="1"/>
      <c r="W251" s="1"/>
      <c r="X251" s="1"/>
      <c r="Y251" s="1"/>
      <c r="Z251" s="1"/>
    </row>
    <row r="252" spans="1:26" ht="15">
      <c r="A252" s="2" t="s">
        <v>295</v>
      </c>
      <c r="B252" s="2" t="s">
        <v>336</v>
      </c>
      <c r="C252" s="23">
        <v>4.8</v>
      </c>
      <c r="D252" s="173">
        <f>IF(B252="","",IFERROR(VLOOKUP(B252,'ITEM LIST'!B:M,12,0)*C252,0))</f>
        <v>1.2767999999999999</v>
      </c>
      <c r="E252" s="1">
        <f t="shared" si="8"/>
        <v>123.28832000000001</v>
      </c>
      <c r="F252" s="20"/>
      <c r="G252" s="1"/>
      <c r="H252" s="1"/>
      <c r="I252" s="1"/>
      <c r="J252" s="1"/>
      <c r="K252" s="1"/>
      <c r="L252" s="1"/>
      <c r="M252" s="1"/>
      <c r="N252" s="1"/>
      <c r="O252" s="1"/>
      <c r="P252" s="1"/>
      <c r="Q252" s="1"/>
      <c r="R252" s="1"/>
      <c r="S252" s="1"/>
      <c r="T252" s="1"/>
      <c r="U252" s="1"/>
      <c r="V252" s="1"/>
      <c r="W252" s="1"/>
      <c r="X252" s="1"/>
      <c r="Y252" s="1"/>
      <c r="Z252" s="1"/>
    </row>
    <row r="253" spans="1:26" ht="15">
      <c r="A253" s="2" t="s">
        <v>295</v>
      </c>
      <c r="B253" s="2" t="s">
        <v>544</v>
      </c>
      <c r="C253" s="22">
        <v>30</v>
      </c>
      <c r="D253" s="173">
        <f>IF(B253="","",IFERROR(VLOOKUP(B253,'ITEM LIST'!B:M,12,0)*C253,0))</f>
        <v>0</v>
      </c>
      <c r="E253" s="1">
        <f t="shared" si="8"/>
        <v>123.28832000000001</v>
      </c>
      <c r="F253" s="20"/>
      <c r="G253" s="1"/>
      <c r="H253" s="1"/>
      <c r="I253" s="1"/>
      <c r="J253" s="1"/>
      <c r="K253" s="1"/>
      <c r="L253" s="1"/>
      <c r="M253" s="1"/>
      <c r="N253" s="1"/>
      <c r="O253" s="1"/>
      <c r="P253" s="1"/>
      <c r="Q253" s="1"/>
      <c r="R253" s="1"/>
      <c r="S253" s="1"/>
      <c r="T253" s="1"/>
      <c r="U253" s="1"/>
      <c r="V253" s="1"/>
      <c r="W253" s="1"/>
      <c r="X253" s="1"/>
      <c r="Y253" s="1"/>
      <c r="Z253" s="1"/>
    </row>
    <row r="254" spans="1:26" ht="15">
      <c r="A254" s="2" t="s">
        <v>295</v>
      </c>
      <c r="B254" s="2" t="s">
        <v>335</v>
      </c>
      <c r="C254" s="23">
        <v>10.8</v>
      </c>
      <c r="D254" s="173">
        <f>IF(B254="","",IFERROR(VLOOKUP(B254,'ITEM LIST'!B:M,12,0)*C254,0))</f>
        <v>3.24</v>
      </c>
      <c r="E254" s="1">
        <f t="shared" si="8"/>
        <v>123.28832000000001</v>
      </c>
      <c r="F254" s="20"/>
      <c r="G254" s="1"/>
      <c r="H254" s="1"/>
      <c r="I254" s="1"/>
      <c r="J254" s="1"/>
      <c r="K254" s="1"/>
      <c r="L254" s="1"/>
      <c r="M254" s="1"/>
      <c r="N254" s="1"/>
      <c r="O254" s="1"/>
      <c r="P254" s="1"/>
      <c r="Q254" s="1"/>
      <c r="R254" s="1"/>
      <c r="S254" s="1"/>
      <c r="T254" s="1"/>
      <c r="U254" s="1"/>
      <c r="V254" s="1"/>
      <c r="W254" s="1"/>
      <c r="X254" s="1"/>
      <c r="Y254" s="1"/>
      <c r="Z254" s="1"/>
    </row>
    <row r="255" spans="1:26" ht="15">
      <c r="A255" s="2" t="s">
        <v>295</v>
      </c>
      <c r="B255" s="2" t="s">
        <v>347</v>
      </c>
      <c r="C255" s="22">
        <v>10</v>
      </c>
      <c r="D255" s="173">
        <f>IF(B255="","",IFERROR(VLOOKUP(B255,'ITEM LIST'!B:M,12,0)*C255,0))</f>
        <v>6.8000000000000007</v>
      </c>
      <c r="E255" s="1">
        <f t="shared" si="8"/>
        <v>123.28832000000001</v>
      </c>
      <c r="F255" s="20"/>
      <c r="G255" s="1"/>
      <c r="H255" s="1"/>
      <c r="I255" s="1"/>
      <c r="J255" s="1"/>
      <c r="K255" s="1"/>
      <c r="L255" s="1"/>
      <c r="M255" s="1"/>
      <c r="N255" s="1"/>
      <c r="O255" s="1"/>
      <c r="P255" s="1"/>
      <c r="Q255" s="1"/>
      <c r="R255" s="1"/>
      <c r="S255" s="1"/>
      <c r="T255" s="1"/>
      <c r="U255" s="1"/>
      <c r="V255" s="1"/>
      <c r="W255" s="1"/>
      <c r="X255" s="1"/>
      <c r="Y255" s="1"/>
      <c r="Z255" s="1"/>
    </row>
    <row r="256" spans="1:26" ht="15">
      <c r="A256" s="2" t="s">
        <v>295</v>
      </c>
      <c r="B256" s="2" t="s">
        <v>340</v>
      </c>
      <c r="C256" s="23">
        <v>1.2</v>
      </c>
      <c r="D256" s="173">
        <f>IF(B256="","",IFERROR(VLOOKUP(B256,'ITEM LIST'!B:M,12,0)*C256,0))</f>
        <v>6</v>
      </c>
      <c r="E256" s="1">
        <f t="shared" si="8"/>
        <v>123.28832000000001</v>
      </c>
      <c r="F256" s="20"/>
      <c r="G256" s="1"/>
      <c r="H256" s="1"/>
      <c r="I256" s="1"/>
      <c r="J256" s="1"/>
      <c r="K256" s="1"/>
      <c r="L256" s="1"/>
      <c r="M256" s="1"/>
      <c r="N256" s="1"/>
      <c r="O256" s="1"/>
      <c r="P256" s="1"/>
      <c r="Q256" s="1"/>
      <c r="R256" s="1"/>
      <c r="S256" s="1"/>
      <c r="T256" s="1"/>
      <c r="U256" s="1"/>
      <c r="V256" s="1"/>
      <c r="W256" s="1"/>
      <c r="X256" s="1"/>
      <c r="Y256" s="1"/>
      <c r="Z256" s="1"/>
    </row>
    <row r="257" spans="1:26" ht="15">
      <c r="A257" s="2" t="s">
        <v>295</v>
      </c>
      <c r="B257" s="2" t="s">
        <v>12</v>
      </c>
      <c r="C257" s="23">
        <v>3.6</v>
      </c>
      <c r="D257" s="173">
        <f>IF(B257="","",IFERROR(VLOOKUP(B257,'ITEM LIST'!B:M,12,0)*C257,0))</f>
        <v>0.34920000000000001</v>
      </c>
      <c r="E257" s="1">
        <f t="shared" si="8"/>
        <v>123.28832000000001</v>
      </c>
      <c r="F257" s="20"/>
      <c r="G257" s="1"/>
      <c r="H257" s="1"/>
      <c r="I257" s="1"/>
      <c r="J257" s="1"/>
      <c r="K257" s="1"/>
      <c r="L257" s="1"/>
      <c r="M257" s="1"/>
      <c r="N257" s="1"/>
      <c r="O257" s="1"/>
      <c r="P257" s="1"/>
      <c r="Q257" s="1"/>
      <c r="R257" s="1"/>
      <c r="S257" s="1"/>
      <c r="T257" s="1"/>
      <c r="U257" s="1"/>
      <c r="V257" s="1"/>
      <c r="W257" s="1"/>
      <c r="X257" s="1"/>
      <c r="Y257" s="1"/>
      <c r="Z257" s="1"/>
    </row>
    <row r="258" spans="1:26" ht="15">
      <c r="A258" s="2" t="s">
        <v>295</v>
      </c>
      <c r="B258" s="2" t="s">
        <v>380</v>
      </c>
      <c r="C258" s="22">
        <v>104</v>
      </c>
      <c r="D258" s="173">
        <f>IF(B258="","",IFERROR(VLOOKUP(B258,'ITEM LIST'!B:M,12,0)*C258,0))</f>
        <v>55.46632000000001</v>
      </c>
      <c r="E258" s="1">
        <f t="shared" si="8"/>
        <v>123.28832000000001</v>
      </c>
      <c r="F258" s="20"/>
      <c r="G258" s="1"/>
      <c r="H258" s="1"/>
      <c r="I258" s="1"/>
      <c r="J258" s="1"/>
      <c r="K258" s="1"/>
      <c r="L258" s="1"/>
      <c r="M258" s="1"/>
      <c r="N258" s="1"/>
      <c r="O258" s="1"/>
      <c r="P258" s="1"/>
      <c r="Q258" s="1"/>
      <c r="R258" s="1"/>
      <c r="S258" s="1"/>
      <c r="T258" s="1"/>
      <c r="U258" s="1"/>
      <c r="V258" s="1"/>
      <c r="W258" s="1"/>
      <c r="X258" s="1"/>
      <c r="Y258" s="1"/>
      <c r="Z258" s="1"/>
    </row>
    <row r="259" spans="1:26" ht="12.75">
      <c r="A259" s="1"/>
      <c r="B259" s="1" t="s">
        <v>371</v>
      </c>
      <c r="C259" s="20"/>
      <c r="D259" s="173" t="str">
        <f>IF(B259="","",IFERROR(VLOOKUP(B259,'ITEM LIST'!B:M,12,0)*C259,0))</f>
        <v/>
      </c>
      <c r="E259" s="1" t="str">
        <f t="shared" si="8"/>
        <v/>
      </c>
      <c r="F259" s="20"/>
      <c r="G259" s="1"/>
      <c r="H259" s="1"/>
      <c r="I259" s="1"/>
      <c r="J259" s="1"/>
      <c r="K259" s="1"/>
      <c r="L259" s="1"/>
      <c r="M259" s="1"/>
      <c r="N259" s="1"/>
      <c r="O259" s="1"/>
      <c r="P259" s="1"/>
      <c r="Q259" s="1"/>
      <c r="R259" s="1"/>
      <c r="S259" s="1"/>
      <c r="T259" s="1"/>
      <c r="U259" s="1"/>
      <c r="V259" s="1"/>
      <c r="W259" s="1"/>
      <c r="X259" s="1"/>
      <c r="Y259" s="1"/>
      <c r="Z259" s="1"/>
    </row>
    <row r="260" spans="1:26" ht="12.75">
      <c r="A260" s="1" t="s">
        <v>556</v>
      </c>
      <c r="B260" s="1" t="s">
        <v>382</v>
      </c>
      <c r="C260" s="20">
        <v>500</v>
      </c>
      <c r="D260" s="173">
        <f>IF(B260="","",IFERROR(VLOOKUP(B260,'ITEM LIST'!B:M,12,0)*C260,0))</f>
        <v>20</v>
      </c>
      <c r="E260" s="1">
        <f t="shared" si="8"/>
        <v>20</v>
      </c>
      <c r="F260" s="20"/>
      <c r="G260" s="1"/>
      <c r="H260" s="1"/>
      <c r="I260" s="1"/>
      <c r="J260" s="1"/>
      <c r="K260" s="1"/>
      <c r="L260" s="1"/>
      <c r="M260" s="1"/>
      <c r="N260" s="1"/>
      <c r="O260" s="1"/>
      <c r="P260" s="1"/>
      <c r="Q260" s="1"/>
      <c r="R260" s="1"/>
      <c r="S260" s="1"/>
      <c r="T260" s="1"/>
      <c r="U260" s="1"/>
      <c r="V260" s="1"/>
      <c r="W260" s="1"/>
      <c r="X260" s="1"/>
      <c r="Y260" s="1"/>
      <c r="Z260" s="1"/>
    </row>
    <row r="261" spans="1:26" ht="12.75">
      <c r="A261" s="1" t="s">
        <v>556</v>
      </c>
      <c r="B261" s="1" t="s">
        <v>101</v>
      </c>
      <c r="C261" s="20">
        <v>500</v>
      </c>
      <c r="D261" s="173">
        <f>IF(B261="","",IFERROR(VLOOKUP(B261,'ITEM LIST'!B:M,12,0)*C261,0))</f>
        <v>0</v>
      </c>
      <c r="E261" s="1">
        <f t="shared" si="8"/>
        <v>20</v>
      </c>
      <c r="F261" s="20"/>
      <c r="G261" s="1"/>
      <c r="H261" s="1"/>
      <c r="I261" s="1"/>
      <c r="J261" s="1"/>
      <c r="K261" s="1"/>
      <c r="L261" s="1"/>
      <c r="M261" s="1"/>
      <c r="N261" s="1"/>
      <c r="O261" s="1"/>
      <c r="P261" s="1"/>
      <c r="Q261" s="1"/>
      <c r="R261" s="1"/>
      <c r="S261" s="1"/>
      <c r="T261" s="1"/>
      <c r="U261" s="1"/>
      <c r="V261" s="1"/>
      <c r="W261" s="1"/>
      <c r="X261" s="1"/>
      <c r="Y261" s="1"/>
      <c r="Z261" s="1"/>
    </row>
    <row r="262" spans="1:26" ht="12.75">
      <c r="A262" s="1"/>
      <c r="B262" s="1" t="s">
        <v>371</v>
      </c>
      <c r="C262" s="21"/>
      <c r="D262" s="173" t="str">
        <f>IF(B262="","",IFERROR(VLOOKUP(B262,'ITEM LIST'!B:M,12,0)*C262,0))</f>
        <v/>
      </c>
      <c r="E262" s="1" t="str">
        <f t="shared" si="8"/>
        <v/>
      </c>
      <c r="F262" s="20"/>
      <c r="G262" s="1"/>
      <c r="H262" s="1"/>
      <c r="I262" s="1"/>
      <c r="J262" s="1"/>
      <c r="K262" s="1"/>
      <c r="L262" s="1"/>
      <c r="M262" s="1"/>
      <c r="N262" s="1"/>
      <c r="O262" s="1"/>
      <c r="P262" s="1"/>
      <c r="Q262" s="1"/>
      <c r="R262" s="1"/>
      <c r="S262" s="1"/>
      <c r="T262" s="1"/>
      <c r="U262" s="1"/>
      <c r="V262" s="1"/>
      <c r="W262" s="1"/>
      <c r="X262" s="1"/>
      <c r="Y262" s="1"/>
      <c r="Z262" s="1"/>
    </row>
    <row r="263" spans="1:26" ht="15">
      <c r="A263" s="2" t="s">
        <v>55</v>
      </c>
      <c r="B263" s="1" t="s">
        <v>114</v>
      </c>
      <c r="C263" s="21">
        <v>10</v>
      </c>
      <c r="D263" s="173">
        <f>IF(B263="","",IFERROR(VLOOKUP(B263,'ITEM LIST'!B:M,12,0)*C263,0))</f>
        <v>0.28000000000000003</v>
      </c>
      <c r="E263" s="1">
        <f t="shared" si="8"/>
        <v>17.86</v>
      </c>
      <c r="F263" s="20"/>
      <c r="G263" s="1"/>
      <c r="H263" s="1"/>
      <c r="I263" s="1"/>
      <c r="J263" s="1"/>
      <c r="K263" s="1"/>
      <c r="L263" s="1"/>
      <c r="M263" s="1"/>
      <c r="N263" s="1"/>
      <c r="O263" s="1"/>
      <c r="P263" s="1"/>
      <c r="Q263" s="1"/>
      <c r="R263" s="1"/>
      <c r="S263" s="1"/>
      <c r="T263" s="1"/>
      <c r="U263" s="1"/>
      <c r="V263" s="1"/>
      <c r="W263" s="1"/>
      <c r="X263" s="1"/>
      <c r="Y263" s="1"/>
      <c r="Z263" s="1"/>
    </row>
    <row r="264" spans="1:26" ht="15">
      <c r="A264" s="2" t="s">
        <v>55</v>
      </c>
      <c r="B264" s="1" t="s">
        <v>214</v>
      </c>
      <c r="C264" s="21">
        <v>5</v>
      </c>
      <c r="D264" s="173">
        <f>IF(B264="","",IFERROR(VLOOKUP(B264,'ITEM LIST'!B:M,12,0)*C264,0))</f>
        <v>1</v>
      </c>
      <c r="E264" s="1">
        <f t="shared" si="8"/>
        <v>17.86</v>
      </c>
      <c r="F264" s="20"/>
      <c r="G264" s="1"/>
      <c r="H264" s="1"/>
      <c r="I264" s="1"/>
      <c r="J264" s="1"/>
      <c r="K264" s="1"/>
      <c r="L264" s="1"/>
      <c r="M264" s="1"/>
      <c r="N264" s="1"/>
      <c r="O264" s="1"/>
      <c r="P264" s="1"/>
      <c r="Q264" s="1"/>
      <c r="R264" s="1"/>
      <c r="S264" s="1"/>
      <c r="T264" s="1"/>
      <c r="U264" s="1"/>
      <c r="V264" s="1"/>
      <c r="W264" s="1"/>
      <c r="X264" s="1"/>
      <c r="Y264" s="1"/>
      <c r="Z264" s="1"/>
    </row>
    <row r="265" spans="1:26" ht="15">
      <c r="A265" s="2" t="s">
        <v>55</v>
      </c>
      <c r="B265" s="1" t="s">
        <v>101</v>
      </c>
      <c r="C265" s="21">
        <v>490</v>
      </c>
      <c r="D265" s="173">
        <f>IF(B265="","",IFERROR(VLOOKUP(B265,'ITEM LIST'!B:M,12,0)*C265,0))</f>
        <v>0</v>
      </c>
      <c r="E265" s="1">
        <f t="shared" si="8"/>
        <v>17.86</v>
      </c>
      <c r="F265" s="20"/>
      <c r="G265" s="1"/>
      <c r="H265" s="1"/>
      <c r="I265" s="1"/>
      <c r="J265" s="1"/>
      <c r="K265" s="1"/>
      <c r="L265" s="1"/>
      <c r="M265" s="1"/>
      <c r="N265" s="1"/>
      <c r="O265" s="1"/>
      <c r="P265" s="1"/>
      <c r="Q265" s="1"/>
      <c r="R265" s="1"/>
      <c r="S265" s="1"/>
      <c r="T265" s="1"/>
      <c r="U265" s="1"/>
      <c r="V265" s="1"/>
      <c r="W265" s="1"/>
      <c r="X265" s="1"/>
      <c r="Y265" s="1"/>
      <c r="Z265" s="1"/>
    </row>
    <row r="266" spans="1:26" ht="15">
      <c r="A266" s="2" t="s">
        <v>55</v>
      </c>
      <c r="B266" s="1" t="s">
        <v>675</v>
      </c>
      <c r="C266" s="202"/>
      <c r="D266" s="173">
        <f>IF(B266="","",IFERROR(VLOOKUP(B266,'ITEM LIST'!B:M,12,0)*C266,0))</f>
        <v>0</v>
      </c>
      <c r="E266" s="1">
        <f t="shared" si="8"/>
        <v>17.86</v>
      </c>
      <c r="F266" s="20"/>
      <c r="G266" s="1"/>
      <c r="H266" s="1"/>
      <c r="I266" s="1"/>
      <c r="J266" s="1"/>
      <c r="K266" s="1"/>
      <c r="L266" s="1"/>
      <c r="M266" s="1"/>
      <c r="N266" s="1"/>
      <c r="O266" s="1"/>
      <c r="P266" s="1"/>
      <c r="Q266" s="1"/>
      <c r="R266" s="1"/>
      <c r="S266" s="1"/>
      <c r="T266" s="1"/>
      <c r="U266" s="1"/>
      <c r="V266" s="1"/>
      <c r="W266" s="1"/>
      <c r="X266" s="1"/>
      <c r="Y266" s="1"/>
      <c r="Z266" s="1"/>
    </row>
    <row r="267" spans="1:26" ht="15">
      <c r="A267" s="2" t="s">
        <v>55</v>
      </c>
      <c r="B267" s="1" t="s">
        <v>40</v>
      </c>
      <c r="C267" s="21">
        <v>490</v>
      </c>
      <c r="D267" s="173">
        <f>IF(B267="","",IFERROR(VLOOKUP(B267,'ITEM LIST'!B:M,12,0)*C267,0))</f>
        <v>15.68</v>
      </c>
      <c r="E267" s="1">
        <f t="shared" si="8"/>
        <v>17.86</v>
      </c>
      <c r="F267" s="20"/>
      <c r="G267" s="1"/>
      <c r="H267" s="1"/>
      <c r="I267" s="1"/>
      <c r="J267" s="1"/>
      <c r="K267" s="1"/>
      <c r="L267" s="1"/>
      <c r="M267" s="1"/>
      <c r="N267" s="1"/>
      <c r="O267" s="1"/>
      <c r="P267" s="1"/>
      <c r="Q267" s="1"/>
      <c r="R267" s="1"/>
      <c r="S267" s="1"/>
      <c r="T267" s="1"/>
      <c r="U267" s="1"/>
      <c r="V267" s="1"/>
      <c r="W267" s="1"/>
      <c r="X267" s="1"/>
      <c r="Y267" s="1"/>
      <c r="Z267" s="1"/>
    </row>
    <row r="268" spans="1:26" ht="15">
      <c r="A268" s="2" t="s">
        <v>55</v>
      </c>
      <c r="B268" s="1" t="s">
        <v>671</v>
      </c>
      <c r="C268" s="21">
        <v>5</v>
      </c>
      <c r="D268" s="173">
        <f>IF(B268="","",IFERROR(VLOOKUP(B268,'ITEM LIST'!B:M,12,0)*C268,0))</f>
        <v>0.89999999999999991</v>
      </c>
      <c r="E268" s="1">
        <f t="shared" si="8"/>
        <v>17.86</v>
      </c>
      <c r="F268" s="20"/>
      <c r="G268" s="1"/>
      <c r="H268" s="1"/>
      <c r="I268" s="1"/>
      <c r="J268" s="1"/>
      <c r="K268" s="1"/>
      <c r="L268" s="1"/>
      <c r="M268" s="1"/>
      <c r="N268" s="1"/>
      <c r="O268" s="1"/>
      <c r="P268" s="1"/>
      <c r="Q268" s="1"/>
      <c r="R268" s="1"/>
      <c r="S268" s="1"/>
      <c r="T268" s="1"/>
      <c r="U268" s="1"/>
      <c r="V268" s="1"/>
      <c r="W268" s="1"/>
      <c r="X268" s="1"/>
      <c r="Y268" s="1"/>
      <c r="Z268" s="1"/>
    </row>
    <row r="269" spans="1:26" ht="15.75" customHeight="1">
      <c r="D269" s="173" t="str">
        <f>IF(B269="","",IFERROR(VLOOKUP(B269,'ITEM LIST'!B:M,12,0)*C269,0))</f>
        <v/>
      </c>
      <c r="E269" s="1" t="str">
        <f t="shared" si="8"/>
        <v/>
      </c>
    </row>
    <row r="270" spans="1:26" ht="15.75" customHeight="1">
      <c r="A270" s="2" t="s">
        <v>661</v>
      </c>
      <c r="B270" s="1" t="s">
        <v>49</v>
      </c>
      <c r="C270" s="21">
        <v>35.714285714285715</v>
      </c>
      <c r="D270" s="173">
        <f>IF(B270="","",IFERROR(VLOOKUP(B270,'ITEM LIST'!B:M,12,0)*C270,0))</f>
        <v>26.785714285714285</v>
      </c>
      <c r="E270" s="1">
        <f t="shared" si="8"/>
        <v>131.78571428571428</v>
      </c>
    </row>
    <row r="271" spans="1:26" ht="15.75" customHeight="1">
      <c r="A271" s="2" t="s">
        <v>661</v>
      </c>
      <c r="B271" s="1" t="s">
        <v>214</v>
      </c>
      <c r="C271" s="21">
        <v>35.714285714285715</v>
      </c>
      <c r="D271" s="173">
        <f>IF(B271="","",IFERROR(VLOOKUP(B271,'ITEM LIST'!B:M,12,0)*C271,0))</f>
        <v>7.1428571428571432</v>
      </c>
      <c r="E271" s="1">
        <f t="shared" si="8"/>
        <v>131.78571428571428</v>
      </c>
    </row>
    <row r="272" spans="1:26" ht="15">
      <c r="A272" s="2" t="s">
        <v>661</v>
      </c>
      <c r="B272" s="1" t="s">
        <v>384</v>
      </c>
      <c r="C272" s="21">
        <v>142.85714285714286</v>
      </c>
      <c r="D272" s="173">
        <f>IF(B272="","",IFERROR(VLOOKUP(B272,'ITEM LIST'!B:M,12,0)*C272,0))</f>
        <v>5.0000000000000009</v>
      </c>
      <c r="E272" s="1">
        <f t="shared" si="8"/>
        <v>131.78571428571428</v>
      </c>
      <c r="G272" s="1"/>
      <c r="H272" s="1"/>
      <c r="I272" s="1"/>
      <c r="J272" s="1"/>
      <c r="K272" s="1"/>
      <c r="L272" s="1"/>
      <c r="M272" s="1"/>
      <c r="N272" s="1"/>
      <c r="O272" s="1"/>
      <c r="P272" s="1"/>
      <c r="Q272" s="1"/>
      <c r="R272" s="1"/>
      <c r="S272" s="1"/>
      <c r="T272" s="1"/>
      <c r="U272" s="1"/>
      <c r="V272" s="1"/>
      <c r="W272" s="1"/>
      <c r="X272" s="1"/>
      <c r="Y272" s="1"/>
      <c r="Z272" s="1"/>
    </row>
    <row r="273" spans="1:26" ht="15">
      <c r="A273" s="2" t="s">
        <v>661</v>
      </c>
      <c r="B273" s="1" t="s">
        <v>2</v>
      </c>
      <c r="C273" s="21">
        <v>35.714285714285715</v>
      </c>
      <c r="D273" s="173">
        <f>IF(B273="","",IFERROR(VLOOKUP(B273,'ITEM LIST'!B:M,12,0)*C273,0))</f>
        <v>17.142857142857142</v>
      </c>
      <c r="E273" s="1">
        <f t="shared" si="8"/>
        <v>131.78571428571428</v>
      </c>
      <c r="G273" s="1"/>
      <c r="H273" s="1"/>
      <c r="I273" s="1"/>
      <c r="J273" s="1"/>
      <c r="K273" s="1"/>
      <c r="L273" s="1"/>
      <c r="M273" s="1"/>
      <c r="N273" s="1"/>
      <c r="O273" s="1"/>
      <c r="P273" s="1"/>
      <c r="Q273" s="1"/>
      <c r="R273" s="1"/>
      <c r="S273" s="1"/>
      <c r="T273" s="1"/>
      <c r="U273" s="1"/>
      <c r="V273" s="1"/>
      <c r="W273" s="1"/>
      <c r="X273" s="1"/>
      <c r="Y273" s="1"/>
      <c r="Z273" s="1"/>
    </row>
    <row r="274" spans="1:26" ht="15">
      <c r="A274" s="2" t="s">
        <v>661</v>
      </c>
      <c r="B274" s="1" t="s">
        <v>278</v>
      </c>
      <c r="C274" s="21">
        <v>357.14285714285717</v>
      </c>
      <c r="D274" s="173">
        <f>IF(B274="","",IFERROR(VLOOKUP(B274,'ITEM LIST'!B:M,12,0)*C274,0))</f>
        <v>42.857142857142861</v>
      </c>
      <c r="E274" s="1">
        <f t="shared" si="8"/>
        <v>131.78571428571428</v>
      </c>
      <c r="G274" s="1"/>
      <c r="H274" s="1"/>
      <c r="I274" s="1"/>
      <c r="J274" s="1"/>
      <c r="K274" s="1"/>
      <c r="L274" s="1"/>
      <c r="M274" s="1"/>
      <c r="N274" s="1"/>
      <c r="O274" s="1"/>
      <c r="P274" s="1"/>
      <c r="Q274" s="1"/>
      <c r="R274" s="1"/>
      <c r="S274" s="1"/>
      <c r="T274" s="1"/>
      <c r="U274" s="1"/>
      <c r="V274" s="1"/>
      <c r="W274" s="1"/>
      <c r="X274" s="1"/>
      <c r="Y274" s="1"/>
      <c r="Z274" s="1"/>
    </row>
    <row r="275" spans="1:26" ht="15">
      <c r="A275" s="2" t="s">
        <v>661</v>
      </c>
      <c r="B275" s="1" t="s">
        <v>101</v>
      </c>
      <c r="C275" s="21">
        <v>357.14285714285717</v>
      </c>
      <c r="D275" s="173">
        <f>IF(B275="","",IFERROR(VLOOKUP(B275,'ITEM LIST'!B:M,12,0)*C275,0))</f>
        <v>0</v>
      </c>
      <c r="E275" s="1">
        <f t="shared" si="8"/>
        <v>131.78571428571428</v>
      </c>
      <c r="G275" s="1"/>
      <c r="H275" s="1"/>
      <c r="I275" s="1"/>
      <c r="J275" s="1"/>
      <c r="K275" s="1"/>
      <c r="L275" s="1"/>
      <c r="M275" s="1"/>
      <c r="N275" s="1"/>
      <c r="O275" s="1"/>
      <c r="P275" s="1"/>
      <c r="Q275" s="1"/>
      <c r="R275" s="1"/>
      <c r="S275" s="1"/>
      <c r="T275" s="1"/>
      <c r="U275" s="1"/>
      <c r="V275" s="1"/>
      <c r="W275" s="1"/>
      <c r="X275" s="1"/>
      <c r="Y275" s="1"/>
      <c r="Z275" s="1"/>
    </row>
    <row r="276" spans="1:26" ht="15">
      <c r="A276" s="2" t="s">
        <v>661</v>
      </c>
      <c r="B276" s="1" t="s">
        <v>340</v>
      </c>
      <c r="C276" s="21">
        <v>3.5714285714285716</v>
      </c>
      <c r="D276" s="173">
        <f>IF(B276="","",IFERROR(VLOOKUP(B276,'ITEM LIST'!B:M,12,0)*C276,0))</f>
        <v>17.857142857142858</v>
      </c>
      <c r="E276" s="1">
        <f t="shared" si="8"/>
        <v>131.78571428571428</v>
      </c>
      <c r="G276" s="1"/>
      <c r="H276" s="1"/>
      <c r="I276" s="1"/>
      <c r="J276" s="1"/>
      <c r="K276" s="1"/>
      <c r="L276" s="1"/>
      <c r="M276" s="1"/>
      <c r="N276" s="1"/>
      <c r="O276" s="1"/>
      <c r="P276" s="1"/>
      <c r="Q276" s="1"/>
      <c r="R276" s="1"/>
      <c r="S276" s="1"/>
      <c r="T276" s="1"/>
      <c r="U276" s="1"/>
      <c r="V276" s="1"/>
      <c r="W276" s="1"/>
      <c r="X276" s="1"/>
      <c r="Y276" s="1"/>
      <c r="Z276" s="1"/>
    </row>
    <row r="277" spans="1:26" ht="15">
      <c r="A277" s="2" t="s">
        <v>661</v>
      </c>
      <c r="B277" s="13" t="s">
        <v>662</v>
      </c>
      <c r="C277" s="21">
        <v>35.714285714285715</v>
      </c>
      <c r="D277" s="173">
        <f>IF(B277="","",IFERROR(VLOOKUP(B277,'ITEM LIST'!B:M,12,0)*C277,0))</f>
        <v>10.714285714285714</v>
      </c>
      <c r="E277" s="1">
        <f t="shared" si="8"/>
        <v>131.78571428571428</v>
      </c>
      <c r="G277" s="1"/>
      <c r="H277" s="1"/>
      <c r="I277" s="1"/>
      <c r="J277" s="1"/>
      <c r="K277" s="1"/>
      <c r="L277" s="1"/>
      <c r="M277" s="1"/>
      <c r="N277" s="1"/>
      <c r="O277" s="1"/>
      <c r="P277" s="1"/>
      <c r="Q277" s="1"/>
      <c r="R277" s="1"/>
      <c r="S277" s="1"/>
      <c r="T277" s="1"/>
      <c r="U277" s="1"/>
      <c r="V277" s="1"/>
      <c r="W277" s="1"/>
      <c r="X277" s="1"/>
      <c r="Y277" s="1"/>
      <c r="Z277" s="1"/>
    </row>
    <row r="278" spans="1:26" ht="15">
      <c r="A278" s="2" t="s">
        <v>661</v>
      </c>
      <c r="B278" s="1" t="s">
        <v>230</v>
      </c>
      <c r="C278" s="21">
        <v>14.285714285714286</v>
      </c>
      <c r="D278" s="173">
        <f>IF(B278="","",IFERROR(VLOOKUP(B278,'ITEM LIST'!B:M,12,0)*C278,0))</f>
        <v>4.2857142857142856</v>
      </c>
      <c r="E278" s="1">
        <f t="shared" si="8"/>
        <v>131.78571428571428</v>
      </c>
      <c r="G278" s="1"/>
      <c r="H278" s="1"/>
      <c r="I278" s="1"/>
      <c r="J278" s="1"/>
      <c r="K278" s="1"/>
      <c r="L278" s="1"/>
      <c r="M278" s="1"/>
      <c r="N278" s="1"/>
      <c r="O278" s="1"/>
      <c r="P278" s="1"/>
      <c r="Q278" s="1"/>
      <c r="R278" s="1"/>
      <c r="S278" s="1"/>
      <c r="T278" s="1"/>
      <c r="U278" s="1"/>
      <c r="V278" s="1"/>
      <c r="W278" s="1"/>
      <c r="X278" s="1"/>
      <c r="Y278" s="1"/>
      <c r="Z278" s="1"/>
    </row>
    <row r="279" spans="1:26" ht="12.75">
      <c r="A279" s="1" t="s">
        <v>56</v>
      </c>
      <c r="B279" s="1" t="s">
        <v>391</v>
      </c>
      <c r="C279" s="20">
        <v>160</v>
      </c>
      <c r="D279" s="173">
        <f>IF(B279="","",IFERROR(VLOOKUP(B279,'ITEM LIST'!B:M,12,0)*C279,0))</f>
        <v>16</v>
      </c>
      <c r="E279" s="1">
        <f t="shared" si="8"/>
        <v>36.766600000000004</v>
      </c>
      <c r="F279" s="20"/>
      <c r="G279" s="1"/>
      <c r="H279" s="1"/>
      <c r="I279" s="1"/>
      <c r="J279" s="1"/>
      <c r="K279" s="1"/>
      <c r="L279" s="1"/>
      <c r="M279" s="1"/>
      <c r="N279" s="1"/>
      <c r="O279" s="1"/>
      <c r="P279" s="1"/>
      <c r="Q279" s="1"/>
      <c r="R279" s="1"/>
      <c r="S279" s="1"/>
      <c r="T279" s="1"/>
      <c r="U279" s="1"/>
      <c r="V279" s="1"/>
      <c r="W279" s="1"/>
      <c r="X279" s="1"/>
      <c r="Y279" s="1"/>
      <c r="Z279" s="1"/>
    </row>
    <row r="280" spans="1:26" ht="12.75">
      <c r="A280" s="1" t="s">
        <v>56</v>
      </c>
      <c r="B280" s="1" t="s">
        <v>216</v>
      </c>
      <c r="C280" s="20">
        <v>2</v>
      </c>
      <c r="D280" s="173">
        <f>IF(B280="","",IFERROR(VLOOKUP(B280,'ITEM LIST'!B:M,12,0)*C280,0))</f>
        <v>1.6</v>
      </c>
      <c r="E280" s="1">
        <f t="shared" ref="E280:E284" si="9">IF(A280="","", SUMIFS(D:D,A:A,A280))</f>
        <v>36.766600000000004</v>
      </c>
      <c r="F280" s="20"/>
      <c r="G280" s="1"/>
      <c r="H280" s="1"/>
      <c r="I280" s="1"/>
      <c r="J280" s="1"/>
      <c r="K280" s="1"/>
      <c r="L280" s="1"/>
      <c r="M280" s="1"/>
      <c r="N280" s="1"/>
      <c r="O280" s="1"/>
      <c r="P280" s="1"/>
      <c r="Q280" s="1"/>
      <c r="R280" s="1"/>
      <c r="S280" s="1"/>
      <c r="T280" s="1"/>
      <c r="U280" s="1"/>
      <c r="V280" s="1"/>
      <c r="W280" s="1"/>
      <c r="X280" s="1"/>
      <c r="Y280" s="1"/>
      <c r="Z280" s="1"/>
    </row>
    <row r="281" spans="1:26" ht="12.75">
      <c r="A281" s="1" t="s">
        <v>56</v>
      </c>
      <c r="B281" s="1" t="s">
        <v>37</v>
      </c>
      <c r="C281" s="20">
        <v>8</v>
      </c>
      <c r="D281" s="173">
        <f>IF(B281="","",IFERROR(VLOOKUP(B281,'ITEM LIST'!B:M,12,0)*C281,0))</f>
        <v>1.6</v>
      </c>
      <c r="E281" s="1">
        <f t="shared" si="9"/>
        <v>36.766600000000004</v>
      </c>
      <c r="F281" s="20"/>
      <c r="G281" s="1"/>
      <c r="H281" s="1"/>
      <c r="I281" s="1"/>
      <c r="J281" s="1"/>
      <c r="K281" s="1"/>
      <c r="L281" s="1"/>
      <c r="M281" s="1"/>
      <c r="N281" s="1"/>
      <c r="O281" s="1"/>
      <c r="P281" s="1"/>
      <c r="Q281" s="1"/>
      <c r="R281" s="1"/>
      <c r="S281" s="1"/>
      <c r="T281" s="1"/>
      <c r="U281" s="1"/>
      <c r="V281" s="1"/>
      <c r="W281" s="1"/>
      <c r="X281" s="1"/>
      <c r="Y281" s="1"/>
      <c r="Z281" s="1"/>
    </row>
    <row r="282" spans="1:26" ht="12.75">
      <c r="A282" s="1" t="s">
        <v>56</v>
      </c>
      <c r="B282" s="1" t="s">
        <v>2</v>
      </c>
      <c r="C282" s="20">
        <v>2</v>
      </c>
      <c r="D282" s="173">
        <f>IF(B282="","",IFERROR(VLOOKUP(B282,'ITEM LIST'!B:M,12,0)*C282,0))</f>
        <v>0.96</v>
      </c>
      <c r="E282" s="1">
        <f t="shared" si="9"/>
        <v>36.766600000000004</v>
      </c>
      <c r="F282" s="20"/>
      <c r="G282" s="1"/>
      <c r="H282" s="1"/>
      <c r="I282" s="1"/>
      <c r="J282" s="1"/>
      <c r="K282" s="1"/>
      <c r="L282" s="1"/>
      <c r="M282" s="1"/>
      <c r="N282" s="1"/>
      <c r="O282" s="1"/>
      <c r="P282" s="1"/>
      <c r="Q282" s="1"/>
      <c r="R282" s="1"/>
      <c r="S282" s="1"/>
      <c r="T282" s="1"/>
      <c r="U282" s="1"/>
      <c r="V282" s="1"/>
      <c r="W282" s="1"/>
      <c r="X282" s="1"/>
      <c r="Y282" s="1"/>
      <c r="Z282" s="1"/>
    </row>
    <row r="283" spans="1:26" ht="12.75">
      <c r="A283" s="1" t="s">
        <v>56</v>
      </c>
      <c r="B283" s="1" t="s">
        <v>380</v>
      </c>
      <c r="C283" s="20">
        <v>20</v>
      </c>
      <c r="D283" s="173">
        <f>IF(B283="","",IFERROR(VLOOKUP(B283,'ITEM LIST'!B:M,12,0)*C283,0))</f>
        <v>10.666600000000003</v>
      </c>
      <c r="E283" s="1">
        <f t="shared" si="9"/>
        <v>36.766600000000004</v>
      </c>
      <c r="F283" s="20"/>
      <c r="G283" s="1"/>
      <c r="H283" s="1"/>
      <c r="I283" s="1"/>
      <c r="J283" s="1"/>
      <c r="K283" s="1"/>
      <c r="L283" s="1"/>
      <c r="M283" s="1"/>
      <c r="N283" s="1"/>
      <c r="O283" s="1"/>
      <c r="P283" s="1"/>
      <c r="Q283" s="1"/>
      <c r="R283" s="1"/>
      <c r="S283" s="1"/>
      <c r="T283" s="1"/>
      <c r="U283" s="1"/>
      <c r="V283" s="1"/>
      <c r="W283" s="1"/>
      <c r="X283" s="1"/>
      <c r="Y283" s="1"/>
      <c r="Z283" s="1"/>
    </row>
    <row r="284" spans="1:26" ht="12.75">
      <c r="A284" s="1" t="s">
        <v>56</v>
      </c>
      <c r="B284" s="1" t="s">
        <v>17</v>
      </c>
      <c r="C284" s="20">
        <v>22</v>
      </c>
      <c r="D284" s="173">
        <f>IF(B284="","",IFERROR(VLOOKUP(B284,'ITEM LIST'!B:M,12,0)*C284,0))</f>
        <v>5.94</v>
      </c>
      <c r="E284" s="1">
        <f t="shared" si="9"/>
        <v>36.766600000000004</v>
      </c>
      <c r="F284" s="20"/>
      <c r="G284" s="1"/>
      <c r="H284" s="1"/>
      <c r="I284" s="1"/>
      <c r="J284" s="1"/>
      <c r="K284" s="1"/>
      <c r="L284" s="1"/>
      <c r="M284" s="1"/>
      <c r="N284" s="1"/>
      <c r="O284" s="1"/>
      <c r="P284" s="1"/>
      <c r="Q284" s="1"/>
      <c r="R284" s="1"/>
      <c r="S284" s="1"/>
      <c r="T284" s="1"/>
      <c r="U284" s="1"/>
      <c r="V284" s="1"/>
      <c r="W284" s="1"/>
      <c r="X284" s="1"/>
      <c r="Y284" s="1"/>
      <c r="Z284" s="1"/>
    </row>
    <row r="285" spans="1:26" ht="12.75">
      <c r="B285" s="1" t="s">
        <v>371</v>
      </c>
      <c r="C285" s="21"/>
      <c r="D285" s="173" t="str">
        <f>IF(B285="","",IFERROR(VLOOKUP(B285,'ITEM LIST'!B:M,12,0)*C285,0))</f>
        <v/>
      </c>
      <c r="E285" s="1"/>
      <c r="F285" s="20"/>
      <c r="G285" s="1"/>
      <c r="H285" s="1"/>
      <c r="I285" s="1"/>
      <c r="J285" s="1"/>
      <c r="K285" s="1"/>
      <c r="L285" s="1"/>
      <c r="M285" s="1"/>
      <c r="N285" s="1"/>
      <c r="O285" s="1"/>
      <c r="P285" s="1"/>
      <c r="Q285" s="1"/>
      <c r="R285" s="1"/>
      <c r="S285" s="1"/>
      <c r="T285" s="1"/>
      <c r="U285" s="1"/>
      <c r="V285" s="1"/>
      <c r="W285" s="1"/>
      <c r="X285" s="1"/>
      <c r="Y285" s="1"/>
      <c r="Z285" s="1"/>
    </row>
    <row r="286" spans="1:26" ht="12.75">
      <c r="A286" s="1" t="s">
        <v>90</v>
      </c>
      <c r="B286" s="1" t="s">
        <v>545</v>
      </c>
      <c r="C286" s="20">
        <v>779</v>
      </c>
      <c r="D286" s="173">
        <f>IF(B286="","",IFERROR(VLOOKUP(B286,'ITEM LIST'!B:M,12,0)*C286,0))</f>
        <v>128.45645083333335</v>
      </c>
      <c r="E286" s="1">
        <f>IF(A287="","", SUMIFS(D:D,A:A,A287))</f>
        <v>192.66372083333334</v>
      </c>
      <c r="F286" s="20"/>
      <c r="G286" s="1"/>
      <c r="H286" s="1"/>
      <c r="I286" s="1"/>
      <c r="J286" s="1"/>
      <c r="K286" s="1"/>
      <c r="L286" s="1"/>
      <c r="M286" s="1"/>
      <c r="N286" s="1"/>
      <c r="O286" s="1"/>
      <c r="P286" s="1"/>
      <c r="Q286" s="1"/>
      <c r="R286" s="1"/>
      <c r="S286" s="1"/>
      <c r="T286" s="1"/>
      <c r="U286" s="1"/>
      <c r="V286" s="1"/>
      <c r="W286" s="1"/>
      <c r="X286" s="1"/>
      <c r="Y286" s="1"/>
      <c r="Z286" s="1"/>
    </row>
    <row r="287" spans="1:26" ht="12.75">
      <c r="A287" s="1" t="s">
        <v>90</v>
      </c>
      <c r="B287" s="1" t="s">
        <v>488</v>
      </c>
      <c r="C287" s="20">
        <v>45.599999999999994</v>
      </c>
      <c r="D287" s="173">
        <f>IF(B287="","",IFERROR(VLOOKUP(B287,'ITEM LIST'!B:M,12,0)*C287,0))</f>
        <v>21.431999999999995</v>
      </c>
      <c r="E287" s="1">
        <f t="shared" ref="E287:E308" si="10">IF(A287="","", SUMIFS(D:D,A:A,A287))</f>
        <v>192.66372083333334</v>
      </c>
      <c r="F287" s="20"/>
      <c r="G287" s="1"/>
      <c r="H287" s="1"/>
      <c r="I287" s="1"/>
      <c r="J287" s="1"/>
      <c r="K287" s="1"/>
      <c r="L287" s="1"/>
      <c r="M287" s="1"/>
      <c r="N287" s="1"/>
      <c r="O287" s="1"/>
      <c r="P287" s="1"/>
      <c r="Q287" s="1"/>
      <c r="R287" s="1"/>
      <c r="S287" s="1"/>
      <c r="T287" s="1"/>
      <c r="U287" s="1"/>
      <c r="V287" s="1"/>
      <c r="W287" s="1"/>
      <c r="X287" s="1"/>
      <c r="Y287" s="1"/>
      <c r="Z287" s="1"/>
    </row>
    <row r="288" spans="1:26" ht="12.75">
      <c r="A288" s="1" t="s">
        <v>90</v>
      </c>
      <c r="B288" s="1" t="s">
        <v>4</v>
      </c>
      <c r="C288" s="20">
        <v>152</v>
      </c>
      <c r="D288" s="173">
        <f>IF(B288="","",IFERROR(VLOOKUP(B288,'ITEM LIST'!B:M,12,0)*C288,0))</f>
        <v>32.375999999999998</v>
      </c>
      <c r="E288" s="1">
        <f t="shared" si="10"/>
        <v>192.66372083333334</v>
      </c>
      <c r="F288" s="20"/>
      <c r="G288" s="1"/>
      <c r="H288" s="1"/>
      <c r="I288" s="1"/>
      <c r="J288" s="1"/>
      <c r="K288" s="1"/>
      <c r="L288" s="1"/>
      <c r="M288" s="1"/>
      <c r="N288" s="1"/>
      <c r="O288" s="1"/>
      <c r="P288" s="1"/>
      <c r="Q288" s="1"/>
      <c r="R288" s="1"/>
      <c r="S288" s="1"/>
      <c r="T288" s="1"/>
      <c r="U288" s="1"/>
      <c r="V288" s="1"/>
      <c r="W288" s="1"/>
      <c r="X288" s="1"/>
      <c r="Y288" s="1"/>
      <c r="Z288" s="1"/>
    </row>
    <row r="289" spans="1:26" ht="12.75">
      <c r="A289" s="1" t="s">
        <v>90</v>
      </c>
      <c r="B289" s="1" t="s">
        <v>114</v>
      </c>
      <c r="C289" s="20">
        <v>9.5</v>
      </c>
      <c r="D289" s="173">
        <f>IF(B289="","",IFERROR(VLOOKUP(B289,'ITEM LIST'!B:M,12,0)*C289,0))</f>
        <v>0.26600000000000001</v>
      </c>
      <c r="E289" s="1">
        <f t="shared" si="10"/>
        <v>192.66372083333334</v>
      </c>
      <c r="F289" s="20"/>
      <c r="G289" s="1"/>
      <c r="H289" s="1"/>
      <c r="I289" s="1"/>
      <c r="J289" s="1"/>
      <c r="K289" s="1"/>
      <c r="L289" s="1"/>
      <c r="M289" s="1"/>
      <c r="N289" s="1"/>
      <c r="O289" s="1"/>
      <c r="P289" s="1"/>
      <c r="Q289" s="1"/>
      <c r="R289" s="1"/>
      <c r="S289" s="1"/>
      <c r="T289" s="1"/>
      <c r="U289" s="1"/>
      <c r="V289" s="1"/>
      <c r="W289" s="1"/>
      <c r="X289" s="1"/>
      <c r="Y289" s="1"/>
      <c r="Z289" s="1"/>
    </row>
    <row r="290" spans="1:26" ht="12.75">
      <c r="A290" s="1" t="s">
        <v>90</v>
      </c>
      <c r="B290" s="1" t="s">
        <v>380</v>
      </c>
      <c r="C290" s="20">
        <v>19</v>
      </c>
      <c r="D290" s="173">
        <f>IF(B290="","",IFERROR(VLOOKUP(B290,'ITEM LIST'!B:M,12,0)*C290,0))</f>
        <v>10.133270000000001</v>
      </c>
      <c r="E290" s="1">
        <f t="shared" si="10"/>
        <v>192.66372083333334</v>
      </c>
      <c r="F290" s="20"/>
      <c r="G290" s="1"/>
      <c r="H290" s="1"/>
      <c r="I290" s="1"/>
      <c r="J290" s="1"/>
      <c r="K290" s="1"/>
      <c r="L290" s="1"/>
      <c r="M290" s="1"/>
      <c r="N290" s="1"/>
      <c r="O290" s="1"/>
      <c r="P290" s="1"/>
      <c r="Q290" s="1"/>
      <c r="R290" s="1"/>
      <c r="S290" s="1"/>
      <c r="T290" s="1"/>
      <c r="U290" s="1"/>
      <c r="V290" s="1"/>
      <c r="W290" s="1"/>
      <c r="X290" s="1"/>
      <c r="Y290" s="1"/>
      <c r="Z290" s="1"/>
    </row>
    <row r="291" spans="1:26" ht="12.75">
      <c r="A291" s="1"/>
      <c r="B291" s="1" t="s">
        <v>371</v>
      </c>
      <c r="C291" s="21"/>
      <c r="D291" s="173" t="str">
        <f>IF(B291="","",IFERROR(VLOOKUP(B291,'ITEM LIST'!B:M,12,0)*C291,0))</f>
        <v/>
      </c>
      <c r="E291" s="1" t="str">
        <f t="shared" si="10"/>
        <v/>
      </c>
      <c r="F291" s="20"/>
      <c r="G291" s="1"/>
      <c r="H291" s="1"/>
      <c r="I291" s="1"/>
      <c r="J291" s="1"/>
      <c r="K291" s="1"/>
      <c r="L291" s="1"/>
      <c r="M291" s="1"/>
      <c r="N291" s="1"/>
      <c r="O291" s="1"/>
      <c r="P291" s="1"/>
      <c r="Q291" s="1"/>
      <c r="R291" s="1"/>
      <c r="S291" s="1"/>
      <c r="T291" s="1"/>
      <c r="U291" s="1"/>
      <c r="V291" s="1"/>
      <c r="W291" s="1"/>
      <c r="X291" s="1"/>
      <c r="Y291" s="1"/>
      <c r="Z291" s="1"/>
    </row>
    <row r="292" spans="1:26" ht="15">
      <c r="A292" s="2" t="s">
        <v>296</v>
      </c>
      <c r="B292" s="1" t="s">
        <v>420</v>
      </c>
      <c r="C292" s="21">
        <v>2500</v>
      </c>
      <c r="D292" s="173">
        <f>IF(B292="","",IFERROR(VLOOKUP(B292,'ITEM LIST'!B:M,12,0)*C292,0))</f>
        <v>165</v>
      </c>
      <c r="E292" s="1">
        <f t="shared" si="10"/>
        <v>169</v>
      </c>
      <c r="F292" s="20"/>
      <c r="G292" s="1"/>
      <c r="H292" s="1"/>
      <c r="I292" s="1"/>
      <c r="J292" s="1"/>
      <c r="K292" s="1"/>
      <c r="L292" s="1"/>
      <c r="M292" s="1"/>
      <c r="N292" s="1"/>
      <c r="O292" s="1"/>
      <c r="P292" s="1"/>
      <c r="Q292" s="1"/>
      <c r="R292" s="1"/>
      <c r="S292" s="1"/>
      <c r="T292" s="1"/>
      <c r="U292" s="1"/>
      <c r="V292" s="1"/>
      <c r="W292" s="1"/>
      <c r="X292" s="1"/>
      <c r="Y292" s="1"/>
      <c r="Z292" s="1"/>
    </row>
    <row r="293" spans="1:26" ht="15">
      <c r="A293" s="2" t="s">
        <v>296</v>
      </c>
      <c r="B293" s="1" t="s">
        <v>382</v>
      </c>
      <c r="C293" s="21">
        <v>100</v>
      </c>
      <c r="D293" s="173">
        <f>IF(B293="","",IFERROR(VLOOKUP(B293,'ITEM LIST'!B:M,12,0)*C293,0))</f>
        <v>4</v>
      </c>
      <c r="E293" s="1">
        <f t="shared" si="10"/>
        <v>169</v>
      </c>
      <c r="F293" s="20"/>
      <c r="G293" s="1"/>
      <c r="H293" s="1"/>
      <c r="I293" s="1"/>
      <c r="J293" s="1"/>
      <c r="K293" s="1"/>
      <c r="L293" s="1"/>
      <c r="M293" s="1"/>
      <c r="N293" s="1"/>
      <c r="O293" s="1"/>
      <c r="P293" s="1"/>
      <c r="Q293" s="1"/>
      <c r="R293" s="1"/>
      <c r="S293" s="1"/>
      <c r="T293" s="1"/>
      <c r="U293" s="1"/>
      <c r="V293" s="1"/>
      <c r="W293" s="1"/>
      <c r="X293" s="1"/>
      <c r="Y293" s="1"/>
      <c r="Z293" s="1"/>
    </row>
    <row r="294" spans="1:26" ht="15">
      <c r="A294" s="2" t="s">
        <v>296</v>
      </c>
      <c r="B294" s="1" t="s">
        <v>7</v>
      </c>
      <c r="C294" s="21">
        <v>1.25E-3</v>
      </c>
      <c r="D294" s="173">
        <f>IF(B294="","",IFERROR(VLOOKUP(B294,'ITEM LIST'!B:M,12,0)*C294,0))</f>
        <v>0</v>
      </c>
      <c r="E294" s="1">
        <f t="shared" si="10"/>
        <v>169</v>
      </c>
      <c r="F294" s="20"/>
      <c r="G294" s="1"/>
      <c r="H294" s="1"/>
      <c r="I294" s="1"/>
      <c r="J294" s="1"/>
      <c r="K294" s="1"/>
      <c r="L294" s="1"/>
      <c r="M294" s="1"/>
      <c r="N294" s="1"/>
      <c r="O294" s="1"/>
      <c r="P294" s="1"/>
      <c r="Q294" s="1"/>
      <c r="R294" s="1"/>
      <c r="S294" s="1"/>
      <c r="T294" s="1"/>
      <c r="U294" s="1"/>
      <c r="V294" s="1"/>
      <c r="W294" s="1"/>
      <c r="X294" s="1"/>
      <c r="Y294" s="1"/>
      <c r="Z294" s="1"/>
    </row>
    <row r="295" spans="1:26" ht="12.75">
      <c r="A295" s="1"/>
      <c r="B295" s="1" t="s">
        <v>371</v>
      </c>
      <c r="C295" s="21"/>
      <c r="D295" s="173" t="str">
        <f>IF(B295="","",IFERROR(VLOOKUP(B295,'ITEM LIST'!B:M,12,0)*C295,0))</f>
        <v/>
      </c>
      <c r="E295" s="1" t="str">
        <f t="shared" si="10"/>
        <v/>
      </c>
      <c r="F295" s="20"/>
      <c r="G295" s="1"/>
      <c r="H295" s="1"/>
      <c r="I295" s="1"/>
      <c r="J295" s="1"/>
      <c r="K295" s="1"/>
      <c r="L295" s="1"/>
      <c r="M295" s="1"/>
      <c r="N295" s="1"/>
      <c r="O295" s="1"/>
      <c r="P295" s="1"/>
      <c r="Q295" s="1"/>
      <c r="R295" s="1"/>
      <c r="S295" s="1"/>
      <c r="T295" s="1"/>
      <c r="U295" s="1"/>
      <c r="V295" s="1"/>
      <c r="W295" s="1"/>
      <c r="X295" s="1"/>
      <c r="Y295" s="1"/>
      <c r="Z295" s="1"/>
    </row>
    <row r="296" spans="1:26" ht="12.75">
      <c r="A296" s="1" t="s">
        <v>297</v>
      </c>
      <c r="B296" s="1" t="s">
        <v>34</v>
      </c>
      <c r="C296" s="21">
        <v>3</v>
      </c>
      <c r="D296" s="173">
        <f>IF(B296="","",IFERROR(VLOOKUP(B296,'ITEM LIST'!B:M,12,0)*C296,0))</f>
        <v>0.27</v>
      </c>
      <c r="E296" s="1">
        <f t="shared" si="10"/>
        <v>146.91282806818344</v>
      </c>
      <c r="F296" s="20"/>
      <c r="G296" s="1"/>
      <c r="H296" s="1"/>
      <c r="I296" s="1"/>
      <c r="J296" s="1"/>
      <c r="K296" s="1"/>
      <c r="L296" s="1"/>
      <c r="M296" s="1"/>
      <c r="N296" s="1"/>
      <c r="O296" s="1"/>
      <c r="P296" s="1"/>
      <c r="Q296" s="1"/>
      <c r="R296" s="1"/>
      <c r="S296" s="1"/>
      <c r="T296" s="1"/>
      <c r="U296" s="1"/>
      <c r="V296" s="1"/>
      <c r="W296" s="1"/>
      <c r="X296" s="1"/>
      <c r="Y296" s="1"/>
      <c r="Z296" s="1"/>
    </row>
    <row r="297" spans="1:26" ht="12.75">
      <c r="A297" s="1" t="s">
        <v>297</v>
      </c>
      <c r="B297" s="1" t="s">
        <v>32</v>
      </c>
      <c r="C297" s="21">
        <v>3</v>
      </c>
      <c r="D297" s="173">
        <f>IF(B297="","",IFERROR(VLOOKUP(B297,'ITEM LIST'!B:M,12,0)*C297,0))</f>
        <v>0.10500000000000001</v>
      </c>
      <c r="E297" s="1">
        <f t="shared" si="10"/>
        <v>146.91282806818344</v>
      </c>
      <c r="F297" s="20"/>
      <c r="G297" s="1"/>
      <c r="H297" s="1"/>
      <c r="I297" s="1"/>
      <c r="J297" s="1"/>
      <c r="K297" s="1"/>
      <c r="L297" s="1"/>
      <c r="M297" s="1"/>
      <c r="N297" s="1"/>
      <c r="O297" s="1"/>
      <c r="P297" s="1"/>
      <c r="Q297" s="1"/>
      <c r="R297" s="1"/>
      <c r="S297" s="1"/>
      <c r="T297" s="1"/>
      <c r="U297" s="1"/>
      <c r="V297" s="1"/>
      <c r="W297" s="1"/>
      <c r="X297" s="1"/>
      <c r="Y297" s="1"/>
      <c r="Z297" s="1"/>
    </row>
    <row r="298" spans="1:26" ht="12.75">
      <c r="A298" s="1" t="s">
        <v>297</v>
      </c>
      <c r="B298" s="1" t="s">
        <v>31</v>
      </c>
      <c r="C298" s="21">
        <v>60</v>
      </c>
      <c r="D298" s="173">
        <f>IF(B298="","",IFERROR(VLOOKUP(B298,'ITEM LIST'!B:M,12,0)*C298,0))</f>
        <v>0.96</v>
      </c>
      <c r="E298" s="1">
        <f t="shared" si="10"/>
        <v>146.91282806818344</v>
      </c>
      <c r="F298" s="20"/>
      <c r="G298" s="1"/>
      <c r="H298" s="1"/>
      <c r="I298" s="1"/>
      <c r="J298" s="1"/>
      <c r="K298" s="1"/>
      <c r="L298" s="1"/>
      <c r="M298" s="1"/>
      <c r="N298" s="1"/>
      <c r="O298" s="1"/>
      <c r="P298" s="1"/>
      <c r="Q298" s="1"/>
      <c r="R298" s="1"/>
      <c r="S298" s="1"/>
      <c r="T298" s="1"/>
      <c r="U298" s="1"/>
      <c r="V298" s="1"/>
      <c r="W298" s="1"/>
      <c r="X298" s="1"/>
      <c r="Y298" s="1"/>
      <c r="Z298" s="1"/>
    </row>
    <row r="299" spans="1:26" ht="12.75">
      <c r="A299" s="1"/>
      <c r="B299" s="1" t="s">
        <v>371</v>
      </c>
      <c r="C299" s="21"/>
      <c r="D299" s="173" t="str">
        <f>IF(B299="","",IFERROR(VLOOKUP(B299,'ITEM LIST'!B:M,12,0)*C299,0))</f>
        <v/>
      </c>
      <c r="E299" s="1" t="str">
        <f t="shared" si="10"/>
        <v/>
      </c>
      <c r="F299" s="20"/>
      <c r="G299" s="1"/>
      <c r="H299" s="1"/>
      <c r="I299" s="1"/>
      <c r="J299" s="1"/>
      <c r="K299" s="1"/>
      <c r="L299" s="1"/>
      <c r="M299" s="1"/>
      <c r="N299" s="1"/>
      <c r="O299" s="1"/>
      <c r="P299" s="1"/>
      <c r="Q299" s="1"/>
      <c r="R299" s="1"/>
      <c r="S299" s="1"/>
      <c r="T299" s="1"/>
      <c r="U299" s="1"/>
      <c r="V299" s="1"/>
      <c r="W299" s="1"/>
      <c r="X299" s="1"/>
      <c r="Y299" s="1"/>
      <c r="Z299" s="1"/>
    </row>
    <row r="300" spans="1:26" ht="12.75">
      <c r="A300" s="1" t="s">
        <v>298</v>
      </c>
      <c r="B300" s="1" t="s">
        <v>39</v>
      </c>
      <c r="C300" s="5">
        <v>50.769230769230774</v>
      </c>
      <c r="D300" s="173">
        <f>IF(B300="","",IFERROR(VLOOKUP(B300,'ITEM LIST'!B:M,12,0)*C300,0))</f>
        <v>1.7769230769230773</v>
      </c>
      <c r="E300" s="1">
        <f t="shared" si="10"/>
        <v>2.2871538461538465</v>
      </c>
      <c r="F300" s="20"/>
      <c r="G300" s="1"/>
      <c r="H300" s="1"/>
      <c r="I300" s="1"/>
      <c r="J300" s="1"/>
      <c r="K300" s="1"/>
      <c r="L300" s="1"/>
      <c r="M300" s="1"/>
      <c r="N300" s="1"/>
      <c r="O300" s="1"/>
      <c r="P300" s="1"/>
      <c r="Q300" s="1"/>
      <c r="R300" s="1"/>
      <c r="S300" s="1"/>
      <c r="T300" s="1"/>
      <c r="U300" s="1"/>
      <c r="V300" s="1"/>
      <c r="W300" s="1"/>
      <c r="X300" s="1"/>
      <c r="Y300" s="1"/>
      <c r="Z300" s="1"/>
    </row>
    <row r="301" spans="1:26" ht="12.75">
      <c r="A301" s="1" t="s">
        <v>298</v>
      </c>
      <c r="B301" s="1" t="s">
        <v>384</v>
      </c>
      <c r="C301" s="5">
        <v>7.6153846153846159</v>
      </c>
      <c r="D301" s="173">
        <f>IF(B301="","",IFERROR(VLOOKUP(B301,'ITEM LIST'!B:M,12,0)*C301,0))</f>
        <v>0.26653846153846156</v>
      </c>
      <c r="E301" s="1">
        <f t="shared" si="10"/>
        <v>2.2871538461538465</v>
      </c>
      <c r="F301" s="20"/>
      <c r="G301" s="1"/>
      <c r="H301" s="1"/>
      <c r="I301" s="1"/>
      <c r="J301" s="1"/>
      <c r="K301" s="1"/>
      <c r="L301" s="1"/>
      <c r="M301" s="1"/>
      <c r="N301" s="1"/>
      <c r="O301" s="1"/>
      <c r="P301" s="1"/>
      <c r="Q301" s="1"/>
      <c r="R301" s="1"/>
      <c r="S301" s="1"/>
      <c r="T301" s="1"/>
      <c r="U301" s="1"/>
      <c r="V301" s="1"/>
      <c r="W301" s="1"/>
      <c r="X301" s="1"/>
      <c r="Y301" s="1"/>
      <c r="Z301" s="1"/>
    </row>
    <row r="302" spans="1:26" ht="12.75">
      <c r="A302" s="1" t="s">
        <v>298</v>
      </c>
      <c r="B302" s="1" t="s">
        <v>40</v>
      </c>
      <c r="C302" s="5">
        <v>7.6153846153846159</v>
      </c>
      <c r="D302" s="173">
        <f>IF(B302="","",IFERROR(VLOOKUP(B302,'ITEM LIST'!B:M,12,0)*C302,0))</f>
        <v>0.24369230769230771</v>
      </c>
      <c r="E302" s="1">
        <f t="shared" si="10"/>
        <v>2.2871538461538465</v>
      </c>
      <c r="F302" s="20"/>
      <c r="G302" s="1"/>
      <c r="H302" s="1"/>
      <c r="I302" s="1"/>
      <c r="J302" s="1"/>
      <c r="K302" s="1"/>
      <c r="L302" s="1"/>
      <c r="M302" s="1"/>
      <c r="N302" s="1"/>
      <c r="O302" s="1"/>
      <c r="P302" s="1"/>
      <c r="Q302" s="1"/>
      <c r="R302" s="1"/>
      <c r="S302" s="1"/>
      <c r="T302" s="1"/>
      <c r="U302" s="1"/>
      <c r="V302" s="1"/>
      <c r="W302" s="1"/>
      <c r="X302" s="1"/>
      <c r="Y302" s="1"/>
      <c r="Z302" s="1"/>
    </row>
    <row r="303" spans="1:26" ht="12.75">
      <c r="A303" s="1" t="s">
        <v>298</v>
      </c>
      <c r="B303" s="1" t="s">
        <v>674</v>
      </c>
      <c r="C303" s="200"/>
      <c r="D303" s="173">
        <f>IF(B303="","",IFERROR(VLOOKUP(B303,'ITEM LIST'!B:M,12,0)*C303,0))</f>
        <v>0</v>
      </c>
      <c r="E303" s="1">
        <f t="shared" si="10"/>
        <v>2.2871538461538465</v>
      </c>
      <c r="F303" s="20"/>
      <c r="G303" s="1"/>
      <c r="H303" s="1"/>
      <c r="I303" s="1"/>
      <c r="J303" s="1"/>
      <c r="K303" s="1"/>
      <c r="L303" s="1"/>
      <c r="M303" s="1"/>
      <c r="N303" s="1"/>
      <c r="O303" s="1"/>
      <c r="P303" s="1"/>
      <c r="Q303" s="1"/>
      <c r="R303" s="1"/>
      <c r="S303" s="1"/>
      <c r="T303" s="1"/>
      <c r="U303" s="1"/>
      <c r="V303" s="1"/>
      <c r="W303" s="1"/>
      <c r="X303" s="1"/>
      <c r="Y303" s="1"/>
      <c r="Z303" s="1"/>
    </row>
    <row r="304" spans="1:26" ht="14.25">
      <c r="A304" s="1" t="s">
        <v>43</v>
      </c>
      <c r="B304" s="16" t="s">
        <v>427</v>
      </c>
      <c r="C304" s="21">
        <v>833.33333333333337</v>
      </c>
      <c r="D304" s="173">
        <f>IF(B304="","",IFERROR(VLOOKUP(B304,'ITEM LIST'!B:M,12,0)*C304,0))</f>
        <v>40</v>
      </c>
      <c r="E304" s="1">
        <f t="shared" si="10"/>
        <v>130.1925</v>
      </c>
      <c r="F304" s="20"/>
      <c r="G304" s="1"/>
      <c r="H304" s="1"/>
      <c r="I304" s="1"/>
      <c r="J304" s="1"/>
      <c r="K304" s="1"/>
      <c r="L304" s="1"/>
      <c r="M304" s="1"/>
      <c r="N304" s="1"/>
      <c r="O304" s="1"/>
      <c r="P304" s="1"/>
      <c r="Q304" s="1"/>
      <c r="R304" s="1"/>
      <c r="S304" s="1"/>
      <c r="T304" s="1"/>
      <c r="U304" s="1"/>
      <c r="V304" s="1"/>
      <c r="W304" s="1"/>
      <c r="X304" s="1"/>
      <c r="Y304" s="1"/>
      <c r="Z304" s="1"/>
    </row>
    <row r="305" spans="1:26" ht="12.75">
      <c r="A305" s="1" t="s">
        <v>43</v>
      </c>
      <c r="B305" s="1" t="s">
        <v>560</v>
      </c>
      <c r="C305" s="21">
        <v>166.66666666666666</v>
      </c>
      <c r="D305" s="173">
        <f>IF(B305="","",IFERROR(VLOOKUP(B305,'ITEM LIST'!B:M,12,0)*C305,0))</f>
        <v>84.916666666666657</v>
      </c>
      <c r="E305" s="1">
        <f t="shared" si="10"/>
        <v>130.1925</v>
      </c>
      <c r="F305" s="20"/>
      <c r="G305" s="1"/>
      <c r="H305" s="1"/>
      <c r="I305" s="1"/>
      <c r="J305" s="1"/>
      <c r="K305" s="1"/>
      <c r="L305" s="1"/>
      <c r="M305" s="1"/>
      <c r="N305" s="1"/>
      <c r="O305" s="1"/>
      <c r="P305" s="1"/>
      <c r="Q305" s="1"/>
      <c r="R305" s="1"/>
      <c r="S305" s="1"/>
      <c r="T305" s="1"/>
      <c r="U305" s="1"/>
      <c r="V305" s="1"/>
      <c r="W305" s="1"/>
      <c r="X305" s="1"/>
      <c r="Y305" s="1"/>
      <c r="Z305" s="1"/>
    </row>
    <row r="306" spans="1:26" ht="12.75">
      <c r="A306" s="1" t="s">
        <v>43</v>
      </c>
      <c r="B306" s="1" t="s">
        <v>338</v>
      </c>
      <c r="C306" s="21">
        <v>20.833333333333332</v>
      </c>
      <c r="D306" s="173">
        <f>IF(B306="","",IFERROR(VLOOKUP(B306,'ITEM LIST'!B:M,12,0)*C306,0))</f>
        <v>1.6458333333333333</v>
      </c>
      <c r="E306" s="1">
        <f t="shared" si="10"/>
        <v>130.1925</v>
      </c>
      <c r="F306" s="20"/>
      <c r="G306" s="1"/>
      <c r="H306" s="1"/>
      <c r="I306" s="1"/>
      <c r="J306" s="1"/>
      <c r="K306" s="1"/>
      <c r="L306" s="1"/>
      <c r="M306" s="1"/>
      <c r="N306" s="1"/>
      <c r="O306" s="1"/>
      <c r="P306" s="1"/>
      <c r="Q306" s="1"/>
      <c r="R306" s="1"/>
      <c r="S306" s="1"/>
      <c r="T306" s="1"/>
      <c r="U306" s="1"/>
      <c r="V306" s="1"/>
      <c r="W306" s="1"/>
      <c r="X306" s="1"/>
      <c r="Y306" s="1"/>
      <c r="Z306" s="1"/>
    </row>
    <row r="307" spans="1:26" ht="12.75">
      <c r="A307" s="1" t="s">
        <v>43</v>
      </c>
      <c r="B307" s="1" t="s">
        <v>53</v>
      </c>
      <c r="C307" s="21">
        <v>5.5</v>
      </c>
      <c r="D307" s="173">
        <f>IF(B307="","",IFERROR(VLOOKUP(B307,'ITEM LIST'!B:M,12,0)*C307,0))</f>
        <v>3.3</v>
      </c>
      <c r="E307" s="1">
        <f t="shared" si="10"/>
        <v>130.1925</v>
      </c>
      <c r="F307" s="20"/>
      <c r="G307" s="1"/>
      <c r="H307" s="1"/>
      <c r="I307" s="1"/>
      <c r="J307" s="1"/>
      <c r="K307" s="1"/>
      <c r="L307" s="1"/>
      <c r="M307" s="1"/>
      <c r="N307" s="1"/>
      <c r="O307" s="1"/>
      <c r="P307" s="1"/>
      <c r="Q307" s="1"/>
      <c r="R307" s="1"/>
      <c r="S307" s="1"/>
      <c r="T307" s="1"/>
      <c r="U307" s="1"/>
      <c r="V307" s="1"/>
      <c r="W307" s="1"/>
      <c r="X307" s="1"/>
      <c r="Y307" s="1"/>
      <c r="Z307" s="1"/>
    </row>
    <row r="308" spans="1:26" ht="12.75">
      <c r="A308" s="1" t="s">
        <v>43</v>
      </c>
      <c r="B308" s="1" t="s">
        <v>369</v>
      </c>
      <c r="C308" s="21">
        <v>0.5</v>
      </c>
      <c r="D308" s="173">
        <f>IF(B308="","",IFERROR(VLOOKUP(B308,'ITEM LIST'!B:M,12,0)*C308,0))</f>
        <v>0.33</v>
      </c>
      <c r="E308" s="1">
        <f t="shared" si="10"/>
        <v>130.1925</v>
      </c>
      <c r="F308" s="20"/>
      <c r="G308" s="1"/>
      <c r="H308" s="1"/>
      <c r="I308" s="1"/>
      <c r="J308" s="1"/>
      <c r="K308" s="1"/>
      <c r="L308" s="1"/>
      <c r="M308" s="1"/>
      <c r="N308" s="1"/>
      <c r="O308" s="1"/>
      <c r="P308" s="1"/>
      <c r="Q308" s="1"/>
      <c r="R308" s="1"/>
      <c r="S308" s="1"/>
      <c r="T308" s="1"/>
      <c r="U308" s="1"/>
      <c r="V308" s="1"/>
      <c r="W308" s="1"/>
      <c r="X308" s="1"/>
      <c r="Y308" s="1"/>
      <c r="Z308" s="1"/>
    </row>
    <row r="309" spans="1:26" ht="12.75">
      <c r="A309" s="1"/>
      <c r="B309" s="1" t="s">
        <v>371</v>
      </c>
      <c r="C309" s="21"/>
      <c r="D309" s="173"/>
      <c r="E309" s="1"/>
      <c r="F309" s="20"/>
      <c r="G309" s="1"/>
      <c r="H309" s="1"/>
      <c r="I309" s="1"/>
      <c r="J309" s="1"/>
      <c r="K309" s="1"/>
      <c r="L309" s="1"/>
      <c r="M309" s="1"/>
      <c r="N309" s="1"/>
      <c r="O309" s="1"/>
      <c r="P309" s="1"/>
      <c r="Q309" s="1"/>
      <c r="R309" s="1"/>
      <c r="S309" s="1"/>
      <c r="T309" s="1"/>
      <c r="U309" s="1"/>
      <c r="V309" s="1"/>
      <c r="W309" s="1"/>
      <c r="X309" s="1"/>
      <c r="Y309" s="1"/>
      <c r="Z309" s="1"/>
    </row>
    <row r="310" spans="1:26" ht="12.75">
      <c r="A310" s="1" t="s">
        <v>560</v>
      </c>
      <c r="B310" s="1" t="s">
        <v>146</v>
      </c>
      <c r="C310" s="21">
        <v>3000</v>
      </c>
      <c r="D310" s="173">
        <f>IF(B310="","",IFERROR(VLOOKUP(B310,'ITEM LIST'!B:M,12,0)*C310,0))</f>
        <v>195</v>
      </c>
      <c r="E310" s="1">
        <f t="shared" ref="E310:E341" si="11">IF(A310="","", SUMIFS(D:D,A:A,A310))</f>
        <v>509.5</v>
      </c>
      <c r="F310" s="20"/>
      <c r="G310" s="1"/>
      <c r="H310" s="1"/>
      <c r="I310" s="1"/>
      <c r="J310" s="1"/>
      <c r="K310" s="1"/>
      <c r="L310" s="1"/>
      <c r="M310" s="1"/>
      <c r="N310" s="1"/>
      <c r="O310" s="1"/>
      <c r="P310" s="1"/>
      <c r="Q310" s="1"/>
      <c r="R310" s="1"/>
      <c r="S310" s="1"/>
      <c r="T310" s="1"/>
      <c r="U310" s="1"/>
      <c r="V310" s="1"/>
      <c r="W310" s="1"/>
      <c r="X310" s="1"/>
      <c r="Y310" s="1"/>
      <c r="Z310" s="1"/>
    </row>
    <row r="311" spans="1:26" ht="12.75">
      <c r="A311" s="1" t="s">
        <v>560</v>
      </c>
      <c r="B311" s="1" t="s">
        <v>151</v>
      </c>
      <c r="C311" s="21">
        <v>3000</v>
      </c>
      <c r="D311" s="173">
        <f>IF(B311="","",IFERROR(VLOOKUP(B311,'ITEM LIST'!B:M,12,0)*C311,0))</f>
        <v>132</v>
      </c>
      <c r="E311" s="1">
        <f t="shared" si="11"/>
        <v>509.5</v>
      </c>
      <c r="F311" s="20"/>
      <c r="G311" s="1"/>
      <c r="H311" s="1"/>
      <c r="I311" s="1"/>
      <c r="J311" s="1"/>
      <c r="K311" s="1"/>
      <c r="L311" s="1"/>
      <c r="M311" s="1"/>
      <c r="N311" s="1"/>
      <c r="O311" s="1"/>
      <c r="P311" s="1"/>
      <c r="Q311" s="1"/>
      <c r="R311" s="1"/>
      <c r="S311" s="1"/>
      <c r="T311" s="1"/>
      <c r="U311" s="1"/>
      <c r="V311" s="1"/>
      <c r="W311" s="1"/>
      <c r="X311" s="1"/>
      <c r="Y311" s="1"/>
      <c r="Z311" s="1"/>
    </row>
    <row r="312" spans="1:26" ht="12.75">
      <c r="A312" s="1" t="s">
        <v>560</v>
      </c>
      <c r="B312" s="1" t="s">
        <v>18</v>
      </c>
      <c r="C312" s="21">
        <v>600</v>
      </c>
      <c r="D312" s="173">
        <f>IF(B312="","",IFERROR(VLOOKUP(B312,'ITEM LIST'!B:M,12,0)*C312,0))</f>
        <v>18</v>
      </c>
      <c r="E312" s="1">
        <f t="shared" si="11"/>
        <v>509.5</v>
      </c>
      <c r="F312" s="20"/>
      <c r="G312" s="1"/>
      <c r="H312" s="1"/>
      <c r="I312" s="1"/>
      <c r="J312" s="1"/>
      <c r="K312" s="1"/>
      <c r="L312" s="1"/>
      <c r="M312" s="1"/>
      <c r="N312" s="1"/>
      <c r="O312" s="1"/>
      <c r="P312" s="1"/>
      <c r="Q312" s="1"/>
      <c r="R312" s="1"/>
      <c r="S312" s="1"/>
      <c r="T312" s="1"/>
      <c r="U312" s="1"/>
      <c r="V312" s="1"/>
      <c r="W312" s="1"/>
      <c r="X312" s="1"/>
      <c r="Y312" s="1"/>
      <c r="Z312" s="1"/>
    </row>
    <row r="313" spans="1:26" ht="12.75">
      <c r="A313" s="1" t="s">
        <v>560</v>
      </c>
      <c r="B313" s="1" t="s">
        <v>37</v>
      </c>
      <c r="C313" s="21">
        <v>700</v>
      </c>
      <c r="D313" s="173">
        <f>IF(B313="","",IFERROR(VLOOKUP(B313,'ITEM LIST'!B:M,12,0)*C313,0))</f>
        <v>140</v>
      </c>
      <c r="E313" s="1">
        <f t="shared" si="11"/>
        <v>509.5</v>
      </c>
      <c r="F313" s="20"/>
      <c r="G313" s="1"/>
      <c r="H313" s="1"/>
      <c r="I313" s="1"/>
      <c r="J313" s="1"/>
      <c r="K313" s="1"/>
      <c r="L313" s="1"/>
      <c r="M313" s="1"/>
      <c r="N313" s="1"/>
      <c r="O313" s="1"/>
      <c r="P313" s="1"/>
      <c r="Q313" s="1"/>
      <c r="R313" s="1"/>
      <c r="S313" s="1"/>
      <c r="T313" s="1"/>
      <c r="U313" s="1"/>
      <c r="V313" s="1"/>
      <c r="W313" s="1"/>
      <c r="X313" s="1"/>
      <c r="Y313" s="1"/>
      <c r="Z313" s="1"/>
    </row>
    <row r="314" spans="1:26" ht="12.75">
      <c r="A314" s="1" t="s">
        <v>560</v>
      </c>
      <c r="B314" s="1" t="s">
        <v>323</v>
      </c>
      <c r="C314" s="21">
        <v>700</v>
      </c>
      <c r="D314" s="173">
        <f>IF(B314="","",IFERROR(VLOOKUP(B314,'ITEM LIST'!B:M,12,0)*C314,0))</f>
        <v>24.500000000000004</v>
      </c>
      <c r="E314" s="1">
        <f t="shared" si="11"/>
        <v>509.5</v>
      </c>
      <c r="F314" s="20"/>
      <c r="G314" s="1"/>
      <c r="H314" s="1"/>
      <c r="I314" s="1"/>
      <c r="J314" s="1"/>
      <c r="K314" s="1"/>
      <c r="L314" s="1"/>
      <c r="M314" s="1"/>
      <c r="N314" s="1"/>
      <c r="O314" s="1"/>
      <c r="P314" s="1"/>
      <c r="Q314" s="1"/>
      <c r="R314" s="1"/>
      <c r="S314" s="1"/>
      <c r="T314" s="1"/>
      <c r="U314" s="1"/>
      <c r="V314" s="1"/>
      <c r="W314" s="1"/>
      <c r="X314" s="1"/>
      <c r="Y314" s="1"/>
      <c r="Z314" s="1"/>
    </row>
    <row r="315" spans="1:26" ht="12.75">
      <c r="A315" s="1"/>
      <c r="B315" s="1" t="s">
        <v>371</v>
      </c>
      <c r="C315" s="21"/>
      <c r="D315" s="173" t="str">
        <f>IF(B315="","",IFERROR(VLOOKUP(B315,'ITEM LIST'!B:M,12,0)*C315,0))</f>
        <v/>
      </c>
      <c r="E315" s="1" t="str">
        <f t="shared" si="11"/>
        <v/>
      </c>
      <c r="F315" s="20"/>
      <c r="G315" s="1"/>
      <c r="H315" s="1"/>
      <c r="I315" s="1"/>
      <c r="J315" s="1"/>
      <c r="K315" s="1"/>
      <c r="L315" s="1"/>
      <c r="M315" s="1"/>
      <c r="N315" s="1"/>
      <c r="O315" s="1"/>
      <c r="P315" s="1"/>
      <c r="Q315" s="1"/>
      <c r="R315" s="1"/>
      <c r="S315" s="1"/>
      <c r="T315" s="1"/>
      <c r="U315" s="1"/>
      <c r="V315" s="1"/>
      <c r="W315" s="1"/>
      <c r="X315" s="1"/>
      <c r="Y315" s="1"/>
      <c r="Z315" s="1"/>
    </row>
    <row r="316" spans="1:26" ht="12.75">
      <c r="A316" s="1" t="s">
        <v>561</v>
      </c>
      <c r="B316" s="1" t="s">
        <v>562</v>
      </c>
      <c r="C316" s="20">
        <v>27</v>
      </c>
      <c r="D316" s="173">
        <f>IF(B316="","",IFERROR(VLOOKUP(B316,'ITEM LIST'!B:M,12,0)*C316,0))</f>
        <v>0</v>
      </c>
      <c r="E316" s="1">
        <f t="shared" si="11"/>
        <v>64.817730000000012</v>
      </c>
      <c r="F316" s="20"/>
      <c r="G316" s="1"/>
      <c r="H316" s="1"/>
      <c r="I316" s="1"/>
      <c r="J316" s="1"/>
      <c r="K316" s="1"/>
      <c r="L316" s="1"/>
      <c r="M316" s="1"/>
      <c r="N316" s="1"/>
      <c r="O316" s="1"/>
      <c r="P316" s="1"/>
      <c r="Q316" s="1"/>
      <c r="R316" s="1"/>
      <c r="S316" s="1"/>
      <c r="T316" s="1"/>
      <c r="U316" s="1"/>
      <c r="V316" s="1"/>
      <c r="W316" s="1"/>
      <c r="X316" s="1"/>
      <c r="Y316" s="1"/>
      <c r="Z316" s="1"/>
    </row>
    <row r="317" spans="1:26" ht="12.75">
      <c r="A317" s="1" t="s">
        <v>561</v>
      </c>
      <c r="B317" s="13" t="s">
        <v>336</v>
      </c>
      <c r="C317" s="20">
        <v>9</v>
      </c>
      <c r="D317" s="173">
        <f>IF(B317="","",IFERROR(VLOOKUP(B317,'ITEM LIST'!B:M,12,0)*C317,0))</f>
        <v>2.3940000000000001</v>
      </c>
      <c r="E317" s="1">
        <f t="shared" si="11"/>
        <v>64.817730000000012</v>
      </c>
      <c r="F317" s="20"/>
      <c r="G317" s="1"/>
      <c r="H317" s="1"/>
      <c r="I317" s="1"/>
      <c r="J317" s="1"/>
      <c r="K317" s="1"/>
      <c r="L317" s="1"/>
      <c r="M317" s="1"/>
      <c r="N317" s="1"/>
      <c r="O317" s="1"/>
      <c r="P317" s="1"/>
      <c r="Q317" s="1"/>
      <c r="R317" s="1"/>
      <c r="S317" s="1"/>
      <c r="T317" s="1"/>
      <c r="U317" s="1"/>
      <c r="V317" s="1"/>
      <c r="W317" s="1"/>
      <c r="X317" s="1"/>
      <c r="Y317" s="1"/>
      <c r="Z317" s="1"/>
    </row>
    <row r="318" spans="1:26" ht="12.75">
      <c r="A318" s="1" t="s">
        <v>561</v>
      </c>
      <c r="B318" s="1" t="s">
        <v>2</v>
      </c>
      <c r="C318" s="21">
        <v>6.3</v>
      </c>
      <c r="D318" s="173">
        <f>IF(B318="","",IFERROR(VLOOKUP(B318,'ITEM LIST'!B:M,12,0)*C318,0))</f>
        <v>3.024</v>
      </c>
      <c r="E318" s="1">
        <f t="shared" si="11"/>
        <v>64.817730000000012</v>
      </c>
      <c r="F318" s="20"/>
      <c r="G318" s="1"/>
      <c r="H318" s="1"/>
      <c r="I318" s="1"/>
      <c r="J318" s="1"/>
      <c r="K318" s="1"/>
      <c r="L318" s="1"/>
      <c r="M318" s="1"/>
      <c r="N318" s="1"/>
      <c r="O318" s="1"/>
      <c r="P318" s="1"/>
      <c r="Q318" s="1"/>
      <c r="R318" s="1"/>
      <c r="S318" s="1"/>
      <c r="T318" s="1"/>
      <c r="U318" s="1"/>
      <c r="V318" s="1"/>
      <c r="W318" s="1"/>
      <c r="X318" s="1"/>
      <c r="Y318" s="1"/>
      <c r="Z318" s="1"/>
    </row>
    <row r="319" spans="1:26" ht="12.75">
      <c r="A319" s="1" t="s">
        <v>561</v>
      </c>
      <c r="B319" s="1" t="s">
        <v>10</v>
      </c>
      <c r="C319" s="21">
        <v>900</v>
      </c>
      <c r="D319" s="173">
        <f>IF(B319="","",IFERROR(VLOOKUP(B319,'ITEM LIST'!B:M,12,0)*C319,0))</f>
        <v>16.2</v>
      </c>
      <c r="E319" s="1">
        <f t="shared" si="11"/>
        <v>64.817730000000012</v>
      </c>
      <c r="F319" s="20"/>
      <c r="G319" s="1"/>
      <c r="H319" s="1"/>
      <c r="I319" s="1"/>
      <c r="J319" s="1"/>
      <c r="K319" s="1"/>
      <c r="L319" s="1"/>
      <c r="M319" s="1"/>
      <c r="N319" s="1"/>
      <c r="O319" s="1"/>
      <c r="P319" s="1"/>
      <c r="Q319" s="1"/>
      <c r="R319" s="1"/>
      <c r="S319" s="1"/>
      <c r="T319" s="1"/>
      <c r="U319" s="1"/>
      <c r="V319" s="1"/>
      <c r="W319" s="1"/>
      <c r="X319" s="1"/>
      <c r="Y319" s="1"/>
      <c r="Z319" s="1"/>
    </row>
    <row r="320" spans="1:26" ht="12.75">
      <c r="A320" s="1" t="s">
        <v>561</v>
      </c>
      <c r="B320" s="1" t="s">
        <v>380</v>
      </c>
      <c r="C320" s="21">
        <v>81</v>
      </c>
      <c r="D320" s="173">
        <f>IF(B320="","",IFERROR(VLOOKUP(B320,'ITEM LIST'!B:M,12,0)*C320,0))</f>
        <v>43.19973000000001</v>
      </c>
      <c r="E320" s="1">
        <f t="shared" si="11"/>
        <v>64.817730000000012</v>
      </c>
      <c r="F320" s="20"/>
      <c r="G320" s="1"/>
      <c r="H320" s="1"/>
      <c r="I320" s="1"/>
      <c r="J320" s="1"/>
      <c r="K320" s="1"/>
      <c r="L320" s="1"/>
      <c r="M320" s="1"/>
      <c r="N320" s="1"/>
      <c r="O320" s="1"/>
      <c r="P320" s="1"/>
      <c r="Q320" s="1"/>
      <c r="R320" s="1"/>
      <c r="S320" s="1"/>
      <c r="T320" s="1"/>
      <c r="U320" s="1"/>
      <c r="V320" s="1"/>
      <c r="W320" s="1"/>
      <c r="X320" s="1"/>
      <c r="Y320" s="1"/>
      <c r="Z320" s="1"/>
    </row>
    <row r="321" spans="1:26" ht="12.75">
      <c r="A321" s="1"/>
      <c r="B321" s="1" t="s">
        <v>371</v>
      </c>
      <c r="C321" s="21"/>
      <c r="D321" s="173" t="str">
        <f>IF(B321="","",IFERROR(VLOOKUP(B321,'ITEM LIST'!B:M,12,0)*C321,0))</f>
        <v/>
      </c>
      <c r="E321" s="1" t="str">
        <f t="shared" si="11"/>
        <v/>
      </c>
      <c r="F321" s="20"/>
      <c r="G321" s="1"/>
      <c r="H321" s="1"/>
      <c r="I321" s="1"/>
      <c r="J321" s="1"/>
      <c r="K321" s="1"/>
      <c r="L321" s="1"/>
      <c r="M321" s="1"/>
      <c r="N321" s="1"/>
      <c r="O321" s="1"/>
      <c r="P321" s="1"/>
      <c r="Q321" s="1"/>
      <c r="R321" s="1"/>
      <c r="S321" s="1"/>
      <c r="T321" s="1"/>
      <c r="U321" s="1"/>
      <c r="V321" s="1"/>
      <c r="W321" s="1"/>
      <c r="X321" s="1"/>
      <c r="Y321" s="1"/>
      <c r="Z321" s="1"/>
    </row>
    <row r="322" spans="1:26" ht="12.75">
      <c r="A322" s="1" t="s">
        <v>72</v>
      </c>
      <c r="B322" s="1" t="s">
        <v>17</v>
      </c>
      <c r="C322" s="21">
        <v>250</v>
      </c>
      <c r="D322" s="173">
        <f>IF(B322="","",IFERROR(VLOOKUP(B322,'ITEM LIST'!B:M,12,0)*C322,0))</f>
        <v>67.5</v>
      </c>
      <c r="E322" s="1">
        <f t="shared" si="11"/>
        <v>87.455599999999976</v>
      </c>
      <c r="F322" s="20"/>
      <c r="G322" s="1"/>
      <c r="H322" s="1"/>
      <c r="I322" s="1"/>
      <c r="J322" s="1"/>
      <c r="K322" s="1"/>
      <c r="L322" s="1"/>
      <c r="M322" s="1"/>
      <c r="N322" s="1"/>
      <c r="O322" s="1"/>
      <c r="P322" s="1"/>
      <c r="Q322" s="1"/>
      <c r="R322" s="1"/>
      <c r="S322" s="1"/>
      <c r="T322" s="1"/>
      <c r="U322" s="1"/>
      <c r="V322" s="1"/>
      <c r="W322" s="1"/>
      <c r="X322" s="1"/>
      <c r="Y322" s="1"/>
      <c r="Z322" s="1"/>
    </row>
    <row r="323" spans="1:26" ht="12.75">
      <c r="A323" s="1" t="s">
        <v>72</v>
      </c>
      <c r="B323" s="1" t="s">
        <v>20</v>
      </c>
      <c r="C323" s="21">
        <v>20</v>
      </c>
      <c r="D323" s="173">
        <f>IF(B323="","",IFERROR(VLOOKUP(B323,'ITEM LIST'!B:M,12,0)*C323,0))</f>
        <v>0.38</v>
      </c>
      <c r="E323" s="1">
        <f t="shared" si="11"/>
        <v>87.455599999999976</v>
      </c>
      <c r="F323" s="20"/>
      <c r="G323" s="1"/>
      <c r="H323" s="1"/>
      <c r="I323" s="1"/>
      <c r="J323" s="1"/>
      <c r="K323" s="1"/>
      <c r="L323" s="1"/>
      <c r="M323" s="1"/>
      <c r="N323" s="1"/>
      <c r="O323" s="1"/>
      <c r="P323" s="1"/>
      <c r="Q323" s="1"/>
      <c r="R323" s="1"/>
      <c r="S323" s="1"/>
      <c r="T323" s="1"/>
      <c r="U323" s="1"/>
      <c r="V323" s="1"/>
      <c r="W323" s="1"/>
      <c r="X323" s="1"/>
      <c r="Y323" s="1"/>
      <c r="Z323" s="1"/>
    </row>
    <row r="324" spans="1:26" ht="12.75">
      <c r="A324" s="1" t="s">
        <v>72</v>
      </c>
      <c r="B324" s="1" t="s">
        <v>338</v>
      </c>
      <c r="C324" s="21">
        <v>3.85</v>
      </c>
      <c r="D324" s="173">
        <f>IF(B324="","",IFERROR(VLOOKUP(B324,'ITEM LIST'!B:M,12,0)*C324,0))</f>
        <v>0.30415000000000003</v>
      </c>
      <c r="E324" s="1">
        <f t="shared" si="11"/>
        <v>87.455599999999976</v>
      </c>
      <c r="F324" s="20"/>
      <c r="G324" s="1"/>
      <c r="H324" s="1"/>
      <c r="I324" s="1"/>
      <c r="J324" s="1"/>
      <c r="K324" s="1"/>
      <c r="L324" s="1"/>
      <c r="M324" s="1"/>
      <c r="N324" s="1"/>
      <c r="O324" s="1"/>
      <c r="P324" s="1"/>
      <c r="Q324" s="1"/>
      <c r="R324" s="1"/>
      <c r="S324" s="1"/>
      <c r="T324" s="1"/>
      <c r="U324" s="1"/>
      <c r="V324" s="1"/>
      <c r="W324" s="1"/>
      <c r="X324" s="1"/>
      <c r="Y324" s="1"/>
      <c r="Z324" s="1"/>
    </row>
    <row r="325" spans="1:26" ht="12.75">
      <c r="A325" s="1" t="s">
        <v>72</v>
      </c>
      <c r="B325" s="1" t="s">
        <v>332</v>
      </c>
      <c r="C325" s="21">
        <v>2.7</v>
      </c>
      <c r="D325" s="173">
        <f>IF(B325="","",IFERROR(VLOOKUP(B325,'ITEM LIST'!B:M,12,0)*C325,0))</f>
        <v>0.94499999999999995</v>
      </c>
      <c r="E325" s="1">
        <f t="shared" si="11"/>
        <v>87.455599999999976</v>
      </c>
      <c r="F325" s="20"/>
      <c r="G325" s="1"/>
      <c r="H325" s="1"/>
      <c r="I325" s="1"/>
      <c r="J325" s="1"/>
      <c r="K325" s="1"/>
      <c r="L325" s="1"/>
      <c r="M325" s="1"/>
      <c r="N325" s="1"/>
      <c r="O325" s="1"/>
      <c r="P325" s="1"/>
      <c r="Q325" s="1"/>
      <c r="R325" s="1"/>
      <c r="S325" s="1"/>
      <c r="T325" s="1"/>
      <c r="U325" s="1"/>
      <c r="V325" s="1"/>
      <c r="W325" s="1"/>
      <c r="X325" s="1"/>
      <c r="Y325" s="1"/>
      <c r="Z325" s="1"/>
    </row>
    <row r="326" spans="1:26" ht="12.75">
      <c r="A326" s="1" t="s">
        <v>72</v>
      </c>
      <c r="B326" s="1" t="s">
        <v>335</v>
      </c>
      <c r="C326" s="21">
        <v>3.2</v>
      </c>
      <c r="D326" s="173">
        <f>IF(B326="","",IFERROR(VLOOKUP(B326,'ITEM LIST'!B:M,12,0)*C326,0))</f>
        <v>0.96</v>
      </c>
      <c r="E326" s="1">
        <f t="shared" si="11"/>
        <v>87.455599999999976</v>
      </c>
      <c r="F326" s="20"/>
      <c r="G326" s="1"/>
      <c r="H326" s="1"/>
      <c r="I326" s="1"/>
      <c r="J326" s="1"/>
      <c r="K326" s="1"/>
      <c r="L326" s="1"/>
      <c r="M326" s="1"/>
      <c r="N326" s="1"/>
      <c r="O326" s="1"/>
      <c r="P326" s="1"/>
      <c r="Q326" s="1"/>
      <c r="R326" s="1"/>
      <c r="S326" s="1"/>
      <c r="T326" s="1"/>
      <c r="U326" s="1"/>
      <c r="V326" s="1"/>
      <c r="W326" s="1"/>
      <c r="X326" s="1"/>
      <c r="Y326" s="1"/>
      <c r="Z326" s="1"/>
    </row>
    <row r="327" spans="1:26" ht="12.75">
      <c r="A327" s="1" t="s">
        <v>72</v>
      </c>
      <c r="B327" s="1" t="s">
        <v>547</v>
      </c>
      <c r="C327" s="21">
        <v>3.7</v>
      </c>
      <c r="D327" s="173">
        <f>IF(B327="","",IFERROR(VLOOKUP(B327,'ITEM LIST'!B:M,12,0)*C327,0))</f>
        <v>2.9600000000000004</v>
      </c>
      <c r="E327" s="1">
        <f t="shared" si="11"/>
        <v>87.455599999999976</v>
      </c>
      <c r="F327" s="20"/>
      <c r="G327" s="1"/>
      <c r="H327" s="1"/>
      <c r="I327" s="1"/>
      <c r="J327" s="1"/>
      <c r="K327" s="1"/>
      <c r="L327" s="1"/>
      <c r="M327" s="1"/>
      <c r="N327" s="1"/>
      <c r="O327" s="1"/>
      <c r="P327" s="1"/>
      <c r="Q327" s="1"/>
      <c r="R327" s="1"/>
      <c r="S327" s="1"/>
      <c r="T327" s="1"/>
      <c r="U327" s="1"/>
      <c r="V327" s="1"/>
      <c r="W327" s="1"/>
      <c r="X327" s="1"/>
      <c r="Y327" s="1"/>
      <c r="Z327" s="1"/>
    </row>
    <row r="328" spans="1:26" ht="12.75">
      <c r="A328" s="1" t="s">
        <v>72</v>
      </c>
      <c r="B328" s="1" t="s">
        <v>9</v>
      </c>
      <c r="C328" s="21">
        <v>2.4500000000000002</v>
      </c>
      <c r="D328" s="173">
        <f>IF(B328="","",IFERROR(VLOOKUP(B328,'ITEM LIST'!B:M,12,0)*C328,0))</f>
        <v>0</v>
      </c>
      <c r="E328" s="1">
        <f t="shared" si="11"/>
        <v>87.455599999999976</v>
      </c>
      <c r="F328" s="20"/>
      <c r="G328" s="1"/>
      <c r="H328" s="1"/>
      <c r="I328" s="1"/>
      <c r="J328" s="1"/>
      <c r="K328" s="1"/>
      <c r="L328" s="1"/>
      <c r="M328" s="1"/>
      <c r="N328" s="1"/>
      <c r="O328" s="1"/>
      <c r="P328" s="1"/>
      <c r="Q328" s="1"/>
      <c r="R328" s="1"/>
      <c r="S328" s="1"/>
      <c r="T328" s="1"/>
      <c r="U328" s="1"/>
      <c r="V328" s="1"/>
      <c r="W328" s="1"/>
      <c r="X328" s="1"/>
      <c r="Y328" s="1"/>
      <c r="Z328" s="1"/>
    </row>
    <row r="329" spans="1:26" ht="12.75">
      <c r="A329" s="1" t="s">
        <v>72</v>
      </c>
      <c r="B329" s="1" t="s">
        <v>347</v>
      </c>
      <c r="C329" s="21">
        <v>2.6</v>
      </c>
      <c r="D329" s="173">
        <f>IF(B329="","",IFERROR(VLOOKUP(B329,'ITEM LIST'!B:M,12,0)*C329,0))</f>
        <v>1.7680000000000002</v>
      </c>
      <c r="E329" s="1">
        <f t="shared" si="11"/>
        <v>87.455599999999976</v>
      </c>
      <c r="F329" s="20"/>
      <c r="G329" s="1"/>
      <c r="H329" s="1"/>
      <c r="I329" s="1"/>
      <c r="J329" s="1"/>
      <c r="K329" s="1"/>
      <c r="L329" s="1"/>
      <c r="M329" s="1"/>
      <c r="N329" s="1"/>
      <c r="O329" s="1"/>
      <c r="P329" s="1"/>
      <c r="Q329" s="1"/>
      <c r="R329" s="1"/>
      <c r="S329" s="1"/>
      <c r="T329" s="1"/>
      <c r="U329" s="1"/>
      <c r="V329" s="1"/>
      <c r="W329" s="1"/>
      <c r="X329" s="1"/>
      <c r="Y329" s="1"/>
      <c r="Z329" s="1"/>
    </row>
    <row r="330" spans="1:26" ht="12.75">
      <c r="A330" s="1" t="s">
        <v>72</v>
      </c>
      <c r="B330" s="1" t="s">
        <v>12</v>
      </c>
      <c r="C330" s="21">
        <v>1.6</v>
      </c>
      <c r="D330" s="173">
        <f>IF(B330="","",IFERROR(VLOOKUP(B330,'ITEM LIST'!B:M,12,0)*C330,0))</f>
        <v>0.1552</v>
      </c>
      <c r="E330" s="1">
        <f t="shared" si="11"/>
        <v>87.455599999999976</v>
      </c>
      <c r="F330" s="20"/>
      <c r="G330" s="1"/>
      <c r="H330" s="1"/>
      <c r="I330" s="1"/>
      <c r="J330" s="1"/>
      <c r="K330" s="1"/>
      <c r="L330" s="1"/>
      <c r="M330" s="1"/>
      <c r="N330" s="1"/>
      <c r="O330" s="1"/>
      <c r="P330" s="1"/>
      <c r="Q330" s="1"/>
      <c r="R330" s="1"/>
      <c r="S330" s="1"/>
      <c r="T330" s="1"/>
      <c r="U330" s="1"/>
      <c r="V330" s="1"/>
      <c r="W330" s="1"/>
      <c r="X330" s="1"/>
      <c r="Y330" s="1"/>
      <c r="Z330" s="1"/>
    </row>
    <row r="331" spans="1:26" ht="12.75">
      <c r="A331" s="1" t="s">
        <v>72</v>
      </c>
      <c r="B331" s="1" t="s">
        <v>24</v>
      </c>
      <c r="C331" s="21">
        <v>30</v>
      </c>
      <c r="D331" s="173">
        <f>IF(B331="","",IFERROR(VLOOKUP(B331,'ITEM LIST'!B:M,12,0)*C331,0))</f>
        <v>2.1</v>
      </c>
      <c r="E331" s="1">
        <f t="shared" si="11"/>
        <v>87.455599999999976</v>
      </c>
      <c r="F331" s="20"/>
      <c r="G331" s="1"/>
      <c r="H331" s="1"/>
      <c r="I331" s="1"/>
      <c r="J331" s="1"/>
      <c r="K331" s="1"/>
      <c r="L331" s="1"/>
      <c r="M331" s="1"/>
      <c r="N331" s="1"/>
      <c r="O331" s="1"/>
      <c r="P331" s="1"/>
      <c r="Q331" s="1"/>
      <c r="R331" s="1"/>
      <c r="S331" s="1"/>
      <c r="T331" s="1"/>
      <c r="U331" s="1"/>
      <c r="V331" s="1"/>
      <c r="W331" s="1"/>
      <c r="X331" s="1"/>
      <c r="Y331" s="1"/>
      <c r="Z331" s="1"/>
    </row>
    <row r="332" spans="1:26" ht="12.75">
      <c r="A332" s="1" t="s">
        <v>72</v>
      </c>
      <c r="B332" s="1" t="s">
        <v>670</v>
      </c>
      <c r="C332" s="21">
        <v>40</v>
      </c>
      <c r="D332" s="173">
        <f>IF(B332="","",IFERROR(VLOOKUP(B332,'ITEM LIST'!B:M,12,0)*C332,0))</f>
        <v>4.8</v>
      </c>
      <c r="E332" s="1">
        <f t="shared" si="11"/>
        <v>87.455599999999976</v>
      </c>
      <c r="F332" s="20"/>
      <c r="G332" s="1"/>
      <c r="H332" s="1"/>
      <c r="I332" s="1"/>
      <c r="J332" s="1"/>
      <c r="K332" s="1"/>
      <c r="L332" s="1"/>
      <c r="M332" s="1"/>
      <c r="N332" s="1"/>
      <c r="O332" s="1"/>
      <c r="P332" s="1"/>
      <c r="Q332" s="1"/>
      <c r="R332" s="1"/>
      <c r="S332" s="1"/>
      <c r="T332" s="1"/>
      <c r="U332" s="1"/>
      <c r="V332" s="1"/>
      <c r="W332" s="1"/>
      <c r="X332" s="1"/>
      <c r="Y332" s="1"/>
      <c r="Z332" s="1"/>
    </row>
    <row r="333" spans="1:26" ht="12.75">
      <c r="A333" s="1" t="s">
        <v>72</v>
      </c>
      <c r="B333" s="1" t="s">
        <v>2</v>
      </c>
      <c r="C333" s="21">
        <v>0.2</v>
      </c>
      <c r="D333" s="173">
        <f>IF(B333="","",IFERROR(VLOOKUP(B333,'ITEM LIST'!B:M,12,0)*C333,0))</f>
        <v>9.6000000000000002E-2</v>
      </c>
      <c r="E333" s="1">
        <f t="shared" si="11"/>
        <v>87.455599999999976</v>
      </c>
      <c r="F333" s="20"/>
      <c r="G333" s="1"/>
      <c r="H333" s="1"/>
      <c r="I333" s="1"/>
      <c r="J333" s="1"/>
      <c r="K333" s="1"/>
      <c r="L333" s="1"/>
      <c r="M333" s="1"/>
      <c r="N333" s="1"/>
      <c r="O333" s="1"/>
      <c r="P333" s="1"/>
      <c r="Q333" s="1"/>
      <c r="R333" s="1"/>
      <c r="S333" s="1"/>
      <c r="T333" s="1"/>
      <c r="U333" s="1"/>
      <c r="V333" s="1"/>
      <c r="W333" s="1"/>
      <c r="X333" s="1"/>
      <c r="Y333" s="1"/>
      <c r="Z333" s="1"/>
    </row>
    <row r="334" spans="1:26" ht="12.75">
      <c r="A334" s="1" t="s">
        <v>72</v>
      </c>
      <c r="B334" s="1" t="s">
        <v>427</v>
      </c>
      <c r="C334" s="21">
        <v>80</v>
      </c>
      <c r="D334" s="173">
        <f>IF(B334="","",IFERROR(VLOOKUP(B334,'ITEM LIST'!B:M,12,0)*C334,0))</f>
        <v>3.84</v>
      </c>
      <c r="E334" s="1">
        <f t="shared" si="11"/>
        <v>87.455599999999976</v>
      </c>
      <c r="F334" s="20"/>
      <c r="G334" s="1"/>
      <c r="H334" s="1"/>
      <c r="I334" s="1"/>
      <c r="J334" s="1"/>
      <c r="K334" s="1"/>
      <c r="L334" s="1"/>
      <c r="M334" s="1"/>
      <c r="N334" s="1"/>
      <c r="O334" s="1"/>
      <c r="P334" s="1"/>
      <c r="Q334" s="1"/>
      <c r="R334" s="1"/>
      <c r="S334" s="1"/>
      <c r="T334" s="1"/>
      <c r="U334" s="1"/>
      <c r="V334" s="1"/>
      <c r="W334" s="1"/>
      <c r="X334" s="1"/>
      <c r="Y334" s="1"/>
      <c r="Z334" s="1"/>
    </row>
    <row r="335" spans="1:26" ht="12.75">
      <c r="A335" s="1" t="s">
        <v>72</v>
      </c>
      <c r="B335" s="1" t="s">
        <v>118</v>
      </c>
      <c r="C335" s="21">
        <v>6</v>
      </c>
      <c r="D335" s="173">
        <f>IF(B335="","",IFERROR(VLOOKUP(B335,'ITEM LIST'!B:M,12,0)*C335,0))</f>
        <v>0.72</v>
      </c>
      <c r="E335" s="1">
        <f t="shared" si="11"/>
        <v>87.455599999999976</v>
      </c>
      <c r="F335" s="20"/>
      <c r="G335" s="1"/>
      <c r="H335" s="1"/>
      <c r="I335" s="1"/>
      <c r="J335" s="1"/>
      <c r="K335" s="1"/>
      <c r="L335" s="1"/>
      <c r="M335" s="1"/>
      <c r="N335" s="1"/>
      <c r="O335" s="1"/>
      <c r="P335" s="1"/>
      <c r="Q335" s="1"/>
      <c r="R335" s="1"/>
      <c r="S335" s="1"/>
      <c r="T335" s="1"/>
      <c r="U335" s="1"/>
      <c r="V335" s="1"/>
      <c r="W335" s="1"/>
      <c r="X335" s="1"/>
      <c r="Y335" s="1"/>
      <c r="Z335" s="1"/>
    </row>
    <row r="336" spans="1:26" ht="12.75">
      <c r="A336" s="1" t="s">
        <v>72</v>
      </c>
      <c r="B336" s="1" t="s">
        <v>25</v>
      </c>
      <c r="C336" s="21">
        <v>3</v>
      </c>
      <c r="D336" s="173">
        <f>IF(B336="","",IFERROR(VLOOKUP(B336,'ITEM LIST'!B:M,12,0)*C336,0))</f>
        <v>8.4000000000000005E-2</v>
      </c>
      <c r="E336" s="1">
        <f t="shared" si="11"/>
        <v>87.455599999999976</v>
      </c>
      <c r="F336" s="20"/>
      <c r="G336" s="1"/>
      <c r="H336" s="1"/>
      <c r="I336" s="1"/>
      <c r="J336" s="1"/>
      <c r="K336" s="1"/>
      <c r="L336" s="1"/>
      <c r="M336" s="1"/>
      <c r="N336" s="1"/>
      <c r="O336" s="1"/>
      <c r="P336" s="1"/>
      <c r="Q336" s="1"/>
      <c r="R336" s="1"/>
      <c r="S336" s="1"/>
      <c r="T336" s="1"/>
      <c r="U336" s="1"/>
      <c r="V336" s="1"/>
      <c r="W336" s="1"/>
      <c r="X336" s="1"/>
      <c r="Y336" s="1"/>
      <c r="Z336" s="1"/>
    </row>
    <row r="337" spans="1:26" ht="12.75">
      <c r="A337" s="1" t="s">
        <v>72</v>
      </c>
      <c r="B337" s="1" t="s">
        <v>19</v>
      </c>
      <c r="C337" s="21">
        <v>7</v>
      </c>
      <c r="D337" s="173">
        <f>IF(B337="","",IFERROR(VLOOKUP(B337,'ITEM LIST'!B:M,12,0)*C337,0))</f>
        <v>0.112</v>
      </c>
      <c r="E337" s="1">
        <f t="shared" si="11"/>
        <v>87.455599999999976</v>
      </c>
      <c r="F337" s="20"/>
      <c r="G337" s="1"/>
      <c r="H337" s="1"/>
      <c r="I337" s="1"/>
      <c r="J337" s="1"/>
      <c r="K337" s="1"/>
      <c r="L337" s="1"/>
      <c r="M337" s="1"/>
      <c r="N337" s="1"/>
      <c r="O337" s="1"/>
      <c r="P337" s="1"/>
      <c r="Q337" s="1"/>
      <c r="R337" s="1"/>
      <c r="S337" s="1"/>
      <c r="T337" s="1"/>
      <c r="U337" s="1"/>
      <c r="V337" s="1"/>
      <c r="W337" s="1"/>
      <c r="X337" s="1"/>
      <c r="Y337" s="1"/>
      <c r="Z337" s="1"/>
    </row>
    <row r="338" spans="1:26" ht="12.75">
      <c r="A338" s="1" t="s">
        <v>72</v>
      </c>
      <c r="B338" s="1" t="s">
        <v>26</v>
      </c>
      <c r="C338" s="21">
        <v>6.25</v>
      </c>
      <c r="D338" s="173">
        <f>IF(B338="","",IFERROR(VLOOKUP(B338,'ITEM LIST'!B:M,12,0)*C338,0))</f>
        <v>0.73125000000000007</v>
      </c>
      <c r="E338" s="1">
        <f t="shared" si="11"/>
        <v>87.455599999999976</v>
      </c>
      <c r="F338" s="20"/>
      <c r="G338" s="1"/>
      <c r="H338" s="1"/>
      <c r="I338" s="1"/>
      <c r="J338" s="1"/>
      <c r="K338" s="1"/>
      <c r="L338" s="1"/>
      <c r="M338" s="1"/>
      <c r="N338" s="1"/>
      <c r="O338" s="1"/>
      <c r="P338" s="1"/>
      <c r="Q338" s="1"/>
      <c r="R338" s="1"/>
      <c r="S338" s="1"/>
      <c r="T338" s="1"/>
      <c r="U338" s="1"/>
      <c r="V338" s="1"/>
      <c r="W338" s="1"/>
      <c r="X338" s="1"/>
      <c r="Y338" s="1"/>
      <c r="Z338" s="1"/>
    </row>
    <row r="339" spans="1:26" ht="12.75">
      <c r="A339" s="1"/>
      <c r="B339" s="1" t="s">
        <v>371</v>
      </c>
      <c r="C339" s="21"/>
      <c r="D339" s="173" t="str">
        <f>IF(B339="","",IFERROR(VLOOKUP(B339,'ITEM LIST'!B:M,12,0)*C339,0))</f>
        <v/>
      </c>
      <c r="E339" s="1" t="str">
        <f t="shared" si="11"/>
        <v/>
      </c>
      <c r="F339" s="20"/>
      <c r="G339" s="1"/>
      <c r="H339" s="1"/>
      <c r="I339" s="1"/>
      <c r="J339" s="1"/>
      <c r="K339" s="1"/>
      <c r="L339" s="1"/>
      <c r="M339" s="1"/>
      <c r="N339" s="1"/>
      <c r="O339" s="1"/>
      <c r="P339" s="1"/>
      <c r="Q339" s="1"/>
      <c r="R339" s="1"/>
      <c r="S339" s="1"/>
      <c r="T339" s="1"/>
      <c r="U339" s="1"/>
      <c r="V339" s="1"/>
      <c r="W339" s="1"/>
      <c r="X339" s="1"/>
      <c r="Y339" s="1"/>
      <c r="Z339" s="1"/>
    </row>
    <row r="340" spans="1:26" ht="12.75">
      <c r="A340" s="1" t="s">
        <v>73</v>
      </c>
      <c r="B340" s="1" t="s">
        <v>492</v>
      </c>
      <c r="C340" s="21">
        <v>504</v>
      </c>
      <c r="D340" s="173">
        <f>IF(B340="","",IFERROR(VLOOKUP(B340,'ITEM LIST'!B:M,12,0)*C340,0))</f>
        <v>40.32</v>
      </c>
      <c r="E340" s="1">
        <f t="shared" si="11"/>
        <v>87.445439999999991</v>
      </c>
      <c r="F340" s="20"/>
      <c r="G340" s="1"/>
      <c r="H340" s="1"/>
      <c r="I340" s="1"/>
      <c r="J340" s="1"/>
      <c r="K340" s="1"/>
      <c r="L340" s="1"/>
      <c r="M340" s="1"/>
      <c r="N340" s="1"/>
      <c r="O340" s="1"/>
      <c r="P340" s="1"/>
      <c r="Q340" s="1"/>
      <c r="R340" s="1"/>
      <c r="S340" s="1"/>
      <c r="T340" s="1"/>
      <c r="U340" s="1"/>
      <c r="V340" s="1"/>
      <c r="W340" s="1"/>
      <c r="X340" s="1"/>
      <c r="Y340" s="1"/>
      <c r="Z340" s="1"/>
    </row>
    <row r="341" spans="1:26" ht="12.75">
      <c r="A341" s="1" t="s">
        <v>73</v>
      </c>
      <c r="B341" s="1" t="s">
        <v>20</v>
      </c>
      <c r="C341" s="21">
        <v>48</v>
      </c>
      <c r="D341" s="173">
        <f>IF(B341="","",IFERROR(VLOOKUP(B341,'ITEM LIST'!B:M,12,0)*C341,0))</f>
        <v>0.91199999999999992</v>
      </c>
      <c r="E341" s="1">
        <f t="shared" si="11"/>
        <v>87.445439999999991</v>
      </c>
      <c r="F341" s="20"/>
      <c r="G341" s="1"/>
      <c r="H341" s="1"/>
      <c r="I341" s="1"/>
      <c r="J341" s="1"/>
      <c r="K341" s="1"/>
      <c r="L341" s="1"/>
      <c r="M341" s="1"/>
      <c r="N341" s="1"/>
      <c r="O341" s="1"/>
      <c r="P341" s="1"/>
      <c r="Q341" s="1"/>
      <c r="R341" s="1"/>
      <c r="S341" s="1"/>
      <c r="T341" s="1"/>
      <c r="U341" s="1"/>
      <c r="V341" s="1"/>
      <c r="W341" s="1"/>
      <c r="X341" s="1"/>
      <c r="Y341" s="1"/>
      <c r="Z341" s="1"/>
    </row>
    <row r="342" spans="1:26" ht="12.75">
      <c r="A342" s="1" t="s">
        <v>73</v>
      </c>
      <c r="B342" s="1" t="s">
        <v>338</v>
      </c>
      <c r="C342" s="21">
        <v>9.24</v>
      </c>
      <c r="D342" s="173">
        <f>IF(B342="","",IFERROR(VLOOKUP(B342,'ITEM LIST'!B:M,12,0)*C342,0))</f>
        <v>0.72996000000000005</v>
      </c>
      <c r="E342" s="1">
        <f t="shared" ref="E342:E373" si="12">IF(A342="","", SUMIFS(D:D,A:A,A342))</f>
        <v>87.445439999999991</v>
      </c>
      <c r="F342" s="20"/>
      <c r="G342" s="1"/>
      <c r="H342" s="1"/>
      <c r="I342" s="1"/>
      <c r="J342" s="1"/>
      <c r="K342" s="1"/>
      <c r="L342" s="1"/>
      <c r="M342" s="1"/>
      <c r="N342" s="1"/>
      <c r="O342" s="1"/>
      <c r="P342" s="1"/>
      <c r="Q342" s="1"/>
      <c r="R342" s="1"/>
      <c r="S342" s="1"/>
      <c r="T342" s="1"/>
      <c r="U342" s="1"/>
      <c r="V342" s="1"/>
      <c r="W342" s="1"/>
      <c r="X342" s="1"/>
      <c r="Y342" s="1"/>
      <c r="Z342" s="1"/>
    </row>
    <row r="343" spans="1:26" ht="12.75">
      <c r="A343" s="1" t="s">
        <v>73</v>
      </c>
      <c r="B343" s="1" t="s">
        <v>332</v>
      </c>
      <c r="C343" s="21">
        <v>6.48</v>
      </c>
      <c r="D343" s="173">
        <f>IF(B343="","",IFERROR(VLOOKUP(B343,'ITEM LIST'!B:M,12,0)*C343,0))</f>
        <v>2.2679999999999998</v>
      </c>
      <c r="E343" s="1">
        <f t="shared" si="12"/>
        <v>87.445439999999991</v>
      </c>
      <c r="F343" s="20"/>
      <c r="G343" s="1"/>
      <c r="H343" s="1"/>
      <c r="I343" s="1"/>
      <c r="J343" s="1"/>
      <c r="K343" s="1"/>
      <c r="L343" s="1"/>
      <c r="M343" s="1"/>
      <c r="N343" s="1"/>
      <c r="O343" s="1"/>
      <c r="P343" s="1"/>
      <c r="Q343" s="1"/>
      <c r="R343" s="1"/>
      <c r="S343" s="1"/>
      <c r="T343" s="1"/>
      <c r="U343" s="1"/>
      <c r="V343" s="1"/>
      <c r="W343" s="1"/>
      <c r="X343" s="1"/>
      <c r="Y343" s="1"/>
      <c r="Z343" s="1"/>
    </row>
    <row r="344" spans="1:26" ht="12.75">
      <c r="A344" s="1" t="s">
        <v>73</v>
      </c>
      <c r="B344" s="1" t="s">
        <v>335</v>
      </c>
      <c r="C344" s="21">
        <v>7.68</v>
      </c>
      <c r="D344" s="173">
        <f>IF(B344="","",IFERROR(VLOOKUP(B344,'ITEM LIST'!B:M,12,0)*C344,0))</f>
        <v>2.3039999999999998</v>
      </c>
      <c r="E344" s="1">
        <f t="shared" si="12"/>
        <v>87.445439999999991</v>
      </c>
      <c r="F344" s="20"/>
      <c r="G344" s="1"/>
      <c r="H344" s="1"/>
      <c r="I344" s="1"/>
      <c r="J344" s="1"/>
      <c r="K344" s="1"/>
      <c r="L344" s="1"/>
      <c r="M344" s="1"/>
      <c r="N344" s="1"/>
      <c r="O344" s="1"/>
      <c r="P344" s="1"/>
      <c r="Q344" s="1"/>
      <c r="R344" s="1"/>
      <c r="S344" s="1"/>
      <c r="T344" s="1"/>
      <c r="U344" s="1"/>
      <c r="V344" s="1"/>
      <c r="W344" s="1"/>
      <c r="X344" s="1"/>
      <c r="Y344" s="1"/>
      <c r="Z344" s="1"/>
    </row>
    <row r="345" spans="1:26" ht="12.75">
      <c r="A345" s="1" t="s">
        <v>73</v>
      </c>
      <c r="B345" s="1" t="s">
        <v>547</v>
      </c>
      <c r="C345" s="21">
        <v>8.8800000000000008</v>
      </c>
      <c r="D345" s="173">
        <f>IF(B345="","",IFERROR(VLOOKUP(B345,'ITEM LIST'!B:M,12,0)*C345,0))</f>
        <v>7.104000000000001</v>
      </c>
      <c r="E345" s="1">
        <f t="shared" si="12"/>
        <v>87.445439999999991</v>
      </c>
      <c r="F345" s="20"/>
      <c r="G345" s="1"/>
      <c r="H345" s="1"/>
      <c r="I345" s="1"/>
      <c r="J345" s="1"/>
      <c r="K345" s="1"/>
      <c r="L345" s="1"/>
      <c r="M345" s="1"/>
      <c r="N345" s="1"/>
      <c r="O345" s="1"/>
      <c r="P345" s="1"/>
      <c r="Q345" s="1"/>
      <c r="R345" s="1"/>
      <c r="S345" s="1"/>
      <c r="T345" s="1"/>
      <c r="U345" s="1"/>
      <c r="V345" s="1"/>
      <c r="W345" s="1"/>
      <c r="X345" s="1"/>
      <c r="Y345" s="1"/>
      <c r="Z345" s="1"/>
    </row>
    <row r="346" spans="1:26" ht="12.75">
      <c r="A346" s="1" t="s">
        <v>73</v>
      </c>
      <c r="B346" s="1" t="s">
        <v>9</v>
      </c>
      <c r="C346" s="21">
        <v>5.88</v>
      </c>
      <c r="D346" s="173">
        <f>IF(B346="","",IFERROR(VLOOKUP(B346,'ITEM LIST'!B:M,12,0)*C346,0))</f>
        <v>0</v>
      </c>
      <c r="E346" s="1">
        <f t="shared" si="12"/>
        <v>87.445439999999991</v>
      </c>
      <c r="F346" s="20"/>
      <c r="G346" s="1"/>
      <c r="H346" s="1"/>
      <c r="I346" s="1"/>
      <c r="J346" s="1"/>
      <c r="K346" s="1"/>
      <c r="L346" s="1"/>
      <c r="M346" s="1"/>
      <c r="N346" s="1"/>
      <c r="O346" s="1"/>
      <c r="P346" s="1"/>
      <c r="Q346" s="1"/>
      <c r="R346" s="1"/>
      <c r="S346" s="1"/>
      <c r="T346" s="1"/>
      <c r="U346" s="1"/>
      <c r="V346" s="1"/>
      <c r="W346" s="1"/>
      <c r="X346" s="1"/>
      <c r="Y346" s="1"/>
      <c r="Z346" s="1"/>
    </row>
    <row r="347" spans="1:26" ht="12.75">
      <c r="A347" s="1" t="s">
        <v>73</v>
      </c>
      <c r="B347" s="1" t="s">
        <v>347</v>
      </c>
      <c r="C347" s="21">
        <v>6.24</v>
      </c>
      <c r="D347" s="173">
        <f>IF(B347="","",IFERROR(VLOOKUP(B347,'ITEM LIST'!B:M,12,0)*C347,0))</f>
        <v>4.2432000000000007</v>
      </c>
      <c r="E347" s="1">
        <f t="shared" si="12"/>
        <v>87.445439999999991</v>
      </c>
      <c r="F347" s="20"/>
      <c r="G347" s="1"/>
      <c r="H347" s="1"/>
      <c r="I347" s="1"/>
      <c r="J347" s="1"/>
      <c r="K347" s="1"/>
      <c r="L347" s="1"/>
      <c r="M347" s="1"/>
      <c r="N347" s="1"/>
      <c r="O347" s="1"/>
      <c r="P347" s="1"/>
      <c r="Q347" s="1"/>
      <c r="R347" s="1"/>
      <c r="S347" s="1"/>
      <c r="T347" s="1"/>
      <c r="U347" s="1"/>
      <c r="V347" s="1"/>
      <c r="W347" s="1"/>
      <c r="X347" s="1"/>
      <c r="Y347" s="1"/>
      <c r="Z347" s="1"/>
    </row>
    <row r="348" spans="1:26" ht="12.75">
      <c r="A348" s="1" t="s">
        <v>73</v>
      </c>
      <c r="B348" s="1" t="s">
        <v>12</v>
      </c>
      <c r="C348" s="21">
        <v>3.84</v>
      </c>
      <c r="D348" s="173">
        <f>IF(B348="","",IFERROR(VLOOKUP(B348,'ITEM LIST'!B:M,12,0)*C348,0))</f>
        <v>0.37247999999999998</v>
      </c>
      <c r="E348" s="1">
        <f t="shared" si="12"/>
        <v>87.445439999999991</v>
      </c>
      <c r="F348" s="20"/>
      <c r="G348" s="1"/>
      <c r="H348" s="1"/>
      <c r="I348" s="1"/>
      <c r="J348" s="1"/>
      <c r="K348" s="1"/>
      <c r="L348" s="1"/>
      <c r="M348" s="1"/>
      <c r="N348" s="1"/>
      <c r="O348" s="1"/>
      <c r="P348" s="1"/>
      <c r="Q348" s="1"/>
      <c r="R348" s="1"/>
      <c r="S348" s="1"/>
      <c r="T348" s="1"/>
      <c r="U348" s="1"/>
      <c r="V348" s="1"/>
      <c r="W348" s="1"/>
      <c r="X348" s="1"/>
      <c r="Y348" s="1"/>
      <c r="Z348" s="1"/>
    </row>
    <row r="349" spans="1:26" ht="12.75">
      <c r="A349" s="1" t="s">
        <v>73</v>
      </c>
      <c r="B349" s="1" t="s">
        <v>24</v>
      </c>
      <c r="C349" s="21">
        <v>72</v>
      </c>
      <c r="D349" s="173">
        <f>IF(B349="","",IFERROR(VLOOKUP(B349,'ITEM LIST'!B:M,12,0)*C349,0))</f>
        <v>5.0400000000000009</v>
      </c>
      <c r="E349" s="1">
        <f t="shared" si="12"/>
        <v>87.445439999999991</v>
      </c>
      <c r="F349" s="20"/>
      <c r="G349" s="1"/>
      <c r="H349" s="1"/>
      <c r="I349" s="1"/>
      <c r="J349" s="1"/>
      <c r="K349" s="1"/>
      <c r="L349" s="1"/>
      <c r="M349" s="1"/>
      <c r="N349" s="1"/>
      <c r="O349" s="1"/>
      <c r="P349" s="1"/>
      <c r="Q349" s="1"/>
      <c r="R349" s="1"/>
      <c r="S349" s="1"/>
      <c r="T349" s="1"/>
      <c r="U349" s="1"/>
      <c r="V349" s="1"/>
      <c r="W349" s="1"/>
      <c r="X349" s="1"/>
      <c r="Y349" s="1"/>
      <c r="Z349" s="1"/>
    </row>
    <row r="350" spans="1:26" ht="12.75">
      <c r="A350" s="1" t="s">
        <v>73</v>
      </c>
      <c r="B350" s="1" t="s">
        <v>670</v>
      </c>
      <c r="C350" s="21">
        <v>96</v>
      </c>
      <c r="D350" s="173">
        <f>IF(B350="","",IFERROR(VLOOKUP(B350,'ITEM LIST'!B:M,12,0)*C350,0))</f>
        <v>11.52</v>
      </c>
      <c r="E350" s="1">
        <f t="shared" si="12"/>
        <v>87.445439999999991</v>
      </c>
      <c r="F350" s="20"/>
      <c r="G350" s="1"/>
      <c r="H350" s="1"/>
      <c r="I350" s="1"/>
      <c r="J350" s="1"/>
      <c r="K350" s="1"/>
      <c r="L350" s="1"/>
      <c r="M350" s="1"/>
      <c r="N350" s="1"/>
      <c r="O350" s="1"/>
      <c r="P350" s="1"/>
      <c r="Q350" s="1"/>
      <c r="R350" s="1"/>
      <c r="S350" s="1"/>
      <c r="T350" s="1"/>
      <c r="U350" s="1"/>
      <c r="V350" s="1"/>
      <c r="W350" s="1"/>
      <c r="X350" s="1"/>
      <c r="Y350" s="1"/>
      <c r="Z350" s="1"/>
    </row>
    <row r="351" spans="1:26" ht="12.75">
      <c r="A351" s="1" t="s">
        <v>73</v>
      </c>
      <c r="B351" s="1" t="s">
        <v>2</v>
      </c>
      <c r="C351" s="21">
        <v>0.48</v>
      </c>
      <c r="D351" s="173">
        <f>IF(B351="","",IFERROR(VLOOKUP(B351,'ITEM LIST'!B:M,12,0)*C351,0))</f>
        <v>0.23039999999999999</v>
      </c>
      <c r="E351" s="1">
        <f t="shared" si="12"/>
        <v>87.445439999999991</v>
      </c>
      <c r="F351" s="20"/>
      <c r="G351" s="1"/>
      <c r="H351" s="1"/>
      <c r="I351" s="1"/>
      <c r="J351" s="1"/>
      <c r="K351" s="1"/>
      <c r="L351" s="1"/>
      <c r="M351" s="1"/>
      <c r="N351" s="1"/>
      <c r="O351" s="1"/>
      <c r="P351" s="1"/>
      <c r="Q351" s="1"/>
      <c r="R351" s="1"/>
      <c r="S351" s="1"/>
      <c r="T351" s="1"/>
      <c r="U351" s="1"/>
      <c r="V351" s="1"/>
      <c r="W351" s="1"/>
      <c r="X351" s="1"/>
      <c r="Y351" s="1"/>
      <c r="Z351" s="1"/>
    </row>
    <row r="352" spans="1:26" ht="12.75">
      <c r="A352" s="1" t="s">
        <v>73</v>
      </c>
      <c r="B352" s="1" t="s">
        <v>427</v>
      </c>
      <c r="C352" s="21">
        <v>192</v>
      </c>
      <c r="D352" s="173">
        <f>IF(B352="","",IFERROR(VLOOKUP(B352,'ITEM LIST'!B:M,12,0)*C352,0))</f>
        <v>9.2160000000000011</v>
      </c>
      <c r="E352" s="1">
        <f t="shared" si="12"/>
        <v>87.445439999999991</v>
      </c>
      <c r="F352" s="20"/>
      <c r="G352" s="1"/>
      <c r="H352" s="1"/>
      <c r="I352" s="1"/>
      <c r="J352" s="1"/>
      <c r="K352" s="1"/>
      <c r="L352" s="1"/>
      <c r="M352" s="1"/>
      <c r="N352" s="1"/>
      <c r="O352" s="1"/>
      <c r="P352" s="1"/>
      <c r="Q352" s="1"/>
      <c r="R352" s="1"/>
      <c r="S352" s="1"/>
      <c r="T352" s="1"/>
      <c r="U352" s="1"/>
      <c r="V352" s="1"/>
      <c r="W352" s="1"/>
      <c r="X352" s="1"/>
      <c r="Y352" s="1"/>
      <c r="Z352" s="1"/>
    </row>
    <row r="353" spans="1:26" ht="12.75">
      <c r="A353" s="1" t="s">
        <v>73</v>
      </c>
      <c r="B353" s="1" t="s">
        <v>27</v>
      </c>
      <c r="C353" s="21">
        <v>12</v>
      </c>
      <c r="D353" s="173">
        <f>IF(B353="","",IFERROR(VLOOKUP(B353,'ITEM LIST'!B:M,12,0)*C353,0))</f>
        <v>0.96</v>
      </c>
      <c r="E353" s="1">
        <f t="shared" si="12"/>
        <v>87.445439999999991</v>
      </c>
      <c r="F353" s="20"/>
      <c r="G353" s="1"/>
      <c r="H353" s="1"/>
      <c r="I353" s="1"/>
      <c r="J353" s="1"/>
      <c r="K353" s="1"/>
      <c r="L353" s="1"/>
      <c r="M353" s="1"/>
      <c r="N353" s="1"/>
      <c r="O353" s="1"/>
      <c r="P353" s="1"/>
      <c r="Q353" s="1"/>
      <c r="R353" s="1"/>
      <c r="S353" s="1"/>
      <c r="T353" s="1"/>
      <c r="U353" s="1"/>
      <c r="V353" s="1"/>
      <c r="W353" s="1"/>
      <c r="X353" s="1"/>
      <c r="Y353" s="1"/>
      <c r="Z353" s="1"/>
    </row>
    <row r="354" spans="1:26" ht="12.75">
      <c r="A354" s="1" t="s">
        <v>73</v>
      </c>
      <c r="B354" s="1" t="s">
        <v>25</v>
      </c>
      <c r="C354" s="21">
        <v>7.1999999999999993</v>
      </c>
      <c r="D354" s="173">
        <f>IF(B354="","",IFERROR(VLOOKUP(B354,'ITEM LIST'!B:M,12,0)*C354,0))</f>
        <v>0.20159999999999997</v>
      </c>
      <c r="E354" s="1">
        <f t="shared" si="12"/>
        <v>87.445439999999991</v>
      </c>
      <c r="F354" s="20"/>
      <c r="G354" s="1"/>
      <c r="H354" s="1"/>
      <c r="I354" s="1"/>
      <c r="J354" s="1"/>
      <c r="K354" s="1"/>
      <c r="L354" s="1"/>
      <c r="M354" s="1"/>
      <c r="N354" s="1"/>
      <c r="O354" s="1"/>
      <c r="P354" s="1"/>
      <c r="Q354" s="1"/>
      <c r="R354" s="1"/>
      <c r="S354" s="1"/>
      <c r="T354" s="1"/>
      <c r="U354" s="1"/>
      <c r="V354" s="1"/>
      <c r="W354" s="1"/>
      <c r="X354" s="1"/>
      <c r="Y354" s="1"/>
      <c r="Z354" s="1"/>
    </row>
    <row r="355" spans="1:26" ht="12.75">
      <c r="A355" s="1" t="s">
        <v>73</v>
      </c>
      <c r="B355" s="1" t="s">
        <v>19</v>
      </c>
      <c r="C355" s="21">
        <v>16.8</v>
      </c>
      <c r="D355" s="173">
        <f>IF(B355="","",IFERROR(VLOOKUP(B355,'ITEM LIST'!B:M,12,0)*C355,0))</f>
        <v>0.26880000000000004</v>
      </c>
      <c r="E355" s="1">
        <f t="shared" si="12"/>
        <v>87.445439999999991</v>
      </c>
      <c r="F355" s="20"/>
      <c r="G355" s="1"/>
      <c r="H355" s="1"/>
      <c r="I355" s="1"/>
      <c r="J355" s="1"/>
      <c r="K355" s="1"/>
      <c r="L355" s="1"/>
      <c r="M355" s="1"/>
      <c r="N355" s="1"/>
      <c r="O355" s="1"/>
      <c r="P355" s="1"/>
      <c r="Q355" s="1"/>
      <c r="R355" s="1"/>
      <c r="S355" s="1"/>
      <c r="T355" s="1"/>
      <c r="U355" s="1"/>
      <c r="V355" s="1"/>
      <c r="W355" s="1"/>
      <c r="X355" s="1"/>
      <c r="Y355" s="1"/>
      <c r="Z355" s="1"/>
    </row>
    <row r="356" spans="1:26" ht="12.75">
      <c r="A356" s="1" t="s">
        <v>73</v>
      </c>
      <c r="B356" s="1" t="s">
        <v>26</v>
      </c>
      <c r="C356" s="21">
        <v>15</v>
      </c>
      <c r="D356" s="173">
        <f>IF(B356="","",IFERROR(VLOOKUP(B356,'ITEM LIST'!B:M,12,0)*C356,0))</f>
        <v>1.7550000000000001</v>
      </c>
      <c r="E356" s="1">
        <f t="shared" si="12"/>
        <v>87.445439999999991</v>
      </c>
      <c r="F356" s="20"/>
      <c r="G356" s="1"/>
      <c r="H356" s="1"/>
      <c r="I356" s="1"/>
      <c r="J356" s="1"/>
      <c r="K356" s="1"/>
      <c r="L356" s="1"/>
      <c r="M356" s="1"/>
      <c r="N356" s="1"/>
      <c r="O356" s="1"/>
      <c r="P356" s="1"/>
      <c r="Q356" s="1"/>
      <c r="R356" s="1"/>
      <c r="S356" s="1"/>
      <c r="T356" s="1"/>
      <c r="U356" s="1"/>
      <c r="V356" s="1"/>
      <c r="W356" s="1"/>
      <c r="X356" s="1"/>
      <c r="Y356" s="1"/>
      <c r="Z356" s="1"/>
    </row>
    <row r="357" spans="1:26" ht="12.75">
      <c r="A357" s="1"/>
      <c r="B357" s="1" t="s">
        <v>371</v>
      </c>
      <c r="C357" s="21"/>
      <c r="D357" s="173" t="str">
        <f>IF(B357="","",IFERROR(VLOOKUP(B357,'ITEM LIST'!B:M,12,0)*C357,0))</f>
        <v/>
      </c>
      <c r="E357" s="1" t="str">
        <f t="shared" si="12"/>
        <v/>
      </c>
      <c r="F357" s="20"/>
      <c r="G357" s="1"/>
      <c r="H357" s="1"/>
      <c r="I357" s="1"/>
      <c r="J357" s="1"/>
      <c r="K357" s="1"/>
      <c r="L357" s="1"/>
      <c r="M357" s="1"/>
      <c r="N357" s="1"/>
      <c r="O357" s="1"/>
      <c r="P357" s="1"/>
      <c r="Q357" s="1"/>
      <c r="R357" s="1"/>
      <c r="S357" s="1"/>
      <c r="T357" s="1"/>
      <c r="U357" s="1"/>
      <c r="V357" s="1"/>
      <c r="W357" s="1"/>
      <c r="X357" s="1"/>
      <c r="Y357" s="1"/>
      <c r="Z357" s="1"/>
    </row>
    <row r="358" spans="1:26" ht="12.75">
      <c r="A358" s="1" t="s">
        <v>74</v>
      </c>
      <c r="B358" s="1" t="s">
        <v>28</v>
      </c>
      <c r="C358" s="21">
        <v>528</v>
      </c>
      <c r="D358" s="173">
        <f>IF(B358="","",IFERROR(VLOOKUP(B358,'ITEM LIST'!B:M,12,0)*C358,0))</f>
        <v>84.48</v>
      </c>
      <c r="E358" s="1">
        <f t="shared" si="12"/>
        <v>131.60544000000004</v>
      </c>
      <c r="F358" s="20"/>
      <c r="G358" s="1"/>
      <c r="H358" s="1"/>
      <c r="I358" s="1"/>
      <c r="J358" s="1"/>
      <c r="K358" s="1"/>
      <c r="L358" s="1"/>
      <c r="M358" s="1"/>
      <c r="N358" s="1"/>
      <c r="O358" s="1"/>
      <c r="P358" s="1"/>
      <c r="Q358" s="1"/>
      <c r="R358" s="1"/>
      <c r="S358" s="1"/>
      <c r="T358" s="1"/>
      <c r="U358" s="1"/>
      <c r="V358" s="1"/>
      <c r="W358" s="1"/>
      <c r="X358" s="1"/>
      <c r="Y358" s="1"/>
      <c r="Z358" s="1"/>
    </row>
    <row r="359" spans="1:26" ht="12.75">
      <c r="A359" s="1" t="s">
        <v>74</v>
      </c>
      <c r="B359" s="1" t="s">
        <v>20</v>
      </c>
      <c r="C359" s="21">
        <v>48</v>
      </c>
      <c r="D359" s="173">
        <f>IF(B359="","",IFERROR(VLOOKUP(B359,'ITEM LIST'!B:M,12,0)*C359,0))</f>
        <v>0.91199999999999992</v>
      </c>
      <c r="E359" s="1">
        <f t="shared" si="12"/>
        <v>131.60544000000004</v>
      </c>
      <c r="F359" s="20"/>
      <c r="G359" s="1"/>
      <c r="H359" s="1"/>
      <c r="I359" s="1"/>
      <c r="J359" s="1"/>
      <c r="K359" s="1"/>
      <c r="L359" s="1"/>
      <c r="M359" s="1"/>
      <c r="N359" s="1"/>
      <c r="O359" s="1"/>
      <c r="P359" s="1"/>
      <c r="Q359" s="1"/>
      <c r="R359" s="1"/>
      <c r="S359" s="1"/>
      <c r="T359" s="1"/>
      <c r="U359" s="1"/>
      <c r="V359" s="1"/>
      <c r="W359" s="1"/>
      <c r="X359" s="1"/>
      <c r="Y359" s="1"/>
      <c r="Z359" s="1"/>
    </row>
    <row r="360" spans="1:26" ht="12.75">
      <c r="A360" s="1" t="s">
        <v>74</v>
      </c>
      <c r="B360" s="1" t="s">
        <v>338</v>
      </c>
      <c r="C360" s="21">
        <v>9.24</v>
      </c>
      <c r="D360" s="173">
        <f>IF(B360="","",IFERROR(VLOOKUP(B360,'ITEM LIST'!B:M,12,0)*C360,0))</f>
        <v>0.72996000000000005</v>
      </c>
      <c r="E360" s="1">
        <f t="shared" si="12"/>
        <v>131.60544000000004</v>
      </c>
      <c r="F360" s="20"/>
      <c r="G360" s="1"/>
      <c r="H360" s="1"/>
      <c r="I360" s="1"/>
      <c r="J360" s="1"/>
      <c r="K360" s="1"/>
      <c r="L360" s="1"/>
      <c r="M360" s="1"/>
      <c r="N360" s="1"/>
      <c r="O360" s="1"/>
      <c r="P360" s="1"/>
      <c r="Q360" s="1"/>
      <c r="R360" s="1"/>
      <c r="S360" s="1"/>
      <c r="T360" s="1"/>
      <c r="U360" s="1"/>
      <c r="V360" s="1"/>
      <c r="W360" s="1"/>
      <c r="X360" s="1"/>
      <c r="Y360" s="1"/>
      <c r="Z360" s="1"/>
    </row>
    <row r="361" spans="1:26" ht="12.75">
      <c r="A361" s="1" t="s">
        <v>74</v>
      </c>
      <c r="B361" s="1" t="s">
        <v>332</v>
      </c>
      <c r="C361" s="21">
        <v>6.48</v>
      </c>
      <c r="D361" s="173">
        <f>IF(B361="","",IFERROR(VLOOKUP(B361,'ITEM LIST'!B:M,12,0)*C361,0))</f>
        <v>2.2679999999999998</v>
      </c>
      <c r="E361" s="1">
        <f t="shared" si="12"/>
        <v>131.60544000000004</v>
      </c>
      <c r="F361" s="20"/>
      <c r="G361" s="1"/>
      <c r="H361" s="1"/>
      <c r="I361" s="1"/>
      <c r="J361" s="1"/>
      <c r="K361" s="1"/>
      <c r="L361" s="1"/>
      <c r="M361" s="1"/>
      <c r="N361" s="1"/>
      <c r="O361" s="1"/>
      <c r="P361" s="1"/>
      <c r="Q361" s="1"/>
      <c r="R361" s="1"/>
      <c r="S361" s="1"/>
      <c r="T361" s="1"/>
      <c r="U361" s="1"/>
      <c r="V361" s="1"/>
      <c r="W361" s="1"/>
      <c r="X361" s="1"/>
      <c r="Y361" s="1"/>
      <c r="Z361" s="1"/>
    </row>
    <row r="362" spans="1:26" ht="12.75">
      <c r="A362" s="1" t="s">
        <v>74</v>
      </c>
      <c r="B362" s="1" t="s">
        <v>335</v>
      </c>
      <c r="C362" s="21">
        <v>7.68</v>
      </c>
      <c r="D362" s="173">
        <f>IF(B362="","",IFERROR(VLOOKUP(B362,'ITEM LIST'!B:M,12,0)*C362,0))</f>
        <v>2.3039999999999998</v>
      </c>
      <c r="E362" s="1">
        <f t="shared" si="12"/>
        <v>131.60544000000004</v>
      </c>
      <c r="F362" s="20"/>
      <c r="G362" s="1"/>
      <c r="H362" s="1"/>
      <c r="I362" s="1"/>
      <c r="J362" s="1"/>
      <c r="K362" s="1"/>
      <c r="L362" s="1"/>
      <c r="M362" s="1"/>
      <c r="N362" s="1"/>
      <c r="O362" s="1"/>
      <c r="P362" s="1"/>
      <c r="Q362" s="1"/>
      <c r="R362" s="1"/>
      <c r="S362" s="1"/>
      <c r="T362" s="1"/>
      <c r="U362" s="1"/>
      <c r="V362" s="1"/>
      <c r="W362" s="1"/>
      <c r="X362" s="1"/>
      <c r="Y362" s="1"/>
      <c r="Z362" s="1"/>
    </row>
    <row r="363" spans="1:26" ht="12.75">
      <c r="A363" s="1" t="s">
        <v>74</v>
      </c>
      <c r="B363" s="1" t="s">
        <v>547</v>
      </c>
      <c r="C363" s="21">
        <v>8.8800000000000008</v>
      </c>
      <c r="D363" s="173">
        <f>IF(B363="","",IFERROR(VLOOKUP(B363,'ITEM LIST'!B:M,12,0)*C363,0))</f>
        <v>7.104000000000001</v>
      </c>
      <c r="E363" s="1">
        <f t="shared" si="12"/>
        <v>131.60544000000004</v>
      </c>
      <c r="F363" s="20"/>
      <c r="G363" s="1"/>
      <c r="H363" s="1"/>
      <c r="I363" s="1"/>
      <c r="J363" s="1"/>
      <c r="K363" s="1"/>
      <c r="L363" s="1"/>
      <c r="M363" s="1"/>
      <c r="N363" s="1"/>
      <c r="O363" s="1"/>
      <c r="P363" s="1"/>
      <c r="Q363" s="1"/>
      <c r="R363" s="1"/>
      <c r="S363" s="1"/>
      <c r="T363" s="1"/>
      <c r="U363" s="1"/>
      <c r="V363" s="1"/>
      <c r="W363" s="1"/>
      <c r="X363" s="1"/>
      <c r="Y363" s="1"/>
      <c r="Z363" s="1"/>
    </row>
    <row r="364" spans="1:26" ht="12.75">
      <c r="A364" s="1" t="s">
        <v>74</v>
      </c>
      <c r="B364" s="1" t="s">
        <v>9</v>
      </c>
      <c r="C364" s="21">
        <v>5.88</v>
      </c>
      <c r="D364" s="173">
        <f>IF(B364="","",IFERROR(VLOOKUP(B364,'ITEM LIST'!B:M,12,0)*C364,0))</f>
        <v>0</v>
      </c>
      <c r="E364" s="1">
        <f t="shared" si="12"/>
        <v>131.60544000000004</v>
      </c>
      <c r="F364" s="20"/>
      <c r="G364" s="1"/>
      <c r="H364" s="1"/>
      <c r="I364" s="1"/>
      <c r="J364" s="1"/>
      <c r="K364" s="1"/>
      <c r="L364" s="1"/>
      <c r="M364" s="1"/>
      <c r="N364" s="1"/>
      <c r="O364" s="1"/>
      <c r="P364" s="1"/>
      <c r="Q364" s="1"/>
      <c r="R364" s="1"/>
      <c r="S364" s="1"/>
      <c r="T364" s="1"/>
      <c r="U364" s="1"/>
      <c r="V364" s="1"/>
      <c r="W364" s="1"/>
      <c r="X364" s="1"/>
      <c r="Y364" s="1"/>
      <c r="Z364" s="1"/>
    </row>
    <row r="365" spans="1:26" ht="12.75">
      <c r="A365" s="1" t="s">
        <v>74</v>
      </c>
      <c r="B365" s="1" t="s">
        <v>347</v>
      </c>
      <c r="C365" s="21">
        <v>6.24</v>
      </c>
      <c r="D365" s="173">
        <f>IF(B365="","",IFERROR(VLOOKUP(B365,'ITEM LIST'!B:M,12,0)*C365,0))</f>
        <v>4.2432000000000007</v>
      </c>
      <c r="E365" s="1">
        <f t="shared" si="12"/>
        <v>131.60544000000004</v>
      </c>
      <c r="F365" s="20"/>
      <c r="G365" s="1"/>
      <c r="H365" s="1"/>
      <c r="I365" s="1"/>
      <c r="J365" s="1"/>
      <c r="K365" s="1"/>
      <c r="L365" s="1"/>
      <c r="M365" s="1"/>
      <c r="N365" s="1"/>
      <c r="O365" s="1"/>
      <c r="P365" s="1"/>
      <c r="Q365" s="1"/>
      <c r="R365" s="1"/>
      <c r="S365" s="1"/>
      <c r="T365" s="1"/>
      <c r="U365" s="1"/>
      <c r="V365" s="1"/>
      <c r="W365" s="1"/>
      <c r="X365" s="1"/>
      <c r="Y365" s="1"/>
      <c r="Z365" s="1"/>
    </row>
    <row r="366" spans="1:26" ht="12.75">
      <c r="A366" s="1" t="s">
        <v>74</v>
      </c>
      <c r="B366" s="1" t="s">
        <v>12</v>
      </c>
      <c r="C366" s="21">
        <v>3.84</v>
      </c>
      <c r="D366" s="173">
        <f>IF(B366="","",IFERROR(VLOOKUP(B366,'ITEM LIST'!B:M,12,0)*C366,0))</f>
        <v>0.37247999999999998</v>
      </c>
      <c r="E366" s="1">
        <f t="shared" si="12"/>
        <v>131.60544000000004</v>
      </c>
      <c r="F366" s="20"/>
      <c r="G366" s="1"/>
      <c r="H366" s="1"/>
      <c r="I366" s="1"/>
      <c r="J366" s="1"/>
      <c r="K366" s="1"/>
      <c r="L366" s="1"/>
      <c r="M366" s="1"/>
      <c r="N366" s="1"/>
      <c r="O366" s="1"/>
      <c r="P366" s="1"/>
      <c r="Q366" s="1"/>
      <c r="R366" s="1"/>
      <c r="S366" s="1"/>
      <c r="T366" s="1"/>
      <c r="U366" s="1"/>
      <c r="V366" s="1"/>
      <c r="W366" s="1"/>
      <c r="X366" s="1"/>
      <c r="Y366" s="1"/>
      <c r="Z366" s="1"/>
    </row>
    <row r="367" spans="1:26" ht="12.75">
      <c r="A367" s="1" t="s">
        <v>74</v>
      </c>
      <c r="B367" s="1" t="s">
        <v>24</v>
      </c>
      <c r="C367" s="21">
        <v>72</v>
      </c>
      <c r="D367" s="173">
        <f>IF(B367="","",IFERROR(VLOOKUP(B367,'ITEM LIST'!B:M,12,0)*C367,0))</f>
        <v>5.0400000000000009</v>
      </c>
      <c r="E367" s="1">
        <f t="shared" si="12"/>
        <v>131.60544000000004</v>
      </c>
      <c r="F367" s="20"/>
      <c r="G367" s="1"/>
      <c r="H367" s="1"/>
      <c r="I367" s="1"/>
      <c r="J367" s="1"/>
      <c r="K367" s="1"/>
      <c r="L367" s="1"/>
      <c r="M367" s="1"/>
      <c r="N367" s="1"/>
      <c r="O367" s="1"/>
      <c r="P367" s="1"/>
      <c r="Q367" s="1"/>
      <c r="R367" s="1"/>
      <c r="S367" s="1"/>
      <c r="T367" s="1"/>
      <c r="U367" s="1"/>
      <c r="V367" s="1"/>
      <c r="W367" s="1"/>
      <c r="X367" s="1"/>
      <c r="Y367" s="1"/>
      <c r="Z367" s="1"/>
    </row>
    <row r="368" spans="1:26" ht="12.75">
      <c r="A368" s="1" t="s">
        <v>74</v>
      </c>
      <c r="B368" s="1" t="s">
        <v>670</v>
      </c>
      <c r="C368" s="21">
        <v>96</v>
      </c>
      <c r="D368" s="173">
        <f>IF(B368="","",IFERROR(VLOOKUP(B368,'ITEM LIST'!B:M,12,0)*C368,0))</f>
        <v>11.52</v>
      </c>
      <c r="E368" s="1">
        <f t="shared" si="12"/>
        <v>131.60544000000004</v>
      </c>
      <c r="F368" s="20"/>
      <c r="G368" s="1"/>
      <c r="H368" s="1"/>
      <c r="I368" s="1"/>
      <c r="J368" s="1"/>
      <c r="K368" s="1"/>
      <c r="L368" s="1"/>
      <c r="M368" s="1"/>
      <c r="N368" s="1"/>
      <c r="O368" s="1"/>
      <c r="P368" s="1"/>
      <c r="Q368" s="1"/>
      <c r="R368" s="1"/>
      <c r="S368" s="1"/>
      <c r="T368" s="1"/>
      <c r="U368" s="1"/>
      <c r="V368" s="1"/>
      <c r="W368" s="1"/>
      <c r="X368" s="1"/>
      <c r="Y368" s="1"/>
      <c r="Z368" s="1"/>
    </row>
    <row r="369" spans="1:26" ht="12.75">
      <c r="A369" s="1" t="s">
        <v>74</v>
      </c>
      <c r="B369" s="1" t="s">
        <v>2</v>
      </c>
      <c r="C369" s="21">
        <v>0.48</v>
      </c>
      <c r="D369" s="173">
        <f>IF(B369="","",IFERROR(VLOOKUP(B369,'ITEM LIST'!B:M,12,0)*C369,0))</f>
        <v>0.23039999999999999</v>
      </c>
      <c r="E369" s="1">
        <f t="shared" si="12"/>
        <v>131.60544000000004</v>
      </c>
      <c r="F369" s="20"/>
      <c r="G369" s="1"/>
      <c r="H369" s="1"/>
      <c r="I369" s="1"/>
      <c r="J369" s="1"/>
      <c r="K369" s="1"/>
      <c r="L369" s="1"/>
      <c r="M369" s="1"/>
      <c r="N369" s="1"/>
      <c r="O369" s="1"/>
      <c r="P369" s="1"/>
      <c r="Q369" s="1"/>
      <c r="R369" s="1"/>
      <c r="S369" s="1"/>
      <c r="T369" s="1"/>
      <c r="U369" s="1"/>
      <c r="V369" s="1"/>
      <c r="W369" s="1"/>
      <c r="X369" s="1"/>
      <c r="Y369" s="1"/>
      <c r="Z369" s="1"/>
    </row>
    <row r="370" spans="1:26" ht="12.75">
      <c r="A370" s="1" t="s">
        <v>74</v>
      </c>
      <c r="B370" s="1" t="s">
        <v>427</v>
      </c>
      <c r="C370" s="21">
        <v>192</v>
      </c>
      <c r="D370" s="173">
        <f>IF(B370="","",IFERROR(VLOOKUP(B370,'ITEM LIST'!B:M,12,0)*C370,0))</f>
        <v>9.2160000000000011</v>
      </c>
      <c r="E370" s="1">
        <f t="shared" si="12"/>
        <v>131.60544000000004</v>
      </c>
      <c r="F370" s="20"/>
      <c r="G370" s="1"/>
      <c r="H370" s="1"/>
      <c r="I370" s="1"/>
      <c r="J370" s="1"/>
      <c r="K370" s="1"/>
      <c r="L370" s="1"/>
      <c r="M370" s="1"/>
      <c r="N370" s="1"/>
      <c r="O370" s="1"/>
      <c r="P370" s="1"/>
      <c r="Q370" s="1"/>
      <c r="R370" s="1"/>
      <c r="S370" s="1"/>
      <c r="T370" s="1"/>
      <c r="U370" s="1"/>
      <c r="V370" s="1"/>
      <c r="W370" s="1"/>
      <c r="X370" s="1"/>
      <c r="Y370" s="1"/>
      <c r="Z370" s="1"/>
    </row>
    <row r="371" spans="1:26" ht="12.75">
      <c r="A371" s="1" t="s">
        <v>74</v>
      </c>
      <c r="B371" s="1" t="s">
        <v>27</v>
      </c>
      <c r="C371" s="21">
        <v>12</v>
      </c>
      <c r="D371" s="173">
        <f>IF(B371="","",IFERROR(VLOOKUP(B371,'ITEM LIST'!B:M,12,0)*C371,0))</f>
        <v>0.96</v>
      </c>
      <c r="E371" s="1">
        <f t="shared" si="12"/>
        <v>131.60544000000004</v>
      </c>
      <c r="F371" s="20"/>
      <c r="G371" s="1"/>
      <c r="H371" s="1"/>
      <c r="I371" s="1"/>
      <c r="J371" s="1"/>
      <c r="K371" s="1"/>
      <c r="L371" s="1"/>
      <c r="M371" s="1"/>
      <c r="N371" s="1"/>
      <c r="O371" s="1"/>
      <c r="P371" s="1"/>
      <c r="Q371" s="1"/>
      <c r="R371" s="1"/>
      <c r="S371" s="1"/>
      <c r="T371" s="1"/>
      <c r="U371" s="1"/>
      <c r="V371" s="1"/>
      <c r="W371" s="1"/>
      <c r="X371" s="1"/>
      <c r="Y371" s="1"/>
      <c r="Z371" s="1"/>
    </row>
    <row r="372" spans="1:26" ht="12.75">
      <c r="A372" s="1" t="s">
        <v>74</v>
      </c>
      <c r="B372" s="1" t="s">
        <v>25</v>
      </c>
      <c r="C372" s="21">
        <v>7.1999999999999993</v>
      </c>
      <c r="D372" s="173">
        <f>IF(B372="","",IFERROR(VLOOKUP(B372,'ITEM LIST'!B:M,12,0)*C372,0))</f>
        <v>0.20159999999999997</v>
      </c>
      <c r="E372" s="1">
        <f t="shared" si="12"/>
        <v>131.60544000000004</v>
      </c>
      <c r="F372" s="20"/>
      <c r="G372" s="1"/>
      <c r="H372" s="1"/>
      <c r="I372" s="1"/>
      <c r="J372" s="1"/>
      <c r="K372" s="1"/>
      <c r="L372" s="1"/>
      <c r="M372" s="1"/>
      <c r="N372" s="1"/>
      <c r="O372" s="1"/>
      <c r="P372" s="1"/>
      <c r="Q372" s="1"/>
      <c r="R372" s="1"/>
      <c r="S372" s="1"/>
      <c r="T372" s="1"/>
      <c r="U372" s="1"/>
      <c r="V372" s="1"/>
      <c r="W372" s="1"/>
      <c r="X372" s="1"/>
      <c r="Y372" s="1"/>
      <c r="Z372" s="1"/>
    </row>
    <row r="373" spans="1:26" ht="12.75">
      <c r="A373" s="1" t="s">
        <v>74</v>
      </c>
      <c r="B373" s="1" t="s">
        <v>19</v>
      </c>
      <c r="C373" s="21">
        <v>16.8</v>
      </c>
      <c r="D373" s="173">
        <f>IF(B373="","",IFERROR(VLOOKUP(B373,'ITEM LIST'!B:M,12,0)*C373,0))</f>
        <v>0.26880000000000004</v>
      </c>
      <c r="E373" s="1">
        <f t="shared" si="12"/>
        <v>131.60544000000004</v>
      </c>
      <c r="F373" s="20"/>
      <c r="G373" s="1"/>
      <c r="H373" s="1"/>
      <c r="I373" s="1"/>
      <c r="J373" s="1"/>
      <c r="K373" s="1"/>
      <c r="L373" s="1"/>
      <c r="M373" s="1"/>
      <c r="N373" s="1"/>
      <c r="O373" s="1"/>
      <c r="P373" s="1"/>
      <c r="Q373" s="1"/>
      <c r="R373" s="1"/>
      <c r="S373" s="1"/>
      <c r="T373" s="1"/>
      <c r="U373" s="1"/>
      <c r="V373" s="1"/>
      <c r="W373" s="1"/>
      <c r="X373" s="1"/>
      <c r="Y373" s="1"/>
      <c r="Z373" s="1"/>
    </row>
    <row r="374" spans="1:26" ht="12.75">
      <c r="A374" s="1" t="s">
        <v>74</v>
      </c>
      <c r="B374" s="1" t="s">
        <v>26</v>
      </c>
      <c r="C374" s="21">
        <v>15</v>
      </c>
      <c r="D374" s="173">
        <f>IF(B374="","",IFERROR(VLOOKUP(B374,'ITEM LIST'!B:M,12,0)*C374,0))</f>
        <v>1.7550000000000001</v>
      </c>
      <c r="E374" s="1">
        <f t="shared" ref="E374:E405" si="13">IF(A374="","", SUMIFS(D:D,A:A,A374))</f>
        <v>131.60544000000004</v>
      </c>
      <c r="F374" s="20"/>
      <c r="G374" s="1"/>
      <c r="H374" s="1"/>
      <c r="I374" s="1"/>
      <c r="J374" s="1"/>
      <c r="K374" s="1"/>
      <c r="L374" s="1"/>
      <c r="M374" s="1"/>
      <c r="N374" s="1"/>
      <c r="O374" s="1"/>
      <c r="P374" s="1"/>
      <c r="Q374" s="1"/>
      <c r="R374" s="1"/>
      <c r="S374" s="1"/>
      <c r="T374" s="1"/>
      <c r="U374" s="1"/>
      <c r="V374" s="1"/>
      <c r="W374" s="1"/>
      <c r="X374" s="1"/>
      <c r="Y374" s="1"/>
      <c r="Z374" s="1"/>
    </row>
    <row r="375" spans="1:26" ht="12.75">
      <c r="A375" s="1"/>
      <c r="B375" s="1" t="s">
        <v>371</v>
      </c>
      <c r="C375" s="21"/>
      <c r="D375" s="173" t="str">
        <f>IF(B375="","",IFERROR(VLOOKUP(B375,'ITEM LIST'!B:M,12,0)*C375,0))</f>
        <v/>
      </c>
      <c r="E375" s="1" t="str">
        <f t="shared" si="13"/>
        <v/>
      </c>
      <c r="F375" s="20"/>
      <c r="G375" s="1"/>
      <c r="H375" s="1"/>
      <c r="I375" s="1"/>
      <c r="J375" s="1"/>
      <c r="K375" s="1"/>
      <c r="L375" s="1"/>
      <c r="M375" s="1"/>
      <c r="N375" s="1"/>
      <c r="O375" s="1"/>
      <c r="P375" s="1"/>
      <c r="Q375" s="1"/>
      <c r="R375" s="1"/>
      <c r="S375" s="1"/>
      <c r="T375" s="1"/>
      <c r="U375" s="1"/>
      <c r="V375" s="1"/>
      <c r="W375" s="1"/>
      <c r="X375" s="1"/>
      <c r="Y375" s="1"/>
      <c r="Z375" s="1"/>
    </row>
    <row r="376" spans="1:26" ht="12.75">
      <c r="A376" s="1" t="s">
        <v>76</v>
      </c>
      <c r="B376" s="1" t="s">
        <v>4</v>
      </c>
      <c r="C376" s="21">
        <v>133.25</v>
      </c>
      <c r="D376" s="173">
        <f>IF(B376="","",IFERROR(VLOOKUP(B376,'ITEM LIST'!B:M,12,0)*C376,0))</f>
        <v>28.382249999999999</v>
      </c>
      <c r="E376" s="1">
        <f t="shared" si="13"/>
        <v>207.01023000000004</v>
      </c>
      <c r="F376" s="20"/>
      <c r="G376" s="1"/>
      <c r="H376" s="1"/>
      <c r="I376" s="1"/>
      <c r="J376" s="1"/>
      <c r="K376" s="1"/>
      <c r="L376" s="1"/>
      <c r="M376" s="1"/>
      <c r="N376" s="1"/>
      <c r="O376" s="1"/>
      <c r="P376" s="1"/>
      <c r="Q376" s="1"/>
      <c r="R376" s="1"/>
      <c r="S376" s="1"/>
      <c r="T376" s="1"/>
      <c r="U376" s="1"/>
      <c r="V376" s="1"/>
      <c r="W376" s="1"/>
      <c r="X376" s="1"/>
      <c r="Y376" s="1"/>
      <c r="Z376" s="1"/>
    </row>
    <row r="377" spans="1:26" ht="12.75">
      <c r="A377" s="1" t="s">
        <v>76</v>
      </c>
      <c r="B377" s="1" t="s">
        <v>17</v>
      </c>
      <c r="C377" s="21">
        <v>512.5</v>
      </c>
      <c r="D377" s="173">
        <f>IF(B377="","",IFERROR(VLOOKUP(B377,'ITEM LIST'!B:M,12,0)*C377,0))</f>
        <v>138.375</v>
      </c>
      <c r="E377" s="1">
        <f t="shared" si="13"/>
        <v>207.01023000000004</v>
      </c>
      <c r="F377" s="20"/>
      <c r="G377" s="1"/>
      <c r="H377" s="1"/>
      <c r="I377" s="1"/>
      <c r="J377" s="1"/>
      <c r="K377" s="1"/>
      <c r="L377" s="1"/>
      <c r="M377" s="1"/>
      <c r="N377" s="1"/>
      <c r="O377" s="1"/>
      <c r="P377" s="1"/>
      <c r="Q377" s="1"/>
      <c r="R377" s="1"/>
      <c r="S377" s="1"/>
      <c r="T377" s="1"/>
      <c r="U377" s="1"/>
      <c r="V377" s="1"/>
      <c r="W377" s="1"/>
      <c r="X377" s="1"/>
      <c r="Y377" s="1"/>
      <c r="Z377" s="1"/>
    </row>
    <row r="378" spans="1:26" ht="12.75">
      <c r="A378" s="1" t="s">
        <v>76</v>
      </c>
      <c r="B378" s="1" t="s">
        <v>20</v>
      </c>
      <c r="C378" s="21">
        <v>41</v>
      </c>
      <c r="D378" s="173">
        <f>IF(B378="","",IFERROR(VLOOKUP(B378,'ITEM LIST'!B:M,12,0)*C378,0))</f>
        <v>0.77900000000000003</v>
      </c>
      <c r="E378" s="1">
        <f t="shared" si="13"/>
        <v>207.01023000000004</v>
      </c>
      <c r="F378" s="20"/>
      <c r="G378" s="1"/>
      <c r="H378" s="1"/>
      <c r="I378" s="1"/>
      <c r="J378" s="1"/>
      <c r="K378" s="1"/>
      <c r="L378" s="1"/>
      <c r="M378" s="1"/>
      <c r="N378" s="1"/>
      <c r="O378" s="1"/>
      <c r="P378" s="1"/>
      <c r="Q378" s="1"/>
      <c r="R378" s="1"/>
      <c r="S378" s="1"/>
      <c r="T378" s="1"/>
      <c r="U378" s="1"/>
      <c r="V378" s="1"/>
      <c r="W378" s="1"/>
      <c r="X378" s="1"/>
      <c r="Y378" s="1"/>
      <c r="Z378" s="1"/>
    </row>
    <row r="379" spans="1:26" ht="12.75">
      <c r="A379" s="1" t="s">
        <v>76</v>
      </c>
      <c r="B379" s="1" t="s">
        <v>338</v>
      </c>
      <c r="C379" s="21">
        <v>7.8924999999999992</v>
      </c>
      <c r="D379" s="173">
        <f>IF(B379="","",IFERROR(VLOOKUP(B379,'ITEM LIST'!B:M,12,0)*C379,0))</f>
        <v>0.62350749999999999</v>
      </c>
      <c r="E379" s="1">
        <f t="shared" si="13"/>
        <v>207.01023000000004</v>
      </c>
      <c r="F379" s="20"/>
      <c r="G379" s="1"/>
      <c r="H379" s="1"/>
      <c r="I379" s="1"/>
      <c r="J379" s="1"/>
      <c r="K379" s="1"/>
      <c r="L379" s="1"/>
      <c r="M379" s="1"/>
      <c r="N379" s="1"/>
      <c r="O379" s="1"/>
      <c r="P379" s="1"/>
      <c r="Q379" s="1"/>
      <c r="R379" s="1"/>
      <c r="S379" s="1"/>
      <c r="T379" s="1"/>
      <c r="U379" s="1"/>
      <c r="V379" s="1"/>
      <c r="W379" s="1"/>
      <c r="X379" s="1"/>
      <c r="Y379" s="1"/>
      <c r="Z379" s="1"/>
    </row>
    <row r="380" spans="1:26" ht="12.75">
      <c r="A380" s="1" t="s">
        <v>76</v>
      </c>
      <c r="B380" s="1" t="s">
        <v>332</v>
      </c>
      <c r="C380" s="21">
        <v>5.5350000000000001</v>
      </c>
      <c r="D380" s="173">
        <f>IF(B380="","",IFERROR(VLOOKUP(B380,'ITEM LIST'!B:M,12,0)*C380,0))</f>
        <v>1.9372499999999999</v>
      </c>
      <c r="E380" s="1">
        <f t="shared" si="13"/>
        <v>207.01023000000004</v>
      </c>
      <c r="F380" s="20"/>
      <c r="G380" s="1"/>
      <c r="H380" s="1"/>
      <c r="I380" s="1"/>
      <c r="J380" s="1"/>
      <c r="K380" s="1"/>
      <c r="L380" s="1"/>
      <c r="M380" s="1"/>
      <c r="N380" s="1"/>
      <c r="O380" s="1"/>
      <c r="P380" s="1"/>
      <c r="Q380" s="1"/>
      <c r="R380" s="1"/>
      <c r="S380" s="1"/>
      <c r="T380" s="1"/>
      <c r="U380" s="1"/>
      <c r="V380" s="1"/>
      <c r="W380" s="1"/>
      <c r="X380" s="1"/>
      <c r="Y380" s="1"/>
      <c r="Z380" s="1"/>
    </row>
    <row r="381" spans="1:26" ht="12.75">
      <c r="A381" s="1" t="s">
        <v>76</v>
      </c>
      <c r="B381" s="1" t="s">
        <v>335</v>
      </c>
      <c r="C381" s="21">
        <v>6.56</v>
      </c>
      <c r="D381" s="173">
        <f>IF(B381="","",IFERROR(VLOOKUP(B381,'ITEM LIST'!B:M,12,0)*C381,0))</f>
        <v>1.9679999999999997</v>
      </c>
      <c r="E381" s="1">
        <f t="shared" si="13"/>
        <v>207.01023000000004</v>
      </c>
      <c r="F381" s="20"/>
      <c r="G381" s="1"/>
      <c r="H381" s="1"/>
      <c r="I381" s="1"/>
      <c r="J381" s="1"/>
      <c r="K381" s="1"/>
      <c r="L381" s="1"/>
      <c r="M381" s="1"/>
      <c r="N381" s="1"/>
      <c r="O381" s="1"/>
      <c r="P381" s="1"/>
      <c r="Q381" s="1"/>
      <c r="R381" s="1"/>
      <c r="S381" s="1"/>
      <c r="T381" s="1"/>
      <c r="U381" s="1"/>
      <c r="V381" s="1"/>
      <c r="W381" s="1"/>
      <c r="X381" s="1"/>
      <c r="Y381" s="1"/>
      <c r="Z381" s="1"/>
    </row>
    <row r="382" spans="1:26" ht="12.75">
      <c r="A382" s="1" t="s">
        <v>76</v>
      </c>
      <c r="B382" s="1" t="s">
        <v>547</v>
      </c>
      <c r="C382" s="21">
        <v>7.585</v>
      </c>
      <c r="D382" s="173">
        <f>IF(B382="","",IFERROR(VLOOKUP(B382,'ITEM LIST'!B:M,12,0)*C382,0))</f>
        <v>6.0680000000000005</v>
      </c>
      <c r="E382" s="1">
        <f t="shared" si="13"/>
        <v>207.01023000000004</v>
      </c>
      <c r="F382" s="20"/>
      <c r="G382" s="1"/>
      <c r="H382" s="1"/>
      <c r="I382" s="1"/>
      <c r="J382" s="1"/>
      <c r="K382" s="1"/>
      <c r="L382" s="1"/>
      <c r="M382" s="1"/>
      <c r="N382" s="1"/>
      <c r="O382" s="1"/>
      <c r="P382" s="1"/>
      <c r="Q382" s="1"/>
      <c r="R382" s="1"/>
      <c r="S382" s="1"/>
      <c r="T382" s="1"/>
      <c r="U382" s="1"/>
      <c r="V382" s="1"/>
      <c r="W382" s="1"/>
      <c r="X382" s="1"/>
      <c r="Y382" s="1"/>
      <c r="Z382" s="1"/>
    </row>
    <row r="383" spans="1:26" ht="12.75">
      <c r="A383" s="1" t="s">
        <v>76</v>
      </c>
      <c r="B383" s="1" t="s">
        <v>9</v>
      </c>
      <c r="C383" s="21">
        <v>5.0225</v>
      </c>
      <c r="D383" s="173">
        <f>IF(B383="","",IFERROR(VLOOKUP(B383,'ITEM LIST'!B:M,12,0)*C383,0))</f>
        <v>0</v>
      </c>
      <c r="E383" s="1">
        <f t="shared" si="13"/>
        <v>207.01023000000004</v>
      </c>
      <c r="F383" s="20"/>
      <c r="G383" s="1"/>
      <c r="H383" s="1"/>
      <c r="I383" s="1"/>
      <c r="J383" s="1"/>
      <c r="K383" s="1"/>
      <c r="L383" s="1"/>
      <c r="M383" s="1"/>
      <c r="N383" s="1"/>
      <c r="O383" s="1"/>
      <c r="P383" s="1"/>
      <c r="Q383" s="1"/>
      <c r="R383" s="1"/>
      <c r="S383" s="1"/>
      <c r="T383" s="1"/>
      <c r="U383" s="1"/>
      <c r="V383" s="1"/>
      <c r="W383" s="1"/>
      <c r="X383" s="1"/>
      <c r="Y383" s="1"/>
      <c r="Z383" s="1"/>
    </row>
    <row r="384" spans="1:26" ht="12.75">
      <c r="A384" s="1" t="s">
        <v>76</v>
      </c>
      <c r="B384" s="1" t="s">
        <v>347</v>
      </c>
      <c r="C384" s="21">
        <v>5.33</v>
      </c>
      <c r="D384" s="173">
        <f>IF(B384="","",IFERROR(VLOOKUP(B384,'ITEM LIST'!B:M,12,0)*C384,0))</f>
        <v>3.6244000000000005</v>
      </c>
      <c r="E384" s="1">
        <f t="shared" si="13"/>
        <v>207.01023000000004</v>
      </c>
      <c r="F384" s="20"/>
      <c r="G384" s="1"/>
      <c r="H384" s="1"/>
      <c r="I384" s="1"/>
      <c r="J384" s="1"/>
      <c r="K384" s="1"/>
      <c r="L384" s="1"/>
      <c r="M384" s="1"/>
      <c r="N384" s="1"/>
      <c r="O384" s="1"/>
      <c r="P384" s="1"/>
      <c r="Q384" s="1"/>
      <c r="R384" s="1"/>
      <c r="S384" s="1"/>
      <c r="T384" s="1"/>
      <c r="U384" s="1"/>
      <c r="V384" s="1"/>
      <c r="W384" s="1"/>
      <c r="X384" s="1"/>
      <c r="Y384" s="1"/>
      <c r="Z384" s="1"/>
    </row>
    <row r="385" spans="1:26" ht="12.75">
      <c r="A385" s="1" t="s">
        <v>76</v>
      </c>
      <c r="B385" s="1" t="s">
        <v>12</v>
      </c>
      <c r="C385" s="21">
        <v>3.28</v>
      </c>
      <c r="D385" s="173">
        <f>IF(B385="","",IFERROR(VLOOKUP(B385,'ITEM LIST'!B:M,12,0)*C385,0))</f>
        <v>0.31816</v>
      </c>
      <c r="E385" s="1">
        <f t="shared" si="13"/>
        <v>207.01023000000004</v>
      </c>
      <c r="F385" s="20"/>
      <c r="G385" s="1"/>
      <c r="H385" s="1"/>
      <c r="I385" s="1"/>
      <c r="J385" s="1"/>
      <c r="K385" s="1"/>
      <c r="L385" s="1"/>
      <c r="M385" s="1"/>
      <c r="N385" s="1"/>
      <c r="O385" s="1"/>
      <c r="P385" s="1"/>
      <c r="Q385" s="1"/>
      <c r="R385" s="1"/>
      <c r="S385" s="1"/>
      <c r="T385" s="1"/>
      <c r="U385" s="1"/>
      <c r="V385" s="1"/>
      <c r="W385" s="1"/>
      <c r="X385" s="1"/>
      <c r="Y385" s="1"/>
      <c r="Z385" s="1"/>
    </row>
    <row r="386" spans="1:26" ht="12.75">
      <c r="A386" s="1" t="s">
        <v>76</v>
      </c>
      <c r="B386" s="1" t="s">
        <v>24</v>
      </c>
      <c r="C386" s="21">
        <v>61.499999999999993</v>
      </c>
      <c r="D386" s="173">
        <f>IF(B386="","",IFERROR(VLOOKUP(B386,'ITEM LIST'!B:M,12,0)*C386,0))</f>
        <v>4.3049999999999997</v>
      </c>
      <c r="E386" s="1">
        <f t="shared" si="13"/>
        <v>207.01023000000004</v>
      </c>
      <c r="F386" s="20"/>
      <c r="G386" s="1"/>
      <c r="H386" s="1"/>
      <c r="I386" s="1"/>
      <c r="J386" s="1"/>
      <c r="K386" s="1"/>
      <c r="L386" s="1"/>
      <c r="M386" s="1"/>
      <c r="N386" s="1"/>
      <c r="O386" s="1"/>
      <c r="P386" s="1"/>
      <c r="Q386" s="1"/>
      <c r="R386" s="1"/>
      <c r="S386" s="1"/>
      <c r="T386" s="1"/>
      <c r="U386" s="1"/>
      <c r="V386" s="1"/>
      <c r="W386" s="1"/>
      <c r="X386" s="1"/>
      <c r="Y386" s="1"/>
      <c r="Z386" s="1"/>
    </row>
    <row r="387" spans="1:26" ht="12.75">
      <c r="A387" s="1" t="s">
        <v>76</v>
      </c>
      <c r="B387" s="1" t="s">
        <v>670</v>
      </c>
      <c r="C387" s="21">
        <v>82</v>
      </c>
      <c r="D387" s="173">
        <f>IF(B387="","",IFERROR(VLOOKUP(B387,'ITEM LIST'!B:M,12,0)*C387,0))</f>
        <v>9.84</v>
      </c>
      <c r="E387" s="1">
        <f t="shared" si="13"/>
        <v>207.01023000000004</v>
      </c>
      <c r="F387" s="20"/>
      <c r="G387" s="1"/>
      <c r="H387" s="1"/>
      <c r="I387" s="1"/>
      <c r="J387" s="1"/>
      <c r="K387" s="1"/>
      <c r="L387" s="1"/>
      <c r="M387" s="1"/>
      <c r="N387" s="1"/>
      <c r="O387" s="1"/>
      <c r="P387" s="1"/>
      <c r="Q387" s="1"/>
      <c r="R387" s="1"/>
      <c r="S387" s="1"/>
      <c r="T387" s="1"/>
      <c r="U387" s="1"/>
      <c r="V387" s="1"/>
      <c r="W387" s="1"/>
      <c r="X387" s="1"/>
      <c r="Y387" s="1"/>
      <c r="Z387" s="1"/>
    </row>
    <row r="388" spans="1:26" ht="12.75">
      <c r="A388" s="1" t="s">
        <v>76</v>
      </c>
      <c r="B388" s="1" t="s">
        <v>2</v>
      </c>
      <c r="C388" s="21">
        <v>0.41</v>
      </c>
      <c r="D388" s="173">
        <f>IF(B388="","",IFERROR(VLOOKUP(B388,'ITEM LIST'!B:M,12,0)*C388,0))</f>
        <v>0.19679999999999997</v>
      </c>
      <c r="E388" s="1">
        <f t="shared" si="13"/>
        <v>207.01023000000004</v>
      </c>
      <c r="F388" s="20"/>
      <c r="G388" s="1"/>
      <c r="H388" s="1"/>
      <c r="I388" s="1"/>
      <c r="J388" s="1"/>
      <c r="K388" s="1"/>
      <c r="L388" s="1"/>
      <c r="M388" s="1"/>
      <c r="N388" s="1"/>
      <c r="O388" s="1"/>
      <c r="P388" s="1"/>
      <c r="Q388" s="1"/>
      <c r="R388" s="1"/>
      <c r="S388" s="1"/>
      <c r="T388" s="1"/>
      <c r="U388" s="1"/>
      <c r="V388" s="1"/>
      <c r="W388" s="1"/>
      <c r="X388" s="1"/>
      <c r="Y388" s="1"/>
      <c r="Z388" s="1"/>
    </row>
    <row r="389" spans="1:26" ht="12.75">
      <c r="A389" s="1" t="s">
        <v>76</v>
      </c>
      <c r="B389" s="1" t="s">
        <v>427</v>
      </c>
      <c r="C389" s="21">
        <v>164</v>
      </c>
      <c r="D389" s="173">
        <f>IF(B389="","",IFERROR(VLOOKUP(B389,'ITEM LIST'!B:M,12,0)*C389,0))</f>
        <v>7.8719999999999999</v>
      </c>
      <c r="E389" s="1">
        <f t="shared" si="13"/>
        <v>207.01023000000004</v>
      </c>
      <c r="F389" s="20"/>
      <c r="G389" s="1"/>
      <c r="H389" s="1"/>
      <c r="I389" s="1"/>
      <c r="J389" s="1"/>
      <c r="K389" s="1"/>
      <c r="L389" s="1"/>
      <c r="M389" s="1"/>
      <c r="N389" s="1"/>
      <c r="O389" s="1"/>
      <c r="P389" s="1"/>
      <c r="Q389" s="1"/>
      <c r="R389" s="1"/>
      <c r="S389" s="1"/>
      <c r="T389" s="1"/>
      <c r="U389" s="1"/>
      <c r="V389" s="1"/>
      <c r="W389" s="1"/>
      <c r="X389" s="1"/>
      <c r="Y389" s="1"/>
      <c r="Z389" s="1"/>
    </row>
    <row r="390" spans="1:26" ht="12.75">
      <c r="A390" s="1" t="s">
        <v>76</v>
      </c>
      <c r="B390" s="1" t="s">
        <v>27</v>
      </c>
      <c r="C390" s="21">
        <v>10.25</v>
      </c>
      <c r="D390" s="173">
        <f>IF(B390="","",IFERROR(VLOOKUP(B390,'ITEM LIST'!B:M,12,0)*C390,0))</f>
        <v>0.82000000000000006</v>
      </c>
      <c r="E390" s="1">
        <f t="shared" si="13"/>
        <v>207.01023000000004</v>
      </c>
      <c r="F390" s="20"/>
      <c r="G390" s="1"/>
      <c r="H390" s="1"/>
      <c r="I390" s="1"/>
      <c r="J390" s="1"/>
      <c r="K390" s="1"/>
      <c r="L390" s="1"/>
      <c r="M390" s="1"/>
      <c r="N390" s="1"/>
      <c r="O390" s="1"/>
      <c r="P390" s="1"/>
      <c r="Q390" s="1"/>
      <c r="R390" s="1"/>
      <c r="S390" s="1"/>
      <c r="T390" s="1"/>
      <c r="U390" s="1"/>
      <c r="V390" s="1"/>
      <c r="W390" s="1"/>
      <c r="X390" s="1"/>
      <c r="Y390" s="1"/>
      <c r="Z390" s="1"/>
    </row>
    <row r="391" spans="1:26" ht="12.75">
      <c r="A391" s="1" t="s">
        <v>76</v>
      </c>
      <c r="B391" s="1" t="s">
        <v>25</v>
      </c>
      <c r="C391" s="21">
        <v>6.1499999999999995</v>
      </c>
      <c r="D391" s="173">
        <f>IF(B391="","",IFERROR(VLOOKUP(B391,'ITEM LIST'!B:M,12,0)*C391,0))</f>
        <v>0.17219999999999999</v>
      </c>
      <c r="E391" s="1">
        <f t="shared" si="13"/>
        <v>207.01023000000004</v>
      </c>
      <c r="F391" s="20"/>
      <c r="G391" s="1"/>
      <c r="H391" s="1"/>
      <c r="I391" s="1"/>
      <c r="J391" s="1"/>
      <c r="K391" s="1"/>
      <c r="L391" s="1"/>
      <c r="M391" s="1"/>
      <c r="N391" s="1"/>
      <c r="O391" s="1"/>
      <c r="P391" s="1"/>
      <c r="Q391" s="1"/>
      <c r="R391" s="1"/>
      <c r="S391" s="1"/>
      <c r="T391" s="1"/>
      <c r="U391" s="1"/>
      <c r="V391" s="1"/>
      <c r="W391" s="1"/>
      <c r="X391" s="1"/>
      <c r="Y391" s="1"/>
      <c r="Z391" s="1"/>
    </row>
    <row r="392" spans="1:26" ht="12.75">
      <c r="A392" s="1" t="s">
        <v>76</v>
      </c>
      <c r="B392" s="1" t="s">
        <v>19</v>
      </c>
      <c r="C392" s="21">
        <v>14.349999999999998</v>
      </c>
      <c r="D392" s="173">
        <f>IF(B392="","",IFERROR(VLOOKUP(B392,'ITEM LIST'!B:M,12,0)*C392,0))</f>
        <v>0.22959999999999997</v>
      </c>
      <c r="E392" s="1">
        <f t="shared" si="13"/>
        <v>207.01023000000004</v>
      </c>
      <c r="F392" s="20"/>
      <c r="G392" s="1"/>
      <c r="H392" s="1"/>
      <c r="I392" s="1"/>
      <c r="J392" s="1"/>
      <c r="K392" s="1"/>
      <c r="L392" s="1"/>
      <c r="M392" s="1"/>
      <c r="N392" s="1"/>
      <c r="O392" s="1"/>
      <c r="P392" s="1"/>
      <c r="Q392" s="1"/>
      <c r="R392" s="1"/>
      <c r="S392" s="1"/>
      <c r="T392" s="1"/>
      <c r="U392" s="1"/>
      <c r="V392" s="1"/>
      <c r="W392" s="1"/>
      <c r="X392" s="1"/>
      <c r="Y392" s="1"/>
      <c r="Z392" s="1"/>
    </row>
    <row r="393" spans="1:26" ht="12.75">
      <c r="A393" s="1" t="s">
        <v>76</v>
      </c>
      <c r="B393" s="1" t="s">
        <v>26</v>
      </c>
      <c r="C393" s="21">
        <v>12.812499999999998</v>
      </c>
      <c r="D393" s="173">
        <f>IF(B393="","",IFERROR(VLOOKUP(B393,'ITEM LIST'!B:M,12,0)*C393,0))</f>
        <v>1.4990625</v>
      </c>
      <c r="E393" s="1">
        <f t="shared" si="13"/>
        <v>207.01023000000004</v>
      </c>
      <c r="F393" s="20"/>
      <c r="G393" s="1"/>
      <c r="H393" s="1"/>
      <c r="I393" s="1"/>
      <c r="J393" s="1"/>
      <c r="K393" s="1"/>
      <c r="L393" s="1"/>
      <c r="M393" s="1"/>
      <c r="N393" s="1"/>
      <c r="O393" s="1"/>
      <c r="P393" s="1"/>
      <c r="Q393" s="1"/>
      <c r="R393" s="1"/>
      <c r="S393" s="1"/>
      <c r="T393" s="1"/>
      <c r="U393" s="1"/>
      <c r="V393" s="1"/>
      <c r="W393" s="1"/>
      <c r="X393" s="1"/>
      <c r="Y393" s="1"/>
      <c r="Z393" s="1"/>
    </row>
    <row r="394" spans="1:26" ht="12.75">
      <c r="A394" s="1"/>
      <c r="B394" s="1" t="s">
        <v>371</v>
      </c>
      <c r="C394" s="21"/>
      <c r="D394" s="173" t="str">
        <f>IF(B394="","",IFERROR(VLOOKUP(B394,'ITEM LIST'!B:M,12,0)*C394,0))</f>
        <v/>
      </c>
      <c r="E394" s="1" t="str">
        <f t="shared" si="13"/>
        <v/>
      </c>
      <c r="F394" s="20"/>
      <c r="G394" s="1"/>
      <c r="H394" s="1"/>
      <c r="I394" s="1"/>
      <c r="J394" s="1"/>
      <c r="K394" s="1"/>
      <c r="L394" s="1"/>
      <c r="M394" s="1"/>
      <c r="N394" s="1"/>
      <c r="O394" s="1"/>
      <c r="P394" s="1"/>
      <c r="Q394" s="1"/>
      <c r="R394" s="1"/>
      <c r="S394" s="1"/>
      <c r="T394" s="1"/>
      <c r="U394" s="1"/>
      <c r="V394" s="1"/>
      <c r="W394" s="1"/>
      <c r="X394" s="1"/>
      <c r="Y394" s="1"/>
      <c r="Z394" s="1"/>
    </row>
    <row r="395" spans="1:26" ht="12.75">
      <c r="A395" s="1" t="s">
        <v>115</v>
      </c>
      <c r="B395" s="1" t="s">
        <v>548</v>
      </c>
      <c r="C395" s="1">
        <v>460.8</v>
      </c>
      <c r="D395" s="1">
        <f>IF(B395="","",IFERROR(VLOOKUP(B395,'ITEM LIST'!B:M,12,0)*C395,0))</f>
        <v>16.755233109333339</v>
      </c>
      <c r="E395" s="1">
        <f t="shared" si="13"/>
        <v>181.1787688757567</v>
      </c>
      <c r="F395" s="20"/>
      <c r="G395" s="1"/>
      <c r="H395" s="1"/>
      <c r="I395" s="1"/>
      <c r="J395" s="1"/>
      <c r="K395" s="1"/>
      <c r="L395" s="1"/>
      <c r="M395" s="1"/>
      <c r="N395" s="1"/>
      <c r="O395" s="1"/>
      <c r="P395" s="1"/>
      <c r="Q395" s="1"/>
      <c r="R395" s="1"/>
      <c r="S395" s="1"/>
      <c r="T395" s="1"/>
      <c r="U395" s="1"/>
      <c r="V395" s="1"/>
      <c r="W395" s="1"/>
      <c r="X395" s="1"/>
      <c r="Y395" s="1"/>
      <c r="Z395" s="1"/>
    </row>
    <row r="396" spans="1:26" ht="12.75">
      <c r="A396" s="1" t="s">
        <v>115</v>
      </c>
      <c r="B396" s="1" t="s">
        <v>280</v>
      </c>
      <c r="C396" s="1">
        <v>189</v>
      </c>
      <c r="D396" s="1">
        <f>IF(B396="","",IFERROR(VLOOKUP(B396,'ITEM LIST'!B:M,12,0)*C396,0))</f>
        <v>31.702335766423356</v>
      </c>
      <c r="E396" s="1">
        <f t="shared" si="13"/>
        <v>181.1787688757567</v>
      </c>
      <c r="F396" s="20"/>
      <c r="G396" s="1"/>
      <c r="H396" s="1"/>
      <c r="I396" s="1"/>
      <c r="J396" s="1"/>
      <c r="K396" s="1"/>
      <c r="L396" s="1"/>
      <c r="M396" s="1"/>
      <c r="N396" s="1"/>
      <c r="O396" s="1"/>
      <c r="P396" s="1"/>
      <c r="Q396" s="1"/>
      <c r="R396" s="1"/>
      <c r="S396" s="1"/>
      <c r="T396" s="1"/>
      <c r="U396" s="1"/>
      <c r="V396" s="1"/>
      <c r="W396" s="1"/>
      <c r="X396" s="1"/>
      <c r="Y396" s="1"/>
      <c r="Z396" s="1"/>
    </row>
    <row r="397" spans="1:26" ht="12.75">
      <c r="A397" s="1" t="s">
        <v>115</v>
      </c>
      <c r="B397" s="1" t="s">
        <v>4</v>
      </c>
      <c r="C397" s="1">
        <v>126</v>
      </c>
      <c r="D397" s="1">
        <f>IF(B397="","",IFERROR(VLOOKUP(B397,'ITEM LIST'!B:M,12,0)*C397,0))</f>
        <v>26.838000000000001</v>
      </c>
      <c r="E397" s="1">
        <f t="shared" si="13"/>
        <v>181.1787688757567</v>
      </c>
      <c r="F397" s="20"/>
      <c r="G397" s="1"/>
      <c r="H397" s="1"/>
      <c r="I397" s="1"/>
      <c r="J397" s="1"/>
      <c r="K397" s="1"/>
      <c r="L397" s="1"/>
      <c r="M397" s="1"/>
      <c r="N397" s="1"/>
      <c r="O397" s="1"/>
      <c r="P397" s="1"/>
      <c r="Q397" s="1"/>
      <c r="R397" s="1"/>
      <c r="S397" s="1"/>
      <c r="T397" s="1"/>
      <c r="U397" s="1"/>
      <c r="V397" s="1"/>
      <c r="W397" s="1"/>
      <c r="X397" s="1"/>
      <c r="Y397" s="1"/>
      <c r="Z397" s="1"/>
    </row>
    <row r="398" spans="1:26" ht="12.75">
      <c r="A398" s="1" t="s">
        <v>115</v>
      </c>
      <c r="B398" s="1" t="s">
        <v>114</v>
      </c>
      <c r="C398" s="1">
        <v>27</v>
      </c>
      <c r="D398" s="1">
        <f>IF(B398="","",IFERROR(VLOOKUP(B398,'ITEM LIST'!B:M,12,0)*C398,0))</f>
        <v>0.75600000000000001</v>
      </c>
      <c r="E398" s="1">
        <f t="shared" si="13"/>
        <v>181.1787688757567</v>
      </c>
      <c r="F398" s="20"/>
      <c r="G398" s="1"/>
      <c r="H398" s="1"/>
      <c r="I398" s="1"/>
      <c r="J398" s="1"/>
      <c r="K398" s="1"/>
      <c r="L398" s="1"/>
      <c r="M398" s="1"/>
      <c r="N398" s="1"/>
      <c r="O398" s="1"/>
      <c r="P398" s="1"/>
      <c r="Q398" s="1"/>
      <c r="R398" s="1"/>
      <c r="S398" s="1"/>
      <c r="T398" s="1"/>
      <c r="U398" s="1"/>
      <c r="V398" s="1"/>
      <c r="W398" s="1"/>
      <c r="X398" s="1"/>
      <c r="Y398" s="1"/>
      <c r="Z398" s="1"/>
    </row>
    <row r="399" spans="1:26" ht="12.75">
      <c r="A399" s="1" t="s">
        <v>115</v>
      </c>
      <c r="B399" s="1" t="s">
        <v>12</v>
      </c>
      <c r="C399" s="1">
        <v>21.6</v>
      </c>
      <c r="D399" s="1">
        <f>IF(B399="","",IFERROR(VLOOKUP(B399,'ITEM LIST'!B:M,12,0)*C399,0))</f>
        <v>2.0952000000000002</v>
      </c>
      <c r="E399" s="1">
        <f t="shared" si="13"/>
        <v>181.1787688757567</v>
      </c>
      <c r="F399" s="20"/>
      <c r="G399" s="1"/>
      <c r="H399" s="1"/>
      <c r="I399" s="1"/>
      <c r="J399" s="1"/>
      <c r="K399" s="1"/>
      <c r="L399" s="1"/>
      <c r="M399" s="1"/>
      <c r="N399" s="1"/>
      <c r="O399" s="1"/>
      <c r="P399" s="1"/>
      <c r="Q399" s="1"/>
      <c r="R399" s="1"/>
      <c r="S399" s="1"/>
      <c r="T399" s="1"/>
      <c r="U399" s="1"/>
      <c r="V399" s="1"/>
      <c r="W399" s="1"/>
      <c r="X399" s="1"/>
      <c r="Y399" s="1"/>
      <c r="Z399" s="1"/>
    </row>
    <row r="400" spans="1:26" ht="12.75">
      <c r="A400" s="1" t="s">
        <v>115</v>
      </c>
      <c r="B400" s="1" t="s">
        <v>2</v>
      </c>
      <c r="C400" s="1">
        <v>3.6</v>
      </c>
      <c r="D400" s="1">
        <f>IF(B400="","",IFERROR(VLOOKUP(B400,'ITEM LIST'!B:M,12,0)*C400,0))</f>
        <v>1.728</v>
      </c>
      <c r="E400" s="1">
        <f t="shared" si="13"/>
        <v>181.1787688757567</v>
      </c>
      <c r="F400" s="20"/>
      <c r="G400" s="1"/>
      <c r="H400" s="1"/>
      <c r="I400" s="1"/>
      <c r="J400" s="1"/>
      <c r="K400" s="1"/>
      <c r="L400" s="1"/>
      <c r="M400" s="1"/>
      <c r="N400" s="1"/>
      <c r="O400" s="1"/>
      <c r="P400" s="1"/>
      <c r="Q400" s="1"/>
      <c r="R400" s="1"/>
      <c r="S400" s="1"/>
      <c r="T400" s="1"/>
      <c r="U400" s="1"/>
      <c r="V400" s="1"/>
      <c r="W400" s="1"/>
      <c r="X400" s="1"/>
      <c r="Y400" s="1"/>
      <c r="Z400" s="1"/>
    </row>
    <row r="401" spans="1:26" ht="12.75">
      <c r="A401" s="1" t="s">
        <v>115</v>
      </c>
      <c r="B401" s="1" t="s">
        <v>496</v>
      </c>
      <c r="C401" s="1">
        <v>18</v>
      </c>
      <c r="D401" s="1">
        <f>IF(B401="","",IFERROR(VLOOKUP(B401,'ITEM LIST'!B:M,12,0)*C401,0))</f>
        <v>2.88</v>
      </c>
      <c r="E401" s="1">
        <f t="shared" si="13"/>
        <v>181.1787688757567</v>
      </c>
      <c r="F401" s="20"/>
      <c r="G401" s="1"/>
      <c r="H401" s="1"/>
      <c r="I401" s="1"/>
      <c r="J401" s="1"/>
      <c r="K401" s="1"/>
      <c r="L401" s="1"/>
      <c r="M401" s="1"/>
      <c r="N401" s="1"/>
      <c r="O401" s="1"/>
      <c r="P401" s="1"/>
      <c r="Q401" s="1"/>
      <c r="R401" s="1"/>
      <c r="S401" s="1"/>
      <c r="T401" s="1"/>
      <c r="U401" s="1"/>
      <c r="V401" s="1"/>
      <c r="W401" s="1"/>
      <c r="X401" s="1"/>
      <c r="Y401" s="1"/>
      <c r="Z401" s="1"/>
    </row>
    <row r="402" spans="1:26" ht="12.75">
      <c r="A402" s="1" t="s">
        <v>115</v>
      </c>
      <c r="B402" s="1" t="s">
        <v>122</v>
      </c>
      <c r="C402" s="1">
        <v>73.8</v>
      </c>
      <c r="D402" s="1">
        <f>IF(B402="","",IFERROR(VLOOKUP(B402,'ITEM LIST'!B:M,12,0)*C402,0))</f>
        <v>20.664000000000001</v>
      </c>
      <c r="E402" s="1">
        <f t="shared" si="13"/>
        <v>181.1787688757567</v>
      </c>
      <c r="F402" s="20"/>
      <c r="G402" s="1"/>
      <c r="H402" s="1"/>
      <c r="I402" s="1"/>
      <c r="J402" s="1"/>
      <c r="K402" s="1"/>
      <c r="L402" s="1"/>
      <c r="M402" s="1"/>
      <c r="N402" s="1"/>
      <c r="O402" s="1"/>
      <c r="P402" s="1"/>
      <c r="Q402" s="1"/>
      <c r="R402" s="1"/>
      <c r="S402" s="1"/>
      <c r="T402" s="1"/>
      <c r="U402" s="1"/>
      <c r="V402" s="1"/>
      <c r="W402" s="1"/>
      <c r="X402" s="1"/>
      <c r="Y402" s="1"/>
      <c r="Z402" s="1"/>
    </row>
    <row r="403" spans="1:26" ht="12.75">
      <c r="A403" s="1" t="s">
        <v>115</v>
      </c>
      <c r="B403" s="1" t="s">
        <v>17</v>
      </c>
      <c r="C403" s="1">
        <v>288</v>
      </c>
      <c r="D403" s="1">
        <f>IF(B403="","",IFERROR(VLOOKUP(B403,'ITEM LIST'!B:M,12,0)*C403,0))</f>
        <v>77.760000000000005</v>
      </c>
      <c r="E403" s="1">
        <f t="shared" si="13"/>
        <v>181.1787688757567</v>
      </c>
      <c r="F403" s="20"/>
      <c r="G403" s="1"/>
      <c r="H403" s="1"/>
      <c r="I403" s="1"/>
      <c r="J403" s="1"/>
      <c r="K403" s="1"/>
      <c r="L403" s="1"/>
      <c r="M403" s="1"/>
      <c r="N403" s="1"/>
      <c r="O403" s="1"/>
      <c r="P403" s="1"/>
      <c r="Q403" s="1"/>
      <c r="R403" s="1"/>
      <c r="S403" s="1"/>
      <c r="T403" s="1"/>
      <c r="U403" s="1"/>
      <c r="V403" s="1"/>
      <c r="W403" s="1"/>
      <c r="X403" s="1"/>
      <c r="Y403" s="1"/>
      <c r="Z403" s="1"/>
    </row>
    <row r="404" spans="1:26" ht="12.75">
      <c r="A404" s="1"/>
      <c r="B404" s="1" t="s">
        <v>371</v>
      </c>
      <c r="C404" s="1"/>
      <c r="D404" s="1" t="str">
        <f>IF(B404="","",IFERROR(VLOOKUP(B404,'ITEM LIST'!B:M,12,0)*C404,0))</f>
        <v/>
      </c>
      <c r="E404" s="1" t="str">
        <f t="shared" si="13"/>
        <v/>
      </c>
      <c r="F404" s="20"/>
      <c r="G404" s="1"/>
      <c r="H404" s="1"/>
      <c r="I404" s="1"/>
      <c r="J404" s="1"/>
      <c r="K404" s="1"/>
      <c r="L404" s="1"/>
      <c r="M404" s="1"/>
      <c r="N404" s="1"/>
      <c r="O404" s="1"/>
      <c r="P404" s="1"/>
      <c r="Q404" s="1"/>
      <c r="R404" s="1"/>
      <c r="S404" s="1"/>
      <c r="T404" s="1"/>
      <c r="U404" s="1"/>
      <c r="V404" s="1"/>
      <c r="W404" s="1"/>
      <c r="X404" s="1"/>
      <c r="Y404" s="1"/>
      <c r="Z404" s="1"/>
    </row>
    <row r="405" spans="1:26" ht="12.75">
      <c r="A405" s="1" t="s">
        <v>308</v>
      </c>
      <c r="B405" s="1" t="s">
        <v>380</v>
      </c>
      <c r="C405" s="1">
        <v>63.157894736842103</v>
      </c>
      <c r="D405" s="1">
        <f>IF(B405="","",IFERROR(VLOOKUP(B405,'ITEM LIST'!B:M,12,0)*C405,0))</f>
        <v>33.684000000000005</v>
      </c>
      <c r="E405" s="1">
        <f t="shared" si="13"/>
        <v>146.91282806818344</v>
      </c>
      <c r="F405" s="20"/>
      <c r="G405" s="1"/>
      <c r="H405" s="1"/>
      <c r="I405" s="1"/>
      <c r="J405" s="1"/>
      <c r="K405" s="1"/>
      <c r="L405" s="1"/>
      <c r="M405" s="1"/>
      <c r="N405" s="1"/>
      <c r="O405" s="1"/>
      <c r="P405" s="1"/>
      <c r="Q405" s="1"/>
      <c r="R405" s="1"/>
      <c r="S405" s="1"/>
      <c r="T405" s="1"/>
      <c r="U405" s="1"/>
      <c r="V405" s="1"/>
      <c r="W405" s="1"/>
      <c r="X405" s="1"/>
      <c r="Y405" s="1"/>
      <c r="Z405" s="1"/>
    </row>
    <row r="406" spans="1:26" ht="12.75">
      <c r="A406" s="1" t="s">
        <v>308</v>
      </c>
      <c r="B406" s="1" t="s">
        <v>52</v>
      </c>
      <c r="C406" s="1">
        <v>4.2105263157894735</v>
      </c>
      <c r="D406" s="1">
        <f>IF(B406="","",IFERROR(VLOOKUP(B406,'ITEM LIST'!B:M,12,0)*C406,0))</f>
        <v>2.736842105263158</v>
      </c>
      <c r="E406" s="1">
        <f t="shared" ref="E406:E437" si="14">IF(A406="","", SUMIFS(D:D,A:A,A406))</f>
        <v>146.91282806818344</v>
      </c>
      <c r="F406" s="20"/>
      <c r="G406" s="1"/>
      <c r="H406" s="1"/>
      <c r="I406" s="1"/>
      <c r="J406" s="1"/>
      <c r="K406" s="1"/>
      <c r="L406" s="1"/>
      <c r="M406" s="1"/>
      <c r="N406" s="1"/>
      <c r="O406" s="1"/>
      <c r="P406" s="1"/>
      <c r="Q406" s="1"/>
      <c r="R406" s="1"/>
      <c r="S406" s="1"/>
      <c r="T406" s="1"/>
      <c r="U406" s="1"/>
      <c r="V406" s="1"/>
      <c r="W406" s="1"/>
      <c r="X406" s="1"/>
      <c r="Y406" s="1"/>
      <c r="Z406" s="1"/>
    </row>
    <row r="407" spans="1:26" ht="12.75">
      <c r="A407" s="1" t="s">
        <v>308</v>
      </c>
      <c r="B407" s="1" t="s">
        <v>118</v>
      </c>
      <c r="C407" s="1">
        <v>12.631578947368421</v>
      </c>
      <c r="D407" s="1">
        <f>IF(B407="","",IFERROR(VLOOKUP(B407,'ITEM LIST'!B:M,12,0)*C407,0))</f>
        <v>1.5157894736842106</v>
      </c>
      <c r="E407" s="1">
        <f t="shared" si="14"/>
        <v>146.91282806818344</v>
      </c>
      <c r="F407" s="20"/>
      <c r="G407" s="1"/>
      <c r="H407" s="1"/>
      <c r="I407" s="1"/>
      <c r="J407" s="1"/>
      <c r="K407" s="1"/>
      <c r="L407" s="1"/>
      <c r="M407" s="1"/>
      <c r="N407" s="1"/>
      <c r="O407" s="1"/>
      <c r="P407" s="1"/>
      <c r="Q407" s="1"/>
      <c r="R407" s="1"/>
      <c r="S407" s="1"/>
      <c r="T407" s="1"/>
      <c r="U407" s="1"/>
      <c r="V407" s="1"/>
      <c r="W407" s="1"/>
      <c r="X407" s="1"/>
      <c r="Y407" s="1"/>
      <c r="Z407" s="1"/>
    </row>
    <row r="408" spans="1:26" ht="12.75">
      <c r="A408" s="1" t="s">
        <v>308</v>
      </c>
      <c r="B408" s="1" t="s">
        <v>49</v>
      </c>
      <c r="C408" s="1">
        <v>2.1052631578947367</v>
      </c>
      <c r="D408" s="1">
        <f>IF(B408="","",IFERROR(VLOOKUP(B408,'ITEM LIST'!B:M,12,0)*C408,0))</f>
        <v>1.5789473684210527</v>
      </c>
      <c r="E408" s="1">
        <f t="shared" si="14"/>
        <v>146.91282806818344</v>
      </c>
      <c r="F408" s="20"/>
      <c r="G408" s="1"/>
      <c r="H408" s="1"/>
      <c r="I408" s="1"/>
      <c r="J408" s="1"/>
      <c r="K408" s="1"/>
      <c r="L408" s="1"/>
      <c r="M408" s="1"/>
      <c r="N408" s="1"/>
      <c r="O408" s="1"/>
      <c r="P408" s="1"/>
      <c r="Q408" s="1"/>
      <c r="R408" s="1"/>
      <c r="S408" s="1"/>
      <c r="T408" s="1"/>
      <c r="U408" s="1"/>
      <c r="V408" s="1"/>
      <c r="W408" s="1"/>
      <c r="X408" s="1"/>
      <c r="Y408" s="1"/>
      <c r="Z408" s="1"/>
    </row>
    <row r="409" spans="1:26" ht="12.75">
      <c r="A409" s="1" t="s">
        <v>308</v>
      </c>
      <c r="B409" s="1" t="s">
        <v>12</v>
      </c>
      <c r="C409" s="1">
        <v>2.6315789473684212</v>
      </c>
      <c r="D409" s="1">
        <f>IF(B409="","",IFERROR(VLOOKUP(B409,'ITEM LIST'!B:M,12,0)*C409,0))</f>
        <v>0.25526315789473686</v>
      </c>
      <c r="E409" s="1">
        <f t="shared" si="14"/>
        <v>146.91282806818344</v>
      </c>
      <c r="F409" s="20"/>
      <c r="G409" s="1"/>
      <c r="H409" s="1"/>
      <c r="I409" s="1"/>
      <c r="J409" s="1"/>
      <c r="K409" s="1"/>
      <c r="L409" s="1"/>
      <c r="M409" s="1"/>
      <c r="N409" s="1"/>
      <c r="O409" s="1"/>
      <c r="P409" s="1"/>
      <c r="Q409" s="1"/>
      <c r="R409" s="1"/>
      <c r="S409" s="1"/>
      <c r="T409" s="1"/>
      <c r="U409" s="1"/>
      <c r="V409" s="1"/>
      <c r="W409" s="1"/>
      <c r="X409" s="1"/>
      <c r="Y409" s="1"/>
      <c r="Z409" s="1"/>
    </row>
    <row r="410" spans="1:26" ht="12.75">
      <c r="A410" s="1" t="s">
        <v>308</v>
      </c>
      <c r="B410" s="1" t="s">
        <v>2</v>
      </c>
      <c r="C410" s="1">
        <v>1.5789473684210527</v>
      </c>
      <c r="D410" s="1">
        <f>IF(B410="","",IFERROR(VLOOKUP(B410,'ITEM LIST'!B:M,12,0)*C410,0))</f>
        <v>0.75789473684210529</v>
      </c>
      <c r="E410" s="1">
        <f t="shared" si="14"/>
        <v>146.91282806818344</v>
      </c>
      <c r="F410" s="20"/>
      <c r="G410" s="1"/>
      <c r="H410" s="1"/>
      <c r="I410" s="1"/>
      <c r="J410" s="1"/>
      <c r="K410" s="1"/>
      <c r="L410" s="1"/>
      <c r="M410" s="1"/>
      <c r="N410" s="1"/>
      <c r="O410" s="1"/>
      <c r="P410" s="1"/>
      <c r="Q410" s="1"/>
      <c r="R410" s="1"/>
      <c r="S410" s="1"/>
      <c r="T410" s="1"/>
      <c r="U410" s="1"/>
      <c r="V410" s="1"/>
      <c r="W410" s="1"/>
      <c r="X410" s="1"/>
      <c r="Y410" s="1"/>
      <c r="Z410" s="1"/>
    </row>
    <row r="411" spans="1:26" ht="12.75">
      <c r="A411" s="1" t="s">
        <v>308</v>
      </c>
      <c r="B411" s="1" t="s">
        <v>348</v>
      </c>
      <c r="C411" s="1">
        <v>4.2105263157894735</v>
      </c>
      <c r="D411" s="1">
        <f>IF(B411="","",IFERROR(VLOOKUP(B411,'ITEM LIST'!B:M,12,0)*C411,0))</f>
        <v>2.9894736842105258</v>
      </c>
      <c r="E411" s="1">
        <f t="shared" si="14"/>
        <v>146.91282806818344</v>
      </c>
      <c r="F411" s="20"/>
      <c r="G411" s="1"/>
      <c r="H411" s="1"/>
      <c r="I411" s="1"/>
      <c r="J411" s="1"/>
      <c r="K411" s="1"/>
      <c r="L411" s="1"/>
      <c r="M411" s="1"/>
      <c r="N411" s="1"/>
      <c r="O411" s="1"/>
      <c r="P411" s="1"/>
      <c r="Q411" s="1"/>
      <c r="R411" s="1"/>
      <c r="S411" s="1"/>
      <c r="T411" s="1"/>
      <c r="U411" s="1"/>
      <c r="V411" s="1"/>
      <c r="W411" s="1"/>
      <c r="X411" s="1"/>
      <c r="Y411" s="1"/>
      <c r="Z411" s="1"/>
    </row>
    <row r="412" spans="1:26" ht="12.75">
      <c r="A412" s="1" t="s">
        <v>308</v>
      </c>
      <c r="B412" s="1" t="s">
        <v>347</v>
      </c>
      <c r="C412" s="1">
        <v>2.6315789473684212</v>
      </c>
      <c r="D412" s="1">
        <f>IF(B412="","",IFERROR(VLOOKUP(B412,'ITEM LIST'!B:M,12,0)*C412,0))</f>
        <v>1.7894736842105265</v>
      </c>
      <c r="E412" s="1">
        <f t="shared" si="14"/>
        <v>146.91282806818344</v>
      </c>
      <c r="F412" s="20"/>
      <c r="G412" s="1"/>
      <c r="H412" s="1"/>
      <c r="I412" s="1"/>
      <c r="J412" s="1"/>
      <c r="K412" s="1"/>
      <c r="L412" s="1"/>
      <c r="M412" s="1"/>
      <c r="N412" s="1"/>
      <c r="O412" s="1"/>
      <c r="P412" s="1"/>
      <c r="Q412" s="1"/>
      <c r="R412" s="1"/>
      <c r="S412" s="1"/>
      <c r="T412" s="1"/>
      <c r="U412" s="1"/>
      <c r="V412" s="1"/>
      <c r="W412" s="1"/>
      <c r="X412" s="1"/>
      <c r="Y412" s="1"/>
      <c r="Z412" s="1"/>
    </row>
    <row r="413" spans="1:26" ht="12.75">
      <c r="A413" s="1" t="s">
        <v>308</v>
      </c>
      <c r="B413" s="1" t="s">
        <v>514</v>
      </c>
      <c r="C413" s="1">
        <v>4.2105263157894735</v>
      </c>
      <c r="D413" s="1">
        <f>IF(B413="","",IFERROR(VLOOKUP(B413,'ITEM LIST'!B:M,12,0)*C413,0))</f>
        <v>3.0484210526315785</v>
      </c>
      <c r="E413" s="1">
        <f t="shared" si="14"/>
        <v>146.91282806818344</v>
      </c>
      <c r="F413" s="20"/>
      <c r="G413" s="1"/>
      <c r="H413" s="1"/>
      <c r="I413" s="1"/>
      <c r="J413" s="1"/>
      <c r="K413" s="1"/>
      <c r="L413" s="1"/>
      <c r="M413" s="1"/>
      <c r="N413" s="1"/>
      <c r="O413" s="1"/>
      <c r="P413" s="1"/>
      <c r="Q413" s="1"/>
      <c r="R413" s="1"/>
      <c r="S413" s="1"/>
      <c r="T413" s="1"/>
      <c r="U413" s="1"/>
      <c r="V413" s="1"/>
      <c r="W413" s="1"/>
      <c r="X413" s="1"/>
      <c r="Y413" s="1"/>
      <c r="Z413" s="1"/>
    </row>
    <row r="414" spans="1:26" ht="12.75">
      <c r="A414" s="1" t="s">
        <v>308</v>
      </c>
      <c r="B414" s="1" t="s">
        <v>496</v>
      </c>
      <c r="C414" s="1">
        <v>15.789473684210526</v>
      </c>
      <c r="D414" s="1">
        <f>IF(B414="","",IFERROR(VLOOKUP(B414,'ITEM LIST'!B:M,12,0)*C414,0))</f>
        <v>2.5263157894736841</v>
      </c>
      <c r="E414" s="1">
        <f t="shared" si="14"/>
        <v>146.91282806818344</v>
      </c>
      <c r="F414" s="20"/>
      <c r="G414" s="1"/>
      <c r="H414" s="1"/>
      <c r="I414" s="1"/>
      <c r="J414" s="1"/>
      <c r="K414" s="1"/>
      <c r="L414" s="1"/>
      <c r="M414" s="1"/>
      <c r="N414" s="1"/>
      <c r="O414" s="1"/>
      <c r="P414" s="1"/>
      <c r="Q414" s="1"/>
      <c r="R414" s="1"/>
      <c r="S414" s="1"/>
      <c r="T414" s="1"/>
      <c r="U414" s="1"/>
      <c r="V414" s="1"/>
      <c r="W414" s="1"/>
      <c r="X414" s="1"/>
      <c r="Y414" s="1"/>
      <c r="Z414" s="1"/>
    </row>
    <row r="415" spans="1:26" ht="12.75">
      <c r="A415" s="1" t="s">
        <v>308</v>
      </c>
      <c r="B415" s="1" t="s">
        <v>114</v>
      </c>
      <c r="C415" s="1">
        <v>6.3157894736842106</v>
      </c>
      <c r="D415" s="1">
        <f>IF(B415="","",IFERROR(VLOOKUP(B415,'ITEM LIST'!B:M,12,0)*C415,0))</f>
        <v>0.17684210526315791</v>
      </c>
      <c r="E415" s="1">
        <f t="shared" si="14"/>
        <v>146.91282806818344</v>
      </c>
      <c r="F415" s="20"/>
      <c r="G415" s="1"/>
      <c r="H415" s="1"/>
      <c r="I415" s="1"/>
      <c r="J415" s="1"/>
      <c r="K415" s="1"/>
      <c r="L415" s="1"/>
      <c r="M415" s="1"/>
      <c r="N415" s="1"/>
      <c r="O415" s="1"/>
      <c r="P415" s="1"/>
      <c r="Q415" s="1"/>
      <c r="R415" s="1"/>
      <c r="S415" s="1"/>
      <c r="T415" s="1"/>
      <c r="U415" s="1"/>
      <c r="V415" s="1"/>
      <c r="W415" s="1"/>
      <c r="X415" s="1"/>
      <c r="Y415" s="1"/>
      <c r="Z415" s="1"/>
    </row>
    <row r="416" spans="1:26" ht="12.75">
      <c r="A416" s="1" t="s">
        <v>308</v>
      </c>
      <c r="B416" s="1" t="s">
        <v>17</v>
      </c>
      <c r="C416" s="1">
        <v>105.26315789473684</v>
      </c>
      <c r="D416" s="1">
        <f>IF(B416="","",IFERROR(VLOOKUP(B416,'ITEM LIST'!B:M,12,0)*C416,0))</f>
        <v>28.421052631578949</v>
      </c>
      <c r="E416" s="1">
        <f t="shared" si="14"/>
        <v>146.91282806818344</v>
      </c>
      <c r="F416" s="20"/>
      <c r="G416" s="1"/>
      <c r="H416" s="1"/>
      <c r="I416" s="1"/>
      <c r="J416" s="1"/>
      <c r="K416" s="1"/>
      <c r="L416" s="1"/>
      <c r="M416" s="1"/>
      <c r="N416" s="1"/>
      <c r="O416" s="1"/>
      <c r="P416" s="1"/>
      <c r="Q416" s="1"/>
      <c r="R416" s="1"/>
      <c r="S416" s="1"/>
      <c r="T416" s="1"/>
      <c r="U416" s="1"/>
      <c r="V416" s="1"/>
      <c r="W416" s="1"/>
      <c r="X416" s="1"/>
      <c r="Y416" s="1"/>
      <c r="Z416" s="1"/>
    </row>
    <row r="417" spans="1:26" ht="12.75">
      <c r="A417" s="1" t="s">
        <v>308</v>
      </c>
      <c r="B417" s="1" t="s">
        <v>34</v>
      </c>
      <c r="C417" s="1">
        <v>157.89473684210526</v>
      </c>
      <c r="D417" s="1">
        <f>IF(B417="","",IFERROR(VLOOKUP(B417,'ITEM LIST'!B:M,12,0)*C417,0))</f>
        <v>14.210526315789473</v>
      </c>
      <c r="E417" s="1">
        <f t="shared" si="14"/>
        <v>146.91282806818344</v>
      </c>
      <c r="F417" s="20"/>
      <c r="G417" s="1"/>
      <c r="H417" s="1"/>
      <c r="I417" s="1"/>
      <c r="J417" s="1"/>
      <c r="K417" s="1"/>
      <c r="L417" s="1"/>
      <c r="M417" s="1"/>
      <c r="N417" s="1"/>
      <c r="O417" s="1"/>
      <c r="P417" s="1"/>
      <c r="Q417" s="1"/>
      <c r="R417" s="1"/>
      <c r="S417" s="1"/>
      <c r="T417" s="1"/>
      <c r="U417" s="1"/>
      <c r="V417" s="1"/>
      <c r="W417" s="1"/>
      <c r="X417" s="1"/>
      <c r="Y417" s="1"/>
      <c r="Z417" s="1"/>
    </row>
    <row r="418" spans="1:26" ht="12.75">
      <c r="A418" s="1" t="s">
        <v>308</v>
      </c>
      <c r="B418" s="1" t="s">
        <v>4</v>
      </c>
      <c r="C418" s="1">
        <v>23.684210526315791</v>
      </c>
      <c r="D418" s="1">
        <f>IF(B418="","",IFERROR(VLOOKUP(B418,'ITEM LIST'!B:M,12,0)*C418,0))</f>
        <v>5.0447368421052632</v>
      </c>
      <c r="E418" s="1">
        <f t="shared" si="14"/>
        <v>146.91282806818344</v>
      </c>
      <c r="F418" s="20"/>
      <c r="G418" s="1"/>
      <c r="H418" s="1"/>
      <c r="I418" s="1"/>
      <c r="J418" s="1"/>
      <c r="K418" s="1"/>
      <c r="L418" s="1"/>
      <c r="M418" s="1"/>
      <c r="N418" s="1"/>
      <c r="O418" s="1"/>
      <c r="P418" s="1"/>
      <c r="Q418" s="1"/>
      <c r="R418" s="1"/>
      <c r="S418" s="1"/>
      <c r="T418" s="1"/>
      <c r="U418" s="1"/>
      <c r="V418" s="1"/>
      <c r="W418" s="1"/>
      <c r="X418" s="1"/>
      <c r="Y418" s="1"/>
      <c r="Z418" s="1"/>
    </row>
    <row r="419" spans="1:26" ht="12.75">
      <c r="A419" s="1" t="s">
        <v>308</v>
      </c>
      <c r="B419" s="1" t="s">
        <v>32</v>
      </c>
      <c r="C419" s="1">
        <v>52.631578947368418</v>
      </c>
      <c r="D419" s="1">
        <f>IF(B419="","",IFERROR(VLOOKUP(B419,'ITEM LIST'!B:M,12,0)*C419,0))</f>
        <v>1.8421052631578947</v>
      </c>
      <c r="E419" s="1">
        <f t="shared" si="14"/>
        <v>146.91282806818344</v>
      </c>
      <c r="F419" s="20"/>
      <c r="G419" s="1"/>
      <c r="H419" s="1"/>
      <c r="I419" s="1"/>
      <c r="J419" s="1"/>
      <c r="K419" s="1"/>
      <c r="L419" s="1"/>
      <c r="M419" s="1"/>
      <c r="N419" s="1"/>
      <c r="O419" s="1"/>
      <c r="P419" s="1"/>
      <c r="Q419" s="1"/>
      <c r="R419" s="1"/>
      <c r="S419" s="1"/>
      <c r="T419" s="1"/>
      <c r="U419" s="1"/>
      <c r="V419" s="1"/>
      <c r="W419" s="1"/>
      <c r="X419" s="1"/>
      <c r="Y419" s="1"/>
      <c r="Z419" s="1"/>
    </row>
    <row r="420" spans="1:26" ht="12.75">
      <c r="A420" s="1" t="s">
        <v>308</v>
      </c>
      <c r="B420" s="1" t="s">
        <v>252</v>
      </c>
      <c r="C420" s="1">
        <v>52.631578947368418</v>
      </c>
      <c r="D420" s="1">
        <f>IF(B420="","",IFERROR(VLOOKUP(B420,'ITEM LIST'!B:M,12,0)*C420,0))</f>
        <v>5.5263157894736841</v>
      </c>
      <c r="E420" s="1">
        <f t="shared" si="14"/>
        <v>146.91282806818344</v>
      </c>
      <c r="F420" s="20"/>
      <c r="G420" s="1"/>
      <c r="H420" s="1"/>
      <c r="I420" s="1"/>
      <c r="J420" s="1"/>
      <c r="K420" s="1"/>
      <c r="L420" s="1"/>
      <c r="M420" s="1"/>
      <c r="N420" s="1"/>
      <c r="O420" s="1"/>
      <c r="P420" s="1"/>
      <c r="Q420" s="1"/>
      <c r="R420" s="1"/>
      <c r="S420" s="1"/>
      <c r="T420" s="1"/>
      <c r="U420" s="1"/>
      <c r="V420" s="1"/>
      <c r="W420" s="1"/>
      <c r="X420" s="1"/>
      <c r="Y420" s="1"/>
      <c r="Z420" s="1"/>
    </row>
    <row r="421" spans="1:26" ht="12.75">
      <c r="A421" s="1" t="s">
        <v>308</v>
      </c>
      <c r="B421" s="1" t="s">
        <v>28</v>
      </c>
      <c r="C421" s="1">
        <v>52.631578947368418</v>
      </c>
      <c r="D421" s="1">
        <f>IF(B421="","",IFERROR(VLOOKUP(B421,'ITEM LIST'!B:M,12,0)*C421,0))</f>
        <v>8.4210526315789469</v>
      </c>
      <c r="E421" s="1">
        <f t="shared" si="14"/>
        <v>146.91282806818344</v>
      </c>
      <c r="F421" s="20"/>
      <c r="G421" s="1"/>
      <c r="H421" s="1"/>
      <c r="I421" s="1"/>
      <c r="J421" s="1"/>
      <c r="K421" s="1"/>
      <c r="L421" s="1"/>
      <c r="M421" s="1"/>
      <c r="N421" s="1"/>
      <c r="O421" s="1"/>
      <c r="P421" s="1"/>
      <c r="Q421" s="1"/>
      <c r="R421" s="1"/>
      <c r="S421" s="1"/>
      <c r="T421" s="1"/>
      <c r="U421" s="1"/>
      <c r="V421" s="1"/>
      <c r="W421" s="1"/>
      <c r="X421" s="1"/>
      <c r="Y421" s="1"/>
      <c r="Z421" s="1"/>
    </row>
    <row r="422" spans="1:26" ht="12.75">
      <c r="A422" s="1" t="s">
        <v>308</v>
      </c>
      <c r="B422" s="1" t="s">
        <v>280</v>
      </c>
      <c r="C422" s="1">
        <v>105.26315789473684</v>
      </c>
      <c r="D422" s="1">
        <f>IF(B422="","",IFERROR(VLOOKUP(B422,'ITEM LIST'!B:M,12,0)*C422,0))</f>
        <v>17.656550134460236</v>
      </c>
      <c r="E422" s="1">
        <f t="shared" si="14"/>
        <v>146.91282806818344</v>
      </c>
      <c r="F422" s="20"/>
      <c r="G422" s="1"/>
      <c r="H422" s="1"/>
      <c r="I422" s="1"/>
      <c r="J422" s="1"/>
      <c r="K422" s="1"/>
      <c r="L422" s="1"/>
      <c r="M422" s="1"/>
      <c r="N422" s="1"/>
      <c r="O422" s="1"/>
      <c r="P422" s="1"/>
      <c r="Q422" s="1"/>
      <c r="R422" s="1"/>
      <c r="S422" s="1"/>
      <c r="T422" s="1"/>
      <c r="U422" s="1"/>
      <c r="V422" s="1"/>
      <c r="W422" s="1"/>
      <c r="X422" s="1"/>
      <c r="Y422" s="1"/>
      <c r="Z422" s="1"/>
    </row>
    <row r="423" spans="1:26" ht="12.75">
      <c r="A423" s="1" t="s">
        <v>308</v>
      </c>
      <c r="B423" s="1" t="s">
        <v>548</v>
      </c>
      <c r="C423" s="1">
        <v>368.42105263157896</v>
      </c>
      <c r="D423" s="1">
        <f>IF(B423="","",IFERROR(VLOOKUP(B423,'ITEM LIST'!B:M,12,0)*C423,0))</f>
        <v>13.396225302144254</v>
      </c>
      <c r="E423" s="1">
        <f t="shared" si="14"/>
        <v>146.91282806818344</v>
      </c>
      <c r="F423" s="20"/>
      <c r="G423" s="1"/>
      <c r="H423" s="1"/>
      <c r="I423" s="1"/>
      <c r="J423" s="1"/>
      <c r="K423" s="1"/>
      <c r="L423" s="1"/>
      <c r="M423" s="1"/>
      <c r="N423" s="1"/>
      <c r="O423" s="1"/>
      <c r="P423" s="1"/>
      <c r="Q423" s="1"/>
      <c r="R423" s="1"/>
      <c r="S423" s="1"/>
      <c r="T423" s="1"/>
      <c r="U423" s="1"/>
      <c r="V423" s="1"/>
      <c r="W423" s="1"/>
      <c r="X423" s="1"/>
      <c r="Y423" s="1"/>
      <c r="Z423" s="1"/>
    </row>
    <row r="424" spans="1:26" ht="12.75">
      <c r="A424" s="1"/>
      <c r="B424" s="1" t="s">
        <v>371</v>
      </c>
      <c r="C424" s="1"/>
      <c r="D424" s="1" t="str">
        <f>IF(B424="","",IFERROR(VLOOKUP(B424,'ITEM LIST'!B:M,12,0)*C424,0))</f>
        <v/>
      </c>
      <c r="E424" s="1" t="str">
        <f t="shared" si="14"/>
        <v/>
      </c>
      <c r="F424" s="20"/>
      <c r="G424" s="1"/>
      <c r="H424" s="1"/>
      <c r="I424" s="1"/>
      <c r="J424" s="1"/>
      <c r="K424" s="1"/>
      <c r="L424" s="1"/>
      <c r="M424" s="1"/>
      <c r="N424" s="1"/>
      <c r="O424" s="1"/>
      <c r="P424" s="1"/>
      <c r="Q424" s="1"/>
      <c r="R424" s="1"/>
      <c r="S424" s="1"/>
      <c r="T424" s="1"/>
      <c r="U424" s="1"/>
      <c r="V424" s="1"/>
      <c r="W424" s="1"/>
      <c r="X424" s="1"/>
      <c r="Y424" s="1"/>
      <c r="Z424" s="1"/>
    </row>
    <row r="425" spans="1:26" ht="12.75">
      <c r="A425" s="1" t="s">
        <v>91</v>
      </c>
      <c r="B425" s="1" t="s">
        <v>17</v>
      </c>
      <c r="C425" s="1">
        <v>243</v>
      </c>
      <c r="D425" s="1">
        <f>IF(B425="","",IFERROR(VLOOKUP(B425,'ITEM LIST'!B:M,12,0)*C425,0))</f>
        <v>65.61</v>
      </c>
      <c r="E425" s="1">
        <f t="shared" si="14"/>
        <v>209.23839757329793</v>
      </c>
      <c r="F425" s="20"/>
      <c r="G425" s="1"/>
      <c r="H425" s="1"/>
      <c r="I425" s="1"/>
      <c r="J425" s="1"/>
      <c r="K425" s="1"/>
      <c r="L425" s="1"/>
      <c r="M425" s="1"/>
      <c r="N425" s="1"/>
      <c r="O425" s="1"/>
      <c r="P425" s="1"/>
      <c r="Q425" s="1"/>
      <c r="R425" s="1"/>
      <c r="S425" s="1"/>
      <c r="T425" s="1"/>
      <c r="U425" s="1"/>
      <c r="V425" s="1"/>
      <c r="W425" s="1"/>
      <c r="X425" s="1"/>
      <c r="Y425" s="1"/>
      <c r="Z425" s="1"/>
    </row>
    <row r="426" spans="1:26" ht="12.75">
      <c r="A426" s="1" t="s">
        <v>91</v>
      </c>
      <c r="B426" s="1" t="s">
        <v>548</v>
      </c>
      <c r="C426" s="1">
        <v>324</v>
      </c>
      <c r="D426" s="1">
        <f>IF(B426="","",IFERROR(VLOOKUP(B426,'ITEM LIST'!B:M,12,0)*C426,0))</f>
        <v>11.781023280000003</v>
      </c>
      <c r="E426" s="1">
        <f t="shared" si="14"/>
        <v>209.23839757329793</v>
      </c>
      <c r="F426" s="20"/>
      <c r="G426" s="1"/>
      <c r="H426" s="1"/>
      <c r="I426" s="1"/>
      <c r="J426" s="1"/>
      <c r="K426" s="1"/>
      <c r="L426" s="1"/>
      <c r="M426" s="1"/>
      <c r="N426" s="1"/>
      <c r="O426" s="1"/>
      <c r="P426" s="1"/>
      <c r="Q426" s="1"/>
      <c r="R426" s="1"/>
      <c r="S426" s="1"/>
      <c r="T426" s="1"/>
      <c r="U426" s="1"/>
      <c r="V426" s="1"/>
      <c r="W426" s="1"/>
      <c r="X426" s="1"/>
      <c r="Y426" s="1"/>
      <c r="Z426" s="1"/>
    </row>
    <row r="427" spans="1:26" ht="12.75">
      <c r="A427" s="1" t="s">
        <v>91</v>
      </c>
      <c r="B427" s="1" t="s">
        <v>280</v>
      </c>
      <c r="C427" s="1">
        <v>162</v>
      </c>
      <c r="D427" s="1">
        <f>IF(B427="","",IFERROR(VLOOKUP(B427,'ITEM LIST'!B:M,12,0)*C427,0))</f>
        <v>27.173430656934304</v>
      </c>
      <c r="E427" s="1">
        <f t="shared" si="14"/>
        <v>209.23839757329793</v>
      </c>
      <c r="F427" s="20"/>
      <c r="G427" s="1"/>
      <c r="H427" s="1"/>
      <c r="I427" s="1"/>
      <c r="J427" s="1"/>
      <c r="K427" s="1"/>
      <c r="L427" s="1"/>
      <c r="M427" s="1"/>
      <c r="N427" s="1"/>
      <c r="O427" s="1"/>
      <c r="P427" s="1"/>
      <c r="Q427" s="1"/>
      <c r="R427" s="1"/>
      <c r="S427" s="1"/>
      <c r="T427" s="1"/>
      <c r="U427" s="1"/>
      <c r="V427" s="1"/>
      <c r="W427" s="1"/>
      <c r="X427" s="1"/>
      <c r="Y427" s="1"/>
      <c r="Z427" s="1"/>
    </row>
    <row r="428" spans="1:26" ht="12.75">
      <c r="A428" s="1" t="s">
        <v>91</v>
      </c>
      <c r="B428" s="1" t="s">
        <v>25</v>
      </c>
      <c r="C428" s="1">
        <v>56.7</v>
      </c>
      <c r="D428" s="1">
        <f>IF(B428="","",IFERROR(VLOOKUP(B428,'ITEM LIST'!B:M,12,0)*C428,0))</f>
        <v>1.5876000000000001</v>
      </c>
      <c r="E428" s="1">
        <f t="shared" si="14"/>
        <v>209.23839757329793</v>
      </c>
      <c r="F428" s="20"/>
      <c r="G428" s="1"/>
      <c r="H428" s="1"/>
      <c r="I428" s="1"/>
      <c r="J428" s="1"/>
      <c r="K428" s="1"/>
      <c r="L428" s="1"/>
      <c r="M428" s="1"/>
      <c r="N428" s="1"/>
      <c r="O428" s="1"/>
      <c r="P428" s="1"/>
      <c r="Q428" s="1"/>
      <c r="R428" s="1"/>
      <c r="S428" s="1"/>
      <c r="T428" s="1"/>
      <c r="U428" s="1"/>
      <c r="V428" s="1"/>
      <c r="W428" s="1"/>
      <c r="X428" s="1"/>
      <c r="Y428" s="1"/>
      <c r="Z428" s="1"/>
    </row>
    <row r="429" spans="1:26" ht="12.75">
      <c r="A429" s="1" t="s">
        <v>91</v>
      </c>
      <c r="B429" s="1" t="s">
        <v>488</v>
      </c>
      <c r="C429" s="1">
        <v>38.880000000000003</v>
      </c>
      <c r="D429" s="1">
        <f>IF(B429="","",IFERROR(VLOOKUP(B429,'ITEM LIST'!B:M,12,0)*C429,0))</f>
        <v>18.273600000000002</v>
      </c>
      <c r="E429" s="1">
        <f t="shared" si="14"/>
        <v>209.23839757329793</v>
      </c>
      <c r="F429" s="20"/>
      <c r="G429" s="1"/>
      <c r="H429" s="1"/>
      <c r="I429" s="1"/>
      <c r="J429" s="1"/>
      <c r="K429" s="1"/>
      <c r="L429" s="1"/>
      <c r="M429" s="1"/>
      <c r="N429" s="1"/>
      <c r="O429" s="1"/>
      <c r="P429" s="1"/>
      <c r="Q429" s="1"/>
      <c r="R429" s="1"/>
      <c r="S429" s="1"/>
      <c r="T429" s="1"/>
      <c r="U429" s="1"/>
      <c r="V429" s="1"/>
      <c r="W429" s="1"/>
      <c r="X429" s="1"/>
      <c r="Y429" s="1"/>
      <c r="Z429" s="1"/>
    </row>
    <row r="430" spans="1:26" ht="12.75">
      <c r="A430" s="1" t="s">
        <v>91</v>
      </c>
      <c r="B430" s="1" t="s">
        <v>4</v>
      </c>
      <c r="C430" s="1">
        <v>129.6</v>
      </c>
      <c r="D430" s="1">
        <f>IF(B430="","",IFERROR(VLOOKUP(B430,'ITEM LIST'!B:M,12,0)*C430,0))</f>
        <v>27.604799999999997</v>
      </c>
      <c r="E430" s="1">
        <f t="shared" si="14"/>
        <v>209.23839757329793</v>
      </c>
      <c r="F430" s="20"/>
      <c r="G430" s="1"/>
      <c r="H430" s="1"/>
      <c r="I430" s="1"/>
      <c r="J430" s="1"/>
      <c r="K430" s="1"/>
      <c r="L430" s="1"/>
      <c r="M430" s="1"/>
      <c r="N430" s="1"/>
      <c r="O430" s="1"/>
      <c r="P430" s="1"/>
      <c r="Q430" s="1"/>
      <c r="R430" s="1"/>
      <c r="S430" s="1"/>
      <c r="T430" s="1"/>
      <c r="U430" s="1"/>
      <c r="V430" s="1"/>
      <c r="W430" s="1"/>
      <c r="X430" s="1"/>
      <c r="Y430" s="1"/>
      <c r="Z430" s="1"/>
    </row>
    <row r="431" spans="1:26" ht="12.75">
      <c r="A431" s="1" t="s">
        <v>91</v>
      </c>
      <c r="B431" s="1" t="s">
        <v>114</v>
      </c>
      <c r="C431" s="1">
        <v>32.4</v>
      </c>
      <c r="D431" s="1">
        <f>IF(B431="","",IFERROR(VLOOKUP(B431,'ITEM LIST'!B:M,12,0)*C431,0))</f>
        <v>0.90720000000000001</v>
      </c>
      <c r="E431" s="1">
        <f t="shared" si="14"/>
        <v>209.23839757329793</v>
      </c>
      <c r="F431" s="20"/>
      <c r="G431" s="1"/>
      <c r="H431" s="1"/>
      <c r="I431" s="1"/>
      <c r="J431" s="1"/>
      <c r="K431" s="1"/>
      <c r="L431" s="1"/>
      <c r="M431" s="1"/>
      <c r="N431" s="1"/>
      <c r="O431" s="1"/>
      <c r="P431" s="1"/>
      <c r="Q431" s="1"/>
      <c r="R431" s="1"/>
      <c r="S431" s="1"/>
      <c r="T431" s="1"/>
      <c r="U431" s="1"/>
      <c r="V431" s="1"/>
      <c r="W431" s="1"/>
      <c r="X431" s="1"/>
      <c r="Y431" s="1"/>
      <c r="Z431" s="1"/>
    </row>
    <row r="432" spans="1:26" ht="12.75">
      <c r="A432" s="1" t="s">
        <v>91</v>
      </c>
      <c r="B432" s="1" t="s">
        <v>549</v>
      </c>
      <c r="C432" s="1">
        <v>162</v>
      </c>
      <c r="D432" s="1">
        <f>IF(B432="","",IFERROR(VLOOKUP(B432,'ITEM LIST'!B:M,12,0)*C432,0))</f>
        <v>6.5278636363636364</v>
      </c>
      <c r="E432" s="1">
        <f t="shared" si="14"/>
        <v>209.23839757329793</v>
      </c>
      <c r="F432" s="20"/>
      <c r="G432" s="1"/>
      <c r="H432" s="1"/>
      <c r="I432" s="1"/>
      <c r="J432" s="1"/>
      <c r="K432" s="1"/>
      <c r="L432" s="1"/>
      <c r="M432" s="1"/>
      <c r="N432" s="1"/>
      <c r="O432" s="1"/>
      <c r="P432" s="1"/>
      <c r="Q432" s="1"/>
      <c r="R432" s="1"/>
      <c r="S432" s="1"/>
      <c r="T432" s="1"/>
      <c r="U432" s="1"/>
      <c r="V432" s="1"/>
      <c r="W432" s="1"/>
      <c r="X432" s="1"/>
      <c r="Y432" s="1"/>
      <c r="Z432" s="1"/>
    </row>
    <row r="433" spans="1:26" ht="12.75">
      <c r="A433" s="1" t="s">
        <v>91</v>
      </c>
      <c r="B433" s="1" t="s">
        <v>20</v>
      </c>
      <c r="C433" s="1">
        <v>64.8</v>
      </c>
      <c r="D433" s="1">
        <f>IF(B433="","",IFERROR(VLOOKUP(B433,'ITEM LIST'!B:M,12,0)*C433,0))</f>
        <v>1.2311999999999999</v>
      </c>
      <c r="E433" s="1">
        <f t="shared" si="14"/>
        <v>209.23839757329793</v>
      </c>
      <c r="F433" s="20"/>
      <c r="G433" s="1"/>
      <c r="H433" s="1"/>
      <c r="I433" s="1"/>
      <c r="J433" s="1"/>
      <c r="K433" s="1"/>
      <c r="L433" s="1"/>
      <c r="M433" s="1"/>
      <c r="N433" s="1"/>
      <c r="O433" s="1"/>
      <c r="P433" s="1"/>
      <c r="Q433" s="1"/>
      <c r="R433" s="1"/>
      <c r="S433" s="1"/>
      <c r="T433" s="1"/>
      <c r="U433" s="1"/>
      <c r="V433" s="1"/>
      <c r="W433" s="1"/>
      <c r="X433" s="1"/>
      <c r="Y433" s="1"/>
      <c r="Z433" s="1"/>
    </row>
    <row r="434" spans="1:26" ht="12.75">
      <c r="A434" s="1" t="s">
        <v>91</v>
      </c>
      <c r="B434" s="1" t="s">
        <v>348</v>
      </c>
      <c r="C434" s="1">
        <v>30.780000000000005</v>
      </c>
      <c r="D434" s="1">
        <f>IF(B434="","",IFERROR(VLOOKUP(B434,'ITEM LIST'!B:M,12,0)*C434,0))</f>
        <v>21.853800000000003</v>
      </c>
      <c r="E434" s="1">
        <f t="shared" si="14"/>
        <v>209.23839757329793</v>
      </c>
      <c r="F434" s="20"/>
      <c r="G434" s="1"/>
      <c r="H434" s="1"/>
      <c r="I434" s="1"/>
      <c r="J434" s="1"/>
      <c r="K434" s="1"/>
      <c r="L434" s="1"/>
      <c r="M434" s="1"/>
      <c r="N434" s="1"/>
      <c r="O434" s="1"/>
      <c r="P434" s="1"/>
      <c r="Q434" s="1"/>
      <c r="R434" s="1"/>
      <c r="S434" s="1"/>
      <c r="T434" s="1"/>
      <c r="U434" s="1"/>
      <c r="V434" s="1"/>
      <c r="W434" s="1"/>
      <c r="X434" s="1"/>
      <c r="Y434" s="1"/>
      <c r="Z434" s="1"/>
    </row>
    <row r="435" spans="1:26" ht="12.75">
      <c r="A435" s="1" t="s">
        <v>91</v>
      </c>
      <c r="B435" s="1" t="s">
        <v>12</v>
      </c>
      <c r="C435" s="1">
        <v>29.16</v>
      </c>
      <c r="D435" s="1">
        <f>IF(B435="","",IFERROR(VLOOKUP(B435,'ITEM LIST'!B:M,12,0)*C435,0))</f>
        <v>2.8285200000000001</v>
      </c>
      <c r="E435" s="1">
        <f t="shared" si="14"/>
        <v>209.23839757329793</v>
      </c>
      <c r="F435" s="20"/>
      <c r="G435" s="1"/>
      <c r="H435" s="1"/>
      <c r="I435" s="1"/>
      <c r="J435" s="1"/>
      <c r="K435" s="1"/>
      <c r="L435" s="1"/>
      <c r="M435" s="1"/>
      <c r="N435" s="1"/>
      <c r="O435" s="1"/>
      <c r="P435" s="1"/>
      <c r="Q435" s="1"/>
      <c r="R435" s="1"/>
      <c r="S435" s="1"/>
      <c r="T435" s="1"/>
      <c r="U435" s="1"/>
      <c r="V435" s="1"/>
      <c r="W435" s="1"/>
      <c r="X435" s="1"/>
      <c r="Y435" s="1"/>
      <c r="Z435" s="1"/>
    </row>
    <row r="436" spans="1:26" ht="12.75">
      <c r="A436" s="1" t="s">
        <v>91</v>
      </c>
      <c r="B436" s="1" t="s">
        <v>514</v>
      </c>
      <c r="C436" s="1">
        <v>27.540000000000003</v>
      </c>
      <c r="D436" s="1">
        <f>IF(B436="","",IFERROR(VLOOKUP(B436,'ITEM LIST'!B:M,12,0)*C436,0))</f>
        <v>19.938960000000002</v>
      </c>
      <c r="E436" s="1">
        <f t="shared" si="14"/>
        <v>209.23839757329793</v>
      </c>
      <c r="F436" s="20"/>
      <c r="G436" s="1"/>
      <c r="H436" s="1"/>
      <c r="I436" s="1"/>
      <c r="J436" s="1"/>
      <c r="K436" s="1"/>
      <c r="L436" s="1"/>
      <c r="M436" s="1"/>
      <c r="N436" s="1"/>
      <c r="O436" s="1"/>
      <c r="P436" s="1"/>
      <c r="Q436" s="1"/>
      <c r="R436" s="1"/>
      <c r="S436" s="1"/>
      <c r="T436" s="1"/>
      <c r="U436" s="1"/>
      <c r="V436" s="1"/>
      <c r="W436" s="1"/>
      <c r="X436" s="1"/>
      <c r="Y436" s="1"/>
      <c r="Z436" s="1"/>
    </row>
    <row r="437" spans="1:26" ht="12.75">
      <c r="A437" s="1" t="s">
        <v>91</v>
      </c>
      <c r="B437" s="1" t="s">
        <v>9</v>
      </c>
      <c r="C437" s="1">
        <v>32.4</v>
      </c>
      <c r="D437" s="1">
        <f>IF(B437="","",IFERROR(VLOOKUP(B437,'ITEM LIST'!B:M,12,0)*C437,0))</f>
        <v>0</v>
      </c>
      <c r="E437" s="1">
        <f t="shared" si="14"/>
        <v>209.23839757329793</v>
      </c>
      <c r="F437" s="20"/>
      <c r="G437" s="1"/>
      <c r="H437" s="1"/>
      <c r="I437" s="1"/>
      <c r="J437" s="1"/>
      <c r="K437" s="1"/>
      <c r="L437" s="1"/>
      <c r="M437" s="1"/>
      <c r="N437" s="1"/>
      <c r="O437" s="1"/>
      <c r="P437" s="1"/>
      <c r="Q437" s="1"/>
      <c r="R437" s="1"/>
      <c r="S437" s="1"/>
      <c r="T437" s="1"/>
      <c r="U437" s="1"/>
      <c r="V437" s="1"/>
      <c r="W437" s="1"/>
      <c r="X437" s="1"/>
      <c r="Y437" s="1"/>
      <c r="Z437" s="1"/>
    </row>
    <row r="438" spans="1:26" ht="12.75">
      <c r="A438" s="1" t="s">
        <v>91</v>
      </c>
      <c r="B438" s="1" t="s">
        <v>23</v>
      </c>
      <c r="C438" s="1">
        <v>16.2</v>
      </c>
      <c r="D438" s="1">
        <f>IF(B438="","",IFERROR(VLOOKUP(B438,'ITEM LIST'!B:M,12,0)*C438,0))</f>
        <v>2.3651999999999997</v>
      </c>
      <c r="E438" s="1">
        <f t="shared" ref="E438:E469" si="15">IF(A438="","", SUMIFS(D:D,A:A,A438))</f>
        <v>209.23839757329793</v>
      </c>
      <c r="F438" s="20"/>
      <c r="G438" s="1"/>
      <c r="H438" s="1"/>
      <c r="I438" s="1"/>
      <c r="J438" s="1"/>
      <c r="K438" s="1"/>
      <c r="L438" s="1"/>
      <c r="M438" s="1"/>
      <c r="N438" s="1"/>
      <c r="O438" s="1"/>
      <c r="P438" s="1"/>
      <c r="Q438" s="1"/>
      <c r="R438" s="1"/>
      <c r="S438" s="1"/>
      <c r="T438" s="1"/>
      <c r="U438" s="1"/>
      <c r="V438" s="1"/>
      <c r="W438" s="1"/>
      <c r="X438" s="1"/>
      <c r="Y438" s="1"/>
      <c r="Z438" s="1"/>
    </row>
    <row r="439" spans="1:26" ht="12.75">
      <c r="A439" s="1" t="s">
        <v>91</v>
      </c>
      <c r="B439" s="1" t="s">
        <v>2</v>
      </c>
      <c r="C439" s="1">
        <v>3.24</v>
      </c>
      <c r="D439" s="1">
        <f>IF(B439="","",IFERROR(VLOOKUP(B439,'ITEM LIST'!B:M,12,0)*C439,0))</f>
        <v>1.5552000000000001</v>
      </c>
      <c r="E439" s="1">
        <f t="shared" si="15"/>
        <v>209.23839757329793</v>
      </c>
      <c r="F439" s="20"/>
      <c r="G439" s="1"/>
      <c r="H439" s="1"/>
      <c r="I439" s="1"/>
      <c r="J439" s="1"/>
      <c r="K439" s="1"/>
      <c r="L439" s="1"/>
      <c r="M439" s="1"/>
      <c r="N439" s="1"/>
      <c r="O439" s="1"/>
      <c r="P439" s="1"/>
      <c r="Q439" s="1"/>
      <c r="R439" s="1"/>
      <c r="S439" s="1"/>
      <c r="T439" s="1"/>
      <c r="U439" s="1"/>
      <c r="V439" s="1"/>
      <c r="W439" s="1"/>
      <c r="X439" s="1"/>
      <c r="Y439" s="1"/>
      <c r="Z439" s="1"/>
    </row>
    <row r="440" spans="1:26" ht="12.75">
      <c r="A440" s="1"/>
      <c r="B440" s="1" t="s">
        <v>371</v>
      </c>
      <c r="C440" s="1"/>
      <c r="D440" s="1" t="str">
        <f>IF(B440="","",IFERROR(VLOOKUP(B440,'ITEM LIST'!B:M,12,0)*C440,0))</f>
        <v/>
      </c>
      <c r="E440" s="1" t="str">
        <f t="shared" si="15"/>
        <v/>
      </c>
      <c r="F440" s="20"/>
      <c r="G440" s="1"/>
      <c r="H440" s="1"/>
      <c r="I440" s="1"/>
      <c r="J440" s="1"/>
      <c r="K440" s="1"/>
      <c r="L440" s="1"/>
      <c r="M440" s="1"/>
      <c r="N440" s="1"/>
      <c r="O440" s="1"/>
      <c r="P440" s="1"/>
      <c r="Q440" s="1"/>
      <c r="R440" s="1"/>
      <c r="S440" s="1"/>
      <c r="T440" s="1"/>
      <c r="U440" s="1"/>
      <c r="V440" s="1"/>
      <c r="W440" s="1"/>
      <c r="X440" s="1"/>
      <c r="Y440" s="1"/>
      <c r="Z440" s="1"/>
    </row>
    <row r="441" spans="1:26" ht="12.75">
      <c r="A441" s="1" t="s">
        <v>110</v>
      </c>
      <c r="B441" s="1" t="s">
        <v>39</v>
      </c>
      <c r="C441" s="1">
        <v>100</v>
      </c>
      <c r="D441" s="1">
        <f>IF(B441="","",IFERROR(VLOOKUP(B441,'ITEM LIST'!B:M,12,0)*C441,0))</f>
        <v>3.5000000000000004</v>
      </c>
      <c r="E441" s="1">
        <f t="shared" si="15"/>
        <v>3.9440000000000004</v>
      </c>
      <c r="F441" s="20"/>
      <c r="G441" s="1"/>
      <c r="H441" s="1"/>
      <c r="I441" s="1"/>
      <c r="J441" s="1"/>
      <c r="K441" s="1"/>
      <c r="L441" s="1"/>
      <c r="M441" s="1"/>
      <c r="N441" s="1"/>
      <c r="O441" s="1"/>
      <c r="P441" s="1"/>
      <c r="Q441" s="1"/>
      <c r="R441" s="1"/>
      <c r="S441" s="1"/>
      <c r="T441" s="1"/>
      <c r="U441" s="1"/>
      <c r="V441" s="1"/>
      <c r="W441" s="1"/>
      <c r="X441" s="1"/>
      <c r="Y441" s="1"/>
      <c r="Z441" s="1"/>
    </row>
    <row r="442" spans="1:26" ht="12.75">
      <c r="A442" s="1" t="s">
        <v>110</v>
      </c>
      <c r="B442" s="1" t="s">
        <v>670</v>
      </c>
      <c r="C442" s="1">
        <v>3</v>
      </c>
      <c r="D442" s="1">
        <f>IF(B442="","",IFERROR(VLOOKUP(B442,'ITEM LIST'!B:M,12,0)*C442,0))</f>
        <v>0.36</v>
      </c>
      <c r="E442" s="1">
        <f t="shared" si="15"/>
        <v>3.9440000000000004</v>
      </c>
      <c r="F442" s="20"/>
      <c r="G442" s="1"/>
      <c r="H442" s="1"/>
      <c r="I442" s="1"/>
      <c r="J442" s="1"/>
      <c r="K442" s="1"/>
      <c r="L442" s="1"/>
      <c r="M442" s="1"/>
      <c r="N442" s="1"/>
      <c r="O442" s="1"/>
      <c r="P442" s="1"/>
      <c r="Q442" s="1"/>
      <c r="R442" s="1"/>
      <c r="S442" s="1"/>
      <c r="T442" s="1"/>
      <c r="U442" s="1"/>
      <c r="V442" s="1"/>
      <c r="W442" s="1"/>
      <c r="X442" s="1"/>
      <c r="Y442" s="1"/>
      <c r="Z442" s="1"/>
    </row>
    <row r="443" spans="1:26" ht="12.75">
      <c r="A443" s="1" t="s">
        <v>110</v>
      </c>
      <c r="B443" s="1" t="s">
        <v>114</v>
      </c>
      <c r="C443" s="1">
        <v>3</v>
      </c>
      <c r="D443" s="1">
        <f>IF(B443="","",IFERROR(VLOOKUP(B443,'ITEM LIST'!B:M,12,0)*C443,0))</f>
        <v>8.4000000000000005E-2</v>
      </c>
      <c r="E443" s="1">
        <f t="shared" si="15"/>
        <v>3.9440000000000004</v>
      </c>
      <c r="F443" s="20"/>
      <c r="G443" s="1"/>
      <c r="H443" s="1"/>
      <c r="I443" s="1"/>
      <c r="J443" s="1"/>
      <c r="K443" s="1"/>
      <c r="L443" s="1"/>
      <c r="M443" s="1"/>
      <c r="N443" s="1"/>
      <c r="O443" s="1"/>
      <c r="P443" s="1"/>
      <c r="Q443" s="1"/>
      <c r="R443" s="1"/>
      <c r="S443" s="1"/>
      <c r="T443" s="1"/>
      <c r="U443" s="1"/>
      <c r="V443" s="1"/>
      <c r="W443" s="1"/>
      <c r="X443" s="1"/>
      <c r="Y443" s="1"/>
      <c r="Z443" s="1"/>
    </row>
    <row r="444" spans="1:26" ht="12.75">
      <c r="A444" s="1"/>
      <c r="B444" s="1" t="s">
        <v>371</v>
      </c>
      <c r="C444" s="1"/>
      <c r="D444" s="1" t="str">
        <f>IF(B444="","",IFERROR(VLOOKUP(B444,'ITEM LIST'!B:M,12,0)*C444,0))</f>
        <v/>
      </c>
      <c r="E444" s="1" t="str">
        <f t="shared" si="15"/>
        <v/>
      </c>
      <c r="F444" s="20"/>
      <c r="G444" s="1"/>
      <c r="H444" s="1"/>
      <c r="I444" s="1"/>
      <c r="J444" s="1"/>
      <c r="K444" s="1"/>
      <c r="L444" s="1"/>
      <c r="M444" s="1"/>
      <c r="N444" s="1"/>
      <c r="O444" s="1"/>
      <c r="P444" s="1"/>
      <c r="Q444" s="1"/>
      <c r="R444" s="1"/>
      <c r="S444" s="1"/>
      <c r="T444" s="1"/>
      <c r="U444" s="1"/>
      <c r="V444" s="1"/>
      <c r="W444" s="1"/>
      <c r="X444" s="1"/>
      <c r="Y444" s="1"/>
      <c r="Z444" s="1"/>
    </row>
    <row r="445" spans="1:26" ht="12.75">
      <c r="A445" s="1" t="s">
        <v>105</v>
      </c>
      <c r="B445" s="1" t="s">
        <v>39</v>
      </c>
      <c r="C445" s="1">
        <v>10.16260162601626</v>
      </c>
      <c r="D445" s="1">
        <f>IF(B445="","",IFERROR(VLOOKUP(B445,'ITEM LIST'!B:M,12,0)*C445,0))</f>
        <v>0.35569105691056913</v>
      </c>
      <c r="E445" s="1">
        <f t="shared" si="15"/>
        <v>9.7477845528455287</v>
      </c>
      <c r="F445" s="20"/>
      <c r="G445" s="1"/>
      <c r="H445" s="1"/>
      <c r="I445" s="1"/>
      <c r="J445" s="1"/>
      <c r="K445" s="1"/>
      <c r="L445" s="1"/>
      <c r="M445" s="1"/>
      <c r="N445" s="1"/>
      <c r="O445" s="1"/>
      <c r="P445" s="1"/>
      <c r="Q445" s="1"/>
      <c r="R445" s="1"/>
      <c r="S445" s="1"/>
      <c r="T445" s="1"/>
      <c r="U445" s="1"/>
      <c r="V445" s="1"/>
      <c r="W445" s="1"/>
      <c r="X445" s="1"/>
      <c r="Y445" s="1"/>
      <c r="Z445" s="1"/>
    </row>
    <row r="446" spans="1:26" ht="12.75">
      <c r="A446" s="1" t="s">
        <v>105</v>
      </c>
      <c r="B446" s="1" t="s">
        <v>512</v>
      </c>
      <c r="C446" s="1">
        <v>30</v>
      </c>
      <c r="D446" s="1">
        <f>IF(B446="","",IFERROR(VLOOKUP(B446,'ITEM LIST'!B:M,12,0)*C446,0))</f>
        <v>1.5</v>
      </c>
      <c r="E446" s="1">
        <f t="shared" si="15"/>
        <v>9.7477845528455287</v>
      </c>
      <c r="F446" s="20"/>
      <c r="G446" s="1"/>
      <c r="H446" s="1"/>
      <c r="I446" s="1"/>
      <c r="J446" s="1"/>
      <c r="K446" s="1"/>
      <c r="L446" s="1"/>
      <c r="M446" s="1"/>
      <c r="N446" s="1"/>
      <c r="O446" s="1"/>
      <c r="P446" s="1"/>
      <c r="Q446" s="1"/>
      <c r="R446" s="1"/>
      <c r="S446" s="1"/>
      <c r="T446" s="1"/>
      <c r="U446" s="1"/>
      <c r="V446" s="1"/>
      <c r="W446" s="1"/>
      <c r="X446" s="1"/>
      <c r="Y446" s="1"/>
      <c r="Z446" s="1"/>
    </row>
    <row r="447" spans="1:26" ht="12.75">
      <c r="A447" s="1" t="s">
        <v>105</v>
      </c>
      <c r="B447" s="1" t="s">
        <v>380</v>
      </c>
      <c r="C447" s="1">
        <v>12.195121951219512</v>
      </c>
      <c r="D447" s="1">
        <f>IF(B447="","",IFERROR(VLOOKUP(B447,'ITEM LIST'!B:M,12,0)*C447,0))</f>
        <v>6.5040243902439032</v>
      </c>
      <c r="E447" s="1">
        <f t="shared" si="15"/>
        <v>9.7477845528455287</v>
      </c>
      <c r="F447" s="20"/>
      <c r="G447" s="1"/>
      <c r="H447" s="1"/>
      <c r="I447" s="1"/>
      <c r="J447" s="1"/>
      <c r="K447" s="1"/>
      <c r="L447" s="1"/>
      <c r="M447" s="1"/>
      <c r="N447" s="1"/>
      <c r="O447" s="1"/>
      <c r="P447" s="1"/>
      <c r="Q447" s="1"/>
      <c r="R447" s="1"/>
      <c r="S447" s="1"/>
      <c r="T447" s="1"/>
      <c r="U447" s="1"/>
      <c r="V447" s="1"/>
      <c r="W447" s="1"/>
      <c r="X447" s="1"/>
      <c r="Y447" s="1"/>
      <c r="Z447" s="1"/>
    </row>
    <row r="448" spans="1:26" ht="12.75">
      <c r="A448" s="1" t="s">
        <v>105</v>
      </c>
      <c r="B448" s="1" t="s">
        <v>40</v>
      </c>
      <c r="C448" s="1">
        <v>2.0325203252032518</v>
      </c>
      <c r="D448" s="1">
        <f>IF(B448="","",IFERROR(VLOOKUP(B448,'ITEM LIST'!B:M,12,0)*C448,0))</f>
        <v>6.5040650406504058E-2</v>
      </c>
      <c r="E448" s="1">
        <f t="shared" si="15"/>
        <v>9.7477845528455287</v>
      </c>
      <c r="F448" s="20"/>
      <c r="G448" s="1"/>
      <c r="H448" s="1"/>
      <c r="I448" s="1"/>
      <c r="J448" s="1"/>
      <c r="K448" s="1"/>
      <c r="L448" s="1"/>
      <c r="M448" s="1"/>
      <c r="N448" s="1"/>
      <c r="O448" s="1"/>
      <c r="P448" s="1"/>
      <c r="Q448" s="1"/>
      <c r="R448" s="1"/>
      <c r="S448" s="1"/>
      <c r="T448" s="1"/>
      <c r="U448" s="1"/>
      <c r="V448" s="1"/>
      <c r="W448" s="1"/>
      <c r="X448" s="1"/>
      <c r="Y448" s="1"/>
      <c r="Z448" s="1"/>
    </row>
    <row r="449" spans="1:26" ht="12.75">
      <c r="A449" s="1" t="s">
        <v>105</v>
      </c>
      <c r="B449" s="1" t="s">
        <v>384</v>
      </c>
      <c r="C449" s="1">
        <v>0.50813008130081294</v>
      </c>
      <c r="D449" s="1">
        <f>IF(B449="","",IFERROR(VLOOKUP(B449,'ITEM LIST'!B:M,12,0)*C449,0))</f>
        <v>1.7784552845528455E-2</v>
      </c>
      <c r="E449" s="1">
        <f t="shared" si="15"/>
        <v>9.7477845528455287</v>
      </c>
      <c r="F449" s="20"/>
      <c r="G449" s="1"/>
      <c r="H449" s="1"/>
      <c r="I449" s="1"/>
      <c r="J449" s="1"/>
      <c r="K449" s="1"/>
      <c r="L449" s="1"/>
      <c r="M449" s="1"/>
      <c r="N449" s="1"/>
      <c r="O449" s="1"/>
      <c r="P449" s="1"/>
      <c r="Q449" s="1"/>
      <c r="R449" s="1"/>
      <c r="S449" s="1"/>
      <c r="T449" s="1"/>
      <c r="U449" s="1"/>
      <c r="V449" s="1"/>
      <c r="W449" s="1"/>
      <c r="X449" s="1"/>
      <c r="Y449" s="1"/>
      <c r="Z449" s="1"/>
    </row>
    <row r="450" spans="1:26" ht="12.75">
      <c r="A450" s="1" t="s">
        <v>105</v>
      </c>
      <c r="B450" s="1" t="s">
        <v>581</v>
      </c>
      <c r="C450" s="1">
        <v>0.10162601626016261</v>
      </c>
      <c r="D450" s="1">
        <f>IF(B450="","",IFERROR(VLOOKUP(B450,'ITEM LIST'!B:M,12,0)*C450,0))</f>
        <v>0.20325203252032523</v>
      </c>
      <c r="E450" s="1">
        <f t="shared" si="15"/>
        <v>9.7477845528455287</v>
      </c>
      <c r="F450" s="20"/>
      <c r="G450" s="1"/>
      <c r="H450" s="1"/>
      <c r="I450" s="1"/>
      <c r="J450" s="1"/>
      <c r="K450" s="1"/>
      <c r="L450" s="1"/>
      <c r="M450" s="1"/>
      <c r="N450" s="1"/>
      <c r="O450" s="1"/>
      <c r="P450" s="1"/>
      <c r="Q450" s="1"/>
      <c r="R450" s="1"/>
      <c r="S450" s="1"/>
      <c r="T450" s="1"/>
      <c r="U450" s="1"/>
      <c r="V450" s="1"/>
      <c r="W450" s="1"/>
      <c r="X450" s="1"/>
      <c r="Y450" s="1"/>
      <c r="Z450" s="1"/>
    </row>
    <row r="451" spans="1:26" ht="12.75">
      <c r="A451" s="1" t="s">
        <v>105</v>
      </c>
      <c r="B451" s="1" t="s">
        <v>355</v>
      </c>
      <c r="C451" s="1">
        <v>2.4390243902439025E-2</v>
      </c>
      <c r="D451" s="1">
        <f>IF(B451="","",IFERROR(VLOOKUP(B451,'ITEM LIST'!B:M,12,0)*C451,0))</f>
        <v>3.9024390243902443E-3</v>
      </c>
      <c r="E451" s="1">
        <f t="shared" si="15"/>
        <v>9.7477845528455287</v>
      </c>
      <c r="F451" s="20"/>
      <c r="G451" s="1"/>
      <c r="H451" s="1"/>
      <c r="I451" s="1"/>
      <c r="J451" s="1"/>
      <c r="K451" s="1"/>
      <c r="L451" s="1"/>
      <c r="M451" s="1"/>
      <c r="N451" s="1"/>
      <c r="O451" s="1"/>
      <c r="P451" s="1"/>
      <c r="Q451" s="1"/>
      <c r="R451" s="1"/>
      <c r="S451" s="1"/>
      <c r="T451" s="1"/>
      <c r="U451" s="1"/>
      <c r="V451" s="1"/>
      <c r="W451" s="1"/>
      <c r="X451" s="1"/>
      <c r="Y451" s="1"/>
      <c r="Z451" s="1"/>
    </row>
    <row r="452" spans="1:26" ht="12.75">
      <c r="A452" s="1" t="s">
        <v>105</v>
      </c>
      <c r="B452" s="1" t="s">
        <v>356</v>
      </c>
      <c r="C452" s="1">
        <v>4.0650406504065036E-3</v>
      </c>
      <c r="D452" s="1">
        <f>IF(B452="","",IFERROR(VLOOKUP(B452,'ITEM LIST'!B:M,12,0)*C452,0))</f>
        <v>5.2845528455284553E-4</v>
      </c>
      <c r="E452" s="1">
        <f t="shared" si="15"/>
        <v>9.7477845528455287</v>
      </c>
      <c r="F452" s="20"/>
      <c r="G452" s="1"/>
      <c r="H452" s="1"/>
      <c r="I452" s="1"/>
      <c r="J452" s="1"/>
      <c r="K452" s="1"/>
      <c r="L452" s="1"/>
      <c r="M452" s="1"/>
      <c r="N452" s="1"/>
      <c r="O452" s="1"/>
      <c r="P452" s="1"/>
      <c r="Q452" s="1"/>
      <c r="R452" s="1"/>
      <c r="S452" s="1"/>
      <c r="T452" s="1"/>
      <c r="U452" s="1"/>
      <c r="V452" s="1"/>
      <c r="W452" s="1"/>
      <c r="X452" s="1"/>
      <c r="Y452" s="1"/>
      <c r="Z452" s="1"/>
    </row>
    <row r="453" spans="1:26" ht="12.75">
      <c r="A453" s="1" t="s">
        <v>105</v>
      </c>
      <c r="B453" s="1" t="s">
        <v>17</v>
      </c>
      <c r="C453" s="1">
        <v>4.0650406504065035</v>
      </c>
      <c r="D453" s="1">
        <f>IF(B453="","",IFERROR(VLOOKUP(B453,'ITEM LIST'!B:M,12,0)*C453,0))</f>
        <v>1.097560975609756</v>
      </c>
      <c r="E453" s="1">
        <f t="shared" si="15"/>
        <v>9.7477845528455287</v>
      </c>
      <c r="F453" s="20"/>
      <c r="G453" s="1"/>
      <c r="H453" s="1"/>
      <c r="I453" s="1"/>
      <c r="J453" s="1"/>
      <c r="K453" s="1"/>
      <c r="L453" s="1"/>
      <c r="M453" s="1"/>
      <c r="N453" s="1"/>
      <c r="O453" s="1"/>
      <c r="P453" s="1"/>
      <c r="Q453" s="1"/>
      <c r="R453" s="1"/>
      <c r="S453" s="1"/>
      <c r="T453" s="1"/>
      <c r="U453" s="1"/>
      <c r="V453" s="1"/>
      <c r="W453" s="1"/>
      <c r="X453" s="1"/>
      <c r="Y453" s="1"/>
      <c r="Z453" s="1"/>
    </row>
    <row r="454" spans="1:26" ht="12.75">
      <c r="A454" s="1"/>
      <c r="B454" s="1"/>
      <c r="C454" s="1"/>
      <c r="D454" s="1" t="str">
        <f>IF(B454="","",IFERROR(VLOOKUP(B454,'ITEM LIST'!B:M,12,0)*C454,0))</f>
        <v/>
      </c>
      <c r="E454" s="1" t="str">
        <f t="shared" si="15"/>
        <v/>
      </c>
      <c r="F454" s="1"/>
      <c r="G454" s="1"/>
      <c r="H454" s="1"/>
      <c r="I454" s="1"/>
      <c r="J454" s="1"/>
      <c r="K454" s="1"/>
      <c r="L454" s="1"/>
      <c r="M454" s="1"/>
      <c r="N454" s="1"/>
      <c r="O454" s="1"/>
      <c r="P454" s="1"/>
      <c r="Q454" s="1"/>
      <c r="R454" s="1"/>
      <c r="S454" s="1"/>
      <c r="T454" s="1"/>
      <c r="U454" s="1"/>
      <c r="V454" s="1"/>
      <c r="W454" s="1"/>
      <c r="X454" s="1"/>
      <c r="Y454" s="1"/>
      <c r="Z454" s="1"/>
    </row>
    <row r="455" spans="1:26" ht="12.75">
      <c r="A455" s="1" t="s">
        <v>656</v>
      </c>
      <c r="B455" s="1" t="s">
        <v>10</v>
      </c>
      <c r="C455">
        <v>600</v>
      </c>
      <c r="D455" s="1">
        <f>IF(B455="","",IFERROR(VLOOKUP(B455,'ITEM LIST'!B:M,12,0)*C455,0))</f>
        <v>10.799999999999999</v>
      </c>
      <c r="E455" s="1">
        <f t="shared" si="15"/>
        <v>134.50650000000002</v>
      </c>
      <c r="F455" s="1"/>
      <c r="G455" s="1"/>
      <c r="H455" s="1"/>
      <c r="I455" s="1"/>
      <c r="J455" s="1"/>
      <c r="K455" s="1"/>
      <c r="L455" s="1"/>
      <c r="M455" s="1"/>
      <c r="N455" s="1"/>
      <c r="O455" s="1"/>
      <c r="P455" s="1"/>
      <c r="Q455" s="1"/>
      <c r="R455" s="1"/>
      <c r="S455" s="1"/>
      <c r="T455" s="1"/>
      <c r="U455" s="1"/>
      <c r="V455" s="1"/>
      <c r="W455" s="1"/>
      <c r="X455" s="1"/>
      <c r="Y455" s="1"/>
      <c r="Z455" s="1"/>
    </row>
    <row r="456" spans="1:26" ht="15">
      <c r="A456" s="1" t="s">
        <v>656</v>
      </c>
      <c r="B456" s="23" t="s">
        <v>335</v>
      </c>
      <c r="C456">
        <v>30</v>
      </c>
      <c r="D456" s="1">
        <f>IF(B456="","",IFERROR(VLOOKUP(B456,'ITEM LIST'!B:M,12,0)*C456,0))</f>
        <v>9</v>
      </c>
      <c r="E456" s="1">
        <f t="shared" si="15"/>
        <v>134.50650000000002</v>
      </c>
      <c r="F456" s="1"/>
      <c r="G456" s="1"/>
      <c r="H456" s="1"/>
      <c r="I456" s="1"/>
      <c r="J456" s="1"/>
      <c r="K456" s="1"/>
      <c r="L456" s="1"/>
      <c r="M456" s="1"/>
      <c r="N456" s="1"/>
      <c r="O456" s="1"/>
      <c r="P456" s="1"/>
      <c r="Q456" s="1"/>
      <c r="R456" s="1"/>
      <c r="S456" s="1"/>
      <c r="T456" s="1"/>
      <c r="U456" s="1"/>
      <c r="V456" s="1"/>
      <c r="W456" s="1"/>
      <c r="X456" s="1"/>
      <c r="Y456" s="1"/>
      <c r="Z456" s="1"/>
    </row>
    <row r="457" spans="1:26" ht="12.75">
      <c r="A457" s="1" t="s">
        <v>656</v>
      </c>
      <c r="B457" s="1" t="s">
        <v>9</v>
      </c>
      <c r="C457">
        <v>30</v>
      </c>
      <c r="D457" s="1">
        <f>IF(B457="","",IFERROR(VLOOKUP(B457,'ITEM LIST'!B:M,12,0)*C457,0))</f>
        <v>0</v>
      </c>
      <c r="E457" s="1">
        <f t="shared" si="15"/>
        <v>134.50650000000002</v>
      </c>
      <c r="F457" s="1"/>
      <c r="G457" s="1"/>
      <c r="H457" s="1"/>
      <c r="I457" s="1"/>
      <c r="J457" s="1"/>
      <c r="K457" s="1"/>
      <c r="L457" s="1"/>
      <c r="M457" s="1"/>
      <c r="N457" s="1"/>
      <c r="O457" s="1"/>
      <c r="P457" s="1"/>
      <c r="Q457" s="1"/>
      <c r="R457" s="1"/>
      <c r="S457" s="1"/>
      <c r="T457" s="1"/>
      <c r="U457" s="1"/>
      <c r="V457" s="1"/>
      <c r="W457" s="1"/>
      <c r="X457" s="1"/>
      <c r="Y457" s="1"/>
      <c r="Z457" s="1"/>
    </row>
    <row r="458" spans="1:26" ht="15">
      <c r="A458" s="1" t="s">
        <v>656</v>
      </c>
      <c r="B458" s="2" t="s">
        <v>332</v>
      </c>
      <c r="C458">
        <v>30</v>
      </c>
      <c r="D458" s="1">
        <f>IF(B458="","",IFERROR(VLOOKUP(B458,'ITEM LIST'!B:M,12,0)*C458,0))</f>
        <v>10.5</v>
      </c>
      <c r="E458" s="1">
        <f t="shared" si="15"/>
        <v>134.50650000000002</v>
      </c>
      <c r="F458" s="1"/>
      <c r="G458" s="1"/>
      <c r="H458" s="1"/>
      <c r="I458" s="1"/>
      <c r="J458" s="1"/>
      <c r="K458" s="1"/>
      <c r="L458" s="1"/>
      <c r="M458" s="1"/>
      <c r="N458" s="1"/>
      <c r="O458" s="1"/>
      <c r="P458" s="1"/>
      <c r="Q458" s="1"/>
      <c r="R458" s="1"/>
      <c r="S458" s="1"/>
      <c r="T458" s="1"/>
      <c r="U458" s="1"/>
      <c r="V458" s="1"/>
      <c r="W458" s="1"/>
      <c r="X458" s="1"/>
      <c r="Y458" s="1"/>
      <c r="Z458" s="1"/>
    </row>
    <row r="459" spans="1:26" ht="12.75">
      <c r="A459" s="1" t="s">
        <v>656</v>
      </c>
      <c r="B459" s="1" t="s">
        <v>114</v>
      </c>
      <c r="C459">
        <v>30</v>
      </c>
      <c r="D459" s="1">
        <f>IF(B459="","",IFERROR(VLOOKUP(B459,'ITEM LIST'!B:M,12,0)*C459,0))</f>
        <v>0.84</v>
      </c>
      <c r="E459" s="1">
        <f t="shared" si="15"/>
        <v>134.50650000000002</v>
      </c>
      <c r="F459" s="1"/>
      <c r="G459" s="1"/>
      <c r="H459" s="1"/>
      <c r="I459" s="1"/>
      <c r="J459" s="1"/>
      <c r="K459" s="1"/>
      <c r="L459" s="1"/>
      <c r="M459" s="1"/>
      <c r="N459" s="1"/>
      <c r="O459" s="1"/>
      <c r="P459" s="1"/>
      <c r="Q459" s="1"/>
      <c r="R459" s="1"/>
      <c r="S459" s="1"/>
      <c r="T459" s="1"/>
      <c r="U459" s="1"/>
      <c r="V459" s="1"/>
      <c r="W459" s="1"/>
      <c r="X459" s="1"/>
      <c r="Y459" s="1"/>
      <c r="Z459" s="1"/>
    </row>
    <row r="460" spans="1:26" ht="12.75">
      <c r="A460" s="1" t="s">
        <v>656</v>
      </c>
      <c r="B460" s="13" t="s">
        <v>23</v>
      </c>
      <c r="C460">
        <v>20</v>
      </c>
      <c r="D460" s="1">
        <f>IF(B460="","",IFERROR(VLOOKUP(B460,'ITEM LIST'!B:M,12,0)*C460,0))</f>
        <v>2.92</v>
      </c>
      <c r="E460" s="1">
        <f t="shared" si="15"/>
        <v>134.50650000000002</v>
      </c>
      <c r="F460" s="1"/>
      <c r="G460" s="1"/>
      <c r="H460" s="1"/>
      <c r="I460" s="1"/>
      <c r="J460" s="1"/>
      <c r="K460" s="1"/>
      <c r="L460" s="1"/>
      <c r="M460" s="1"/>
      <c r="N460" s="1"/>
      <c r="O460" s="1"/>
      <c r="P460" s="1"/>
      <c r="Q460" s="1"/>
      <c r="R460" s="1"/>
      <c r="S460" s="1"/>
      <c r="T460" s="1"/>
      <c r="U460" s="1"/>
      <c r="V460" s="1"/>
      <c r="W460" s="1"/>
      <c r="X460" s="1"/>
      <c r="Y460" s="1"/>
      <c r="Z460" s="1"/>
    </row>
    <row r="461" spans="1:26" ht="12.75">
      <c r="A461" s="1" t="s">
        <v>656</v>
      </c>
      <c r="B461" s="1" t="s">
        <v>52</v>
      </c>
      <c r="C461">
        <v>20</v>
      </c>
      <c r="D461" s="1">
        <f>IF(B461="","",IFERROR(VLOOKUP(B461,'ITEM LIST'!B:M,12,0)*C461,0))</f>
        <v>13</v>
      </c>
      <c r="E461" s="1">
        <f t="shared" si="15"/>
        <v>134.50650000000002</v>
      </c>
      <c r="F461" s="1"/>
      <c r="G461" s="1"/>
      <c r="H461" s="1"/>
      <c r="I461" s="1"/>
      <c r="J461" s="1"/>
      <c r="K461" s="1"/>
      <c r="L461" s="1"/>
      <c r="M461" s="1"/>
      <c r="N461" s="1"/>
      <c r="O461" s="1"/>
      <c r="P461" s="1"/>
      <c r="Q461" s="1"/>
      <c r="R461" s="1"/>
      <c r="S461" s="1"/>
      <c r="T461" s="1"/>
      <c r="U461" s="1"/>
      <c r="V461" s="1"/>
      <c r="W461" s="1"/>
      <c r="X461" s="1"/>
      <c r="Y461" s="1"/>
      <c r="Z461" s="1"/>
    </row>
    <row r="462" spans="1:26" ht="12.75">
      <c r="A462" s="1" t="s">
        <v>656</v>
      </c>
      <c r="B462" s="1" t="s">
        <v>37</v>
      </c>
      <c r="C462">
        <v>20</v>
      </c>
      <c r="D462" s="1">
        <f>IF(B462="","",IFERROR(VLOOKUP(B462,'ITEM LIST'!B:M,12,0)*C462,0))</f>
        <v>4</v>
      </c>
      <c r="E462" s="1">
        <f t="shared" si="15"/>
        <v>134.50650000000002</v>
      </c>
      <c r="F462" s="1"/>
      <c r="G462" s="1"/>
      <c r="H462" s="1"/>
      <c r="I462" s="1"/>
      <c r="J462" s="1"/>
      <c r="K462" s="1"/>
      <c r="L462" s="1"/>
      <c r="M462" s="1"/>
      <c r="N462" s="1"/>
      <c r="O462" s="1"/>
      <c r="P462" s="1"/>
      <c r="Q462" s="1"/>
      <c r="R462" s="1"/>
      <c r="S462" s="1"/>
      <c r="T462" s="1"/>
      <c r="U462" s="1"/>
      <c r="V462" s="1"/>
      <c r="W462" s="1"/>
      <c r="X462" s="1"/>
      <c r="Y462" s="1"/>
      <c r="Z462" s="1"/>
    </row>
    <row r="463" spans="1:26" ht="12.75">
      <c r="A463" s="1" t="s">
        <v>656</v>
      </c>
      <c r="B463" s="1" t="s">
        <v>323</v>
      </c>
      <c r="C463">
        <v>20</v>
      </c>
      <c r="D463" s="1">
        <f>IF(B463="","",IFERROR(VLOOKUP(B463,'ITEM LIST'!B:M,12,0)*C463,0))</f>
        <v>0.70000000000000007</v>
      </c>
      <c r="E463" s="1">
        <f t="shared" si="15"/>
        <v>134.50650000000002</v>
      </c>
      <c r="F463" s="1"/>
      <c r="G463" s="1"/>
      <c r="H463" s="1"/>
      <c r="I463" s="1"/>
      <c r="J463" s="1"/>
      <c r="K463" s="1"/>
      <c r="L463" s="1"/>
      <c r="M463" s="1"/>
      <c r="N463" s="1"/>
      <c r="O463" s="1"/>
      <c r="P463" s="1"/>
      <c r="Q463" s="1"/>
      <c r="R463" s="1"/>
      <c r="S463" s="1"/>
      <c r="T463" s="1"/>
      <c r="U463" s="1"/>
      <c r="V463" s="1"/>
      <c r="W463" s="1"/>
      <c r="X463" s="1"/>
      <c r="Y463" s="1"/>
      <c r="Z463" s="1"/>
    </row>
    <row r="464" spans="1:26" ht="12.75">
      <c r="A464" s="1" t="s">
        <v>656</v>
      </c>
      <c r="B464" s="1" t="s">
        <v>380</v>
      </c>
      <c r="C464">
        <v>50</v>
      </c>
      <c r="D464" s="1">
        <f>IF(B464="","",IFERROR(VLOOKUP(B464,'ITEM LIST'!B:M,12,0)*C464,0))</f>
        <v>26.666500000000003</v>
      </c>
      <c r="E464" s="1">
        <f t="shared" si="15"/>
        <v>134.50650000000002</v>
      </c>
      <c r="F464" s="1"/>
      <c r="G464" s="1"/>
      <c r="H464" s="1"/>
      <c r="I464" s="1"/>
      <c r="J464" s="1"/>
      <c r="K464" s="1"/>
      <c r="L464" s="1"/>
      <c r="M464" s="1"/>
      <c r="N464" s="1"/>
      <c r="O464" s="1"/>
      <c r="P464" s="1"/>
      <c r="Q464" s="1"/>
      <c r="R464" s="1"/>
      <c r="S464" s="1"/>
      <c r="T464" s="1"/>
      <c r="U464" s="1"/>
      <c r="V464" s="1"/>
      <c r="W464" s="1"/>
      <c r="X464" s="1"/>
      <c r="Y464" s="1"/>
      <c r="Z464" s="1"/>
    </row>
    <row r="465" spans="1:26" ht="12.75">
      <c r="A465" s="1" t="s">
        <v>656</v>
      </c>
      <c r="B465" s="1" t="s">
        <v>162</v>
      </c>
      <c r="C465">
        <v>80</v>
      </c>
      <c r="D465" s="1">
        <f>IF(B465="","",IFERROR(VLOOKUP(B465,'ITEM LIST'!B:M,12,0)*C465,0))</f>
        <v>8.48</v>
      </c>
      <c r="E465" s="1">
        <f t="shared" si="15"/>
        <v>134.50650000000002</v>
      </c>
      <c r="F465" s="1"/>
      <c r="G465" s="1"/>
      <c r="H465" s="1"/>
      <c r="I465" s="1"/>
      <c r="J465" s="1"/>
      <c r="K465" s="1"/>
      <c r="L465" s="1"/>
      <c r="M465" s="1"/>
      <c r="N465" s="1"/>
      <c r="O465" s="1"/>
      <c r="P465" s="1"/>
      <c r="Q465" s="1"/>
      <c r="R465" s="1"/>
      <c r="S465" s="1"/>
      <c r="T465" s="1"/>
      <c r="U465" s="1"/>
      <c r="V465" s="1"/>
      <c r="W465" s="1"/>
      <c r="X465" s="1"/>
      <c r="Y465" s="1"/>
      <c r="Z465" s="1"/>
    </row>
    <row r="466" spans="1:26" ht="28.5">
      <c r="A466" s="1" t="s">
        <v>656</v>
      </c>
      <c r="B466" s="16" t="s">
        <v>413</v>
      </c>
      <c r="C466">
        <v>40</v>
      </c>
      <c r="D466" s="1">
        <f>IF(B466="","",IFERROR(VLOOKUP(B466,'ITEM LIST'!B:M,12,0)*C466,0))</f>
        <v>26</v>
      </c>
      <c r="E466" s="1">
        <f t="shared" si="15"/>
        <v>134.50650000000002</v>
      </c>
      <c r="F466" s="1"/>
      <c r="G466" s="1"/>
      <c r="H466" s="1"/>
      <c r="I466" s="1"/>
      <c r="J466" s="1"/>
      <c r="K466" s="1"/>
      <c r="L466" s="1"/>
      <c r="M466" s="1"/>
      <c r="N466" s="1"/>
      <c r="O466" s="1"/>
      <c r="P466" s="1"/>
      <c r="Q466" s="1"/>
      <c r="R466" s="1"/>
      <c r="S466" s="1"/>
      <c r="T466" s="1"/>
      <c r="U466" s="1"/>
      <c r="V466" s="1"/>
      <c r="W466" s="1"/>
      <c r="X466" s="1"/>
      <c r="Y466" s="1"/>
      <c r="Z466" s="1"/>
    </row>
    <row r="467" spans="1:26" ht="14.25">
      <c r="A467" s="1" t="s">
        <v>656</v>
      </c>
      <c r="B467" s="16" t="s">
        <v>415</v>
      </c>
      <c r="C467">
        <v>40</v>
      </c>
      <c r="D467" s="1">
        <f>IF(B467="","",IFERROR(VLOOKUP(B467,'ITEM LIST'!B:M,12,0)*C467,0))</f>
        <v>12</v>
      </c>
      <c r="E467" s="1">
        <f t="shared" si="15"/>
        <v>134.50650000000002</v>
      </c>
      <c r="F467" s="1"/>
      <c r="G467" s="1"/>
      <c r="H467" s="1"/>
      <c r="I467" s="1"/>
      <c r="J467" s="1"/>
      <c r="K467" s="1"/>
      <c r="L467" s="1"/>
      <c r="M467" s="1"/>
      <c r="N467" s="1"/>
      <c r="O467" s="1"/>
      <c r="P467" s="1"/>
      <c r="Q467" s="1"/>
      <c r="R467" s="1"/>
      <c r="S467" s="1"/>
      <c r="T467" s="1"/>
      <c r="U467" s="1"/>
      <c r="V467" s="1"/>
      <c r="W467" s="1"/>
      <c r="X467" s="1"/>
      <c r="Y467" s="1"/>
      <c r="Z467" s="1"/>
    </row>
    <row r="468" spans="1:26" ht="12.75">
      <c r="A468" s="1" t="s">
        <v>656</v>
      </c>
      <c r="B468" s="13" t="s">
        <v>2</v>
      </c>
      <c r="C468">
        <v>20</v>
      </c>
      <c r="D468" s="1">
        <f>IF(B468="","",IFERROR(VLOOKUP(B468,'ITEM LIST'!B:M,12,0)*C468,0))</f>
        <v>9.6</v>
      </c>
      <c r="E468" s="1">
        <f t="shared" si="15"/>
        <v>134.50650000000002</v>
      </c>
      <c r="F468" s="1"/>
      <c r="G468" s="1"/>
      <c r="H468" s="1"/>
      <c r="I468" s="1"/>
      <c r="J468" s="1"/>
      <c r="K468" s="1"/>
      <c r="L468" s="1"/>
      <c r="M468" s="1"/>
      <c r="N468" s="1"/>
      <c r="O468" s="1"/>
      <c r="P468" s="1"/>
      <c r="Q468" s="1"/>
      <c r="R468" s="1"/>
      <c r="S468" s="1"/>
      <c r="T468" s="1"/>
      <c r="U468" s="1"/>
      <c r="V468" s="1"/>
      <c r="W468" s="1"/>
      <c r="X468" s="1"/>
      <c r="Y468" s="1"/>
      <c r="Z468" s="1"/>
    </row>
    <row r="469" spans="1:26" ht="12.75">
      <c r="A469" s="1"/>
      <c r="B469" s="1"/>
      <c r="C469" s="20"/>
      <c r="D469" s="1" t="str">
        <f>IF(B469="","",IFERROR(VLOOKUP(B469,'ITEM LIST'!B:M,12,0)*C469,0))</f>
        <v/>
      </c>
      <c r="E469" s="1" t="str">
        <f t="shared" si="15"/>
        <v/>
      </c>
      <c r="F469" s="20"/>
      <c r="G469" s="1"/>
      <c r="H469" s="1"/>
      <c r="I469" s="1"/>
      <c r="J469" s="1"/>
      <c r="K469" s="1"/>
      <c r="L469" s="1"/>
      <c r="M469" s="1"/>
      <c r="N469" s="1"/>
      <c r="O469" s="1"/>
      <c r="P469" s="1"/>
      <c r="Q469" s="1"/>
      <c r="R469" s="1"/>
      <c r="S469" s="1"/>
      <c r="T469" s="1"/>
      <c r="U469" s="1"/>
      <c r="V469" s="1"/>
      <c r="W469" s="1"/>
      <c r="X469" s="1"/>
      <c r="Y469" s="1"/>
      <c r="Z469" s="1"/>
    </row>
    <row r="470" spans="1:26" ht="12.75">
      <c r="A470" s="1" t="s">
        <v>660</v>
      </c>
      <c r="B470" s="1" t="s">
        <v>522</v>
      </c>
      <c r="C470" s="198">
        <v>850</v>
      </c>
      <c r="D470" s="1">
        <f>IF(B470="","",IFERROR(VLOOKUP(B470,'ITEM LIST'!B:M,12,0)*C470,0))</f>
        <v>34</v>
      </c>
      <c r="E470" s="1">
        <f t="shared" ref="E470:E494" si="16">IF(A470="","", SUMIFS(D:D,A:A,A470))</f>
        <v>134.30000000000001</v>
      </c>
      <c r="F470" s="20"/>
      <c r="G470" s="1"/>
      <c r="H470" s="1"/>
      <c r="I470" s="1"/>
      <c r="J470" s="1"/>
      <c r="K470" s="1"/>
      <c r="L470" s="1"/>
      <c r="M470" s="1"/>
      <c r="N470" s="1"/>
      <c r="O470" s="1"/>
      <c r="P470" s="1"/>
      <c r="Q470" s="1"/>
      <c r="R470" s="1"/>
      <c r="S470" s="1"/>
      <c r="T470" s="1"/>
      <c r="U470" s="1"/>
      <c r="V470" s="1"/>
      <c r="W470" s="1"/>
      <c r="X470" s="1"/>
      <c r="Y470" s="1"/>
      <c r="Z470" s="1"/>
    </row>
    <row r="471" spans="1:26" ht="12.75">
      <c r="A471" s="1" t="s">
        <v>660</v>
      </c>
      <c r="B471" s="1" t="s">
        <v>216</v>
      </c>
      <c r="C471">
        <v>85</v>
      </c>
      <c r="D471" s="1">
        <f>IF(B471="","",IFERROR(VLOOKUP(B471,'ITEM LIST'!B:M,12,0)*C471,0))</f>
        <v>68</v>
      </c>
      <c r="E471" s="1">
        <f t="shared" si="16"/>
        <v>134.30000000000001</v>
      </c>
      <c r="F471" s="20"/>
      <c r="G471" s="1"/>
      <c r="H471" s="1"/>
      <c r="I471" s="1"/>
      <c r="J471" s="1"/>
      <c r="K471" s="1"/>
      <c r="L471" s="1"/>
      <c r="M471" s="1"/>
      <c r="N471" s="1"/>
      <c r="O471" s="1"/>
      <c r="P471" s="1"/>
      <c r="Q471" s="1"/>
      <c r="R471" s="1"/>
      <c r="S471" s="1"/>
      <c r="T471" s="1"/>
      <c r="U471" s="1"/>
      <c r="V471" s="1"/>
      <c r="W471" s="1"/>
      <c r="X471" s="1"/>
      <c r="Y471" s="1"/>
      <c r="Z471" s="1"/>
    </row>
    <row r="472" spans="1:26" ht="12.75">
      <c r="A472" s="1" t="s">
        <v>660</v>
      </c>
      <c r="B472" s="13" t="s">
        <v>341</v>
      </c>
      <c r="C472">
        <v>85</v>
      </c>
      <c r="D472" s="1">
        <f>IF(B472="","",IFERROR(VLOOKUP(B472,'ITEM LIST'!B:M,12,0)*C472,0))</f>
        <v>32.299999999999997</v>
      </c>
      <c r="E472" s="1">
        <f t="shared" si="16"/>
        <v>134.30000000000001</v>
      </c>
      <c r="F472" s="20"/>
      <c r="G472" s="1"/>
      <c r="H472" s="1"/>
      <c r="I472" s="1"/>
      <c r="J472" s="1"/>
      <c r="K472" s="1"/>
      <c r="L472" s="1"/>
      <c r="M472" s="1"/>
      <c r="N472" s="1"/>
      <c r="O472" s="1"/>
      <c r="P472" s="1"/>
      <c r="Q472" s="1"/>
      <c r="R472" s="1"/>
      <c r="S472" s="1"/>
      <c r="T472" s="1"/>
      <c r="U472" s="1"/>
      <c r="V472" s="1"/>
      <c r="W472" s="1"/>
      <c r="X472" s="1"/>
      <c r="Y472" s="1"/>
      <c r="Z472" s="1"/>
    </row>
    <row r="473" spans="1:26" ht="12.75">
      <c r="A473" s="1"/>
      <c r="B473" s="1"/>
      <c r="C473" s="20"/>
      <c r="D473" s="1" t="str">
        <f>IF(B473="","",IFERROR(VLOOKUP(B473,'ITEM LIST'!B:M,12,0)*C473,0))</f>
        <v/>
      </c>
      <c r="E473" s="1" t="str">
        <f t="shared" si="16"/>
        <v/>
      </c>
      <c r="F473" s="20"/>
      <c r="G473" s="1"/>
      <c r="H473" s="1"/>
      <c r="I473" s="1"/>
      <c r="J473" s="1"/>
      <c r="K473" s="1"/>
      <c r="L473" s="1"/>
      <c r="M473" s="1"/>
      <c r="N473" s="1"/>
      <c r="O473" s="1"/>
      <c r="P473" s="1"/>
      <c r="Q473" s="1"/>
      <c r="R473" s="1"/>
      <c r="S473" s="1"/>
      <c r="T473" s="1"/>
      <c r="U473" s="1"/>
      <c r="V473" s="1"/>
      <c r="W473" s="1"/>
      <c r="X473" s="1"/>
      <c r="Y473" s="1"/>
      <c r="Z473" s="1"/>
    </row>
    <row r="474" spans="1:26" ht="12.75">
      <c r="A474" s="13" t="s">
        <v>42</v>
      </c>
      <c r="B474" s="13" t="s">
        <v>40</v>
      </c>
      <c r="C474" s="20">
        <v>30</v>
      </c>
      <c r="D474" s="1">
        <f>IF(B474="","",IFERROR(VLOOKUP(B474,'ITEM LIST'!B:M,12,0)*C474,0))</f>
        <v>0.96</v>
      </c>
      <c r="E474" s="1">
        <f t="shared" si="16"/>
        <v>11.421520500000003</v>
      </c>
      <c r="F474" s="20"/>
      <c r="G474" s="1"/>
      <c r="H474" s="1"/>
      <c r="I474" s="1"/>
      <c r="J474" s="1"/>
      <c r="K474" s="1"/>
      <c r="L474" s="1"/>
      <c r="M474" s="1"/>
      <c r="N474" s="1"/>
      <c r="O474" s="1"/>
      <c r="P474" s="1"/>
      <c r="Q474" s="1"/>
      <c r="R474" s="1"/>
      <c r="S474" s="1"/>
      <c r="T474" s="1"/>
      <c r="U474" s="1"/>
      <c r="V474" s="1"/>
      <c r="W474" s="1"/>
      <c r="X474" s="1"/>
      <c r="Y474" s="1"/>
      <c r="Z474" s="1"/>
    </row>
    <row r="475" spans="1:26" ht="12.75">
      <c r="A475" s="13" t="s">
        <v>42</v>
      </c>
      <c r="B475" s="13" t="s">
        <v>214</v>
      </c>
      <c r="C475" s="20">
        <v>0.5</v>
      </c>
      <c r="D475" s="1">
        <f>IF(B475="","",IFERROR(VLOOKUP(B475,'ITEM LIST'!B:M,12,0)*C475,0))</f>
        <v>0.1</v>
      </c>
      <c r="E475" s="1">
        <f t="shared" si="16"/>
        <v>11.421520500000003</v>
      </c>
      <c r="F475" s="20"/>
      <c r="G475" s="1"/>
      <c r="H475" s="1"/>
      <c r="I475" s="1"/>
      <c r="J475" s="1"/>
      <c r="K475" s="1"/>
      <c r="L475" s="1"/>
      <c r="M475" s="1"/>
      <c r="N475" s="1"/>
      <c r="O475" s="1"/>
      <c r="P475" s="1"/>
      <c r="Q475" s="1"/>
      <c r="R475" s="1"/>
      <c r="S475" s="1"/>
      <c r="T475" s="1"/>
      <c r="U475" s="1"/>
      <c r="V475" s="1"/>
      <c r="W475" s="1"/>
      <c r="X475" s="1"/>
      <c r="Y475" s="1"/>
      <c r="Z475" s="1"/>
    </row>
    <row r="476" spans="1:26" ht="12.75">
      <c r="A476" s="13" t="s">
        <v>42</v>
      </c>
      <c r="B476" s="13" t="s">
        <v>657</v>
      </c>
      <c r="C476" s="20">
        <v>1</v>
      </c>
      <c r="D476" s="1">
        <f>IF(B476="","",IFERROR(VLOOKUP(B476,'ITEM LIST'!B:M,12,0)*C476,0))</f>
        <v>2.8000000000000001E-2</v>
      </c>
      <c r="E476" s="1">
        <f t="shared" si="16"/>
        <v>11.421520500000003</v>
      </c>
      <c r="F476" s="20"/>
      <c r="G476" s="1"/>
      <c r="H476" s="1"/>
      <c r="I476" s="1"/>
      <c r="J476" s="1"/>
      <c r="K476" s="1"/>
      <c r="L476" s="1"/>
      <c r="M476" s="1"/>
      <c r="N476" s="1"/>
      <c r="O476" s="1"/>
      <c r="P476" s="1"/>
      <c r="Q476" s="1"/>
      <c r="R476" s="1"/>
      <c r="S476" s="1"/>
      <c r="T476" s="1"/>
      <c r="U476" s="1"/>
      <c r="V476" s="1"/>
      <c r="W476" s="1"/>
      <c r="X476" s="1"/>
      <c r="Y476" s="1"/>
      <c r="Z476" s="1"/>
    </row>
    <row r="477" spans="1:26" ht="12.75">
      <c r="A477" s="13" t="s">
        <v>42</v>
      </c>
      <c r="B477" s="13" t="s">
        <v>658</v>
      </c>
      <c r="C477" s="201">
        <v>5</v>
      </c>
      <c r="D477" s="1">
        <f>IF(B477="","",IFERROR(VLOOKUP(B477,'ITEM LIST'!B:M,12,0)*C477,0))</f>
        <v>2.6666500000000006</v>
      </c>
      <c r="E477" s="1">
        <f t="shared" si="16"/>
        <v>11.421520500000003</v>
      </c>
      <c r="F477" s="20"/>
      <c r="G477" s="1"/>
      <c r="H477" s="1"/>
      <c r="I477" s="1"/>
      <c r="J477" s="1"/>
      <c r="K477" s="1"/>
      <c r="L477" s="1"/>
      <c r="M477" s="1"/>
      <c r="N477" s="1"/>
      <c r="O477" s="1"/>
      <c r="P477" s="1"/>
      <c r="Q477" s="1"/>
      <c r="R477" s="1"/>
      <c r="S477" s="1"/>
      <c r="T477" s="1"/>
      <c r="U477" s="1"/>
      <c r="V477" s="1"/>
      <c r="W477" s="1"/>
      <c r="X477" s="1"/>
      <c r="Y477" s="1"/>
      <c r="Z477" s="1"/>
    </row>
    <row r="478" spans="1:26" ht="12.75">
      <c r="A478" s="13" t="s">
        <v>42</v>
      </c>
      <c r="B478" s="13" t="s">
        <v>659</v>
      </c>
      <c r="C478" s="20">
        <v>6</v>
      </c>
      <c r="D478" s="1">
        <f>IF(B478="","",IFERROR(VLOOKUP(B478,'ITEM LIST'!B:M,12,0)*C478,0))</f>
        <v>0</v>
      </c>
      <c r="E478" s="1">
        <f t="shared" si="16"/>
        <v>11.421520500000003</v>
      </c>
      <c r="F478" s="20"/>
      <c r="G478" s="1"/>
      <c r="H478" s="1"/>
      <c r="I478" s="1"/>
      <c r="J478" s="1"/>
      <c r="K478" s="1"/>
      <c r="L478" s="1"/>
      <c r="M478" s="1"/>
      <c r="N478" s="1"/>
      <c r="O478" s="1"/>
      <c r="P478" s="1"/>
      <c r="Q478" s="1"/>
      <c r="R478" s="1"/>
      <c r="S478" s="1"/>
      <c r="T478" s="1"/>
      <c r="U478" s="1"/>
      <c r="V478" s="1"/>
      <c r="W478" s="1"/>
      <c r="X478" s="1"/>
      <c r="Y478" s="1"/>
      <c r="Z478" s="1"/>
    </row>
    <row r="479" spans="1:26" ht="12.75">
      <c r="A479" s="13" t="s">
        <v>42</v>
      </c>
      <c r="B479" s="1" t="s">
        <v>656</v>
      </c>
      <c r="C479" s="20">
        <v>57</v>
      </c>
      <c r="D479" s="1">
        <f>IF(B479="","",IFERROR(VLOOKUP(B479,'ITEM LIST'!B:M,12,0)*C479,0))</f>
        <v>7.6668705000000017</v>
      </c>
      <c r="E479" s="1">
        <f t="shared" si="16"/>
        <v>11.421520500000003</v>
      </c>
      <c r="F479" s="20"/>
      <c r="G479" s="1"/>
      <c r="H479" s="1"/>
      <c r="I479" s="1"/>
      <c r="J479" s="1"/>
      <c r="K479" s="1"/>
      <c r="L479" s="1"/>
      <c r="M479" s="1"/>
      <c r="N479" s="1"/>
      <c r="O479" s="1"/>
      <c r="P479" s="1"/>
      <c r="Q479" s="1"/>
      <c r="R479" s="1"/>
      <c r="S479" s="1"/>
      <c r="T479" s="1"/>
      <c r="U479" s="1"/>
      <c r="V479" s="1"/>
      <c r="W479" s="1"/>
      <c r="X479" s="1"/>
      <c r="Y479" s="1"/>
      <c r="Z479" s="1"/>
    </row>
    <row r="480" spans="1:26" ht="12.75">
      <c r="A480" s="1" t="s">
        <v>42</v>
      </c>
      <c r="B480" s="1" t="s">
        <v>674</v>
      </c>
      <c r="C480" s="200"/>
      <c r="D480" s="1">
        <f>IF(B480="","",IFERROR(VLOOKUP(B480,'ITEM LIST'!B:M,12,0)*C480,0))</f>
        <v>0</v>
      </c>
      <c r="E480" s="1">
        <f t="shared" si="16"/>
        <v>11.421520500000003</v>
      </c>
      <c r="F480" s="20"/>
      <c r="G480" s="1"/>
      <c r="H480" s="1"/>
      <c r="I480" s="1"/>
      <c r="J480" s="1"/>
      <c r="K480" s="1"/>
      <c r="L480" s="1"/>
      <c r="M480" s="1"/>
      <c r="N480" s="1"/>
      <c r="O480" s="1"/>
      <c r="P480" s="1"/>
      <c r="Q480" s="1"/>
      <c r="R480" s="1"/>
      <c r="S480" s="1"/>
      <c r="T480" s="1"/>
      <c r="U480" s="1"/>
      <c r="V480" s="1"/>
      <c r="W480" s="1"/>
      <c r="X480" s="1"/>
      <c r="Y480" s="1"/>
      <c r="Z480" s="1"/>
    </row>
    <row r="481" spans="1:26" ht="12.75">
      <c r="A481" s="13" t="s">
        <v>668</v>
      </c>
      <c r="B481" s="13" t="s">
        <v>663</v>
      </c>
      <c r="C481" s="13">
        <v>50</v>
      </c>
      <c r="D481" s="1">
        <f>IF(B481="","",IFERROR(VLOOKUP(B481,'ITEM LIST'!B:M,12,0)*C481,0))</f>
        <v>3.25</v>
      </c>
      <c r="E481" s="1">
        <f t="shared" si="16"/>
        <v>13.7765</v>
      </c>
      <c r="F481" s="20"/>
      <c r="G481" s="1"/>
      <c r="H481" s="1"/>
      <c r="I481" s="1"/>
      <c r="J481" s="1"/>
      <c r="K481" s="1"/>
      <c r="L481" s="1"/>
      <c r="M481" s="1"/>
      <c r="N481" s="1"/>
      <c r="O481" s="1"/>
      <c r="P481" s="1"/>
      <c r="Q481" s="1"/>
      <c r="R481" s="1"/>
      <c r="S481" s="1"/>
      <c r="T481" s="1"/>
      <c r="U481" s="1"/>
      <c r="V481" s="1"/>
      <c r="W481" s="1"/>
      <c r="X481" s="1"/>
      <c r="Y481" s="1"/>
      <c r="Z481" s="1"/>
    </row>
    <row r="482" spans="1:26" ht="12.75">
      <c r="A482" s="13" t="s">
        <v>668</v>
      </c>
      <c r="B482" s="13" t="s">
        <v>657</v>
      </c>
      <c r="C482" s="13">
        <v>2.5</v>
      </c>
      <c r="D482" s="1">
        <f>IF(B482="","",IFERROR(VLOOKUP(B482,'ITEM LIST'!B:M,12,0)*C482,0))</f>
        <v>7.0000000000000007E-2</v>
      </c>
      <c r="E482" s="1">
        <f t="shared" si="16"/>
        <v>13.7765</v>
      </c>
      <c r="F482" s="20"/>
      <c r="G482" s="1"/>
      <c r="H482" s="1"/>
      <c r="I482" s="1"/>
      <c r="J482" s="1"/>
      <c r="K482" s="1"/>
      <c r="L482" s="1"/>
      <c r="M482" s="1"/>
      <c r="N482" s="1"/>
      <c r="O482" s="1"/>
      <c r="P482" s="1"/>
      <c r="Q482" s="1"/>
      <c r="R482" s="1"/>
      <c r="S482" s="1"/>
      <c r="T482" s="1"/>
      <c r="U482" s="1"/>
      <c r="V482" s="1"/>
      <c r="W482" s="1"/>
      <c r="X482" s="1"/>
      <c r="Y482" s="1"/>
      <c r="Z482" s="1"/>
    </row>
    <row r="483" spans="1:26" ht="12.75">
      <c r="A483" s="13" t="s">
        <v>668</v>
      </c>
      <c r="B483" s="1" t="s">
        <v>323</v>
      </c>
      <c r="C483" s="13">
        <v>2.5</v>
      </c>
      <c r="D483" s="1">
        <f>IF(B483="","",IFERROR(VLOOKUP(B483,'ITEM LIST'!B:M,12,0)*C483,0))</f>
        <v>8.7500000000000008E-2</v>
      </c>
      <c r="E483" s="1">
        <f t="shared" si="16"/>
        <v>13.7765</v>
      </c>
      <c r="F483" s="20"/>
      <c r="G483" s="1"/>
      <c r="H483" s="1"/>
      <c r="I483" s="1"/>
      <c r="J483" s="1"/>
      <c r="K483" s="1"/>
      <c r="L483" s="1"/>
      <c r="M483" s="1"/>
      <c r="N483" s="1"/>
      <c r="O483" s="1"/>
      <c r="P483" s="1"/>
      <c r="Q483" s="1"/>
      <c r="R483" s="1"/>
      <c r="S483" s="1"/>
      <c r="T483" s="1"/>
      <c r="U483" s="1"/>
      <c r="V483" s="1"/>
      <c r="W483" s="1"/>
      <c r="X483" s="1"/>
      <c r="Y483" s="1"/>
      <c r="Z483" s="1"/>
    </row>
    <row r="484" spans="1:26" ht="12.75">
      <c r="A484" s="13" t="s">
        <v>668</v>
      </c>
      <c r="B484" s="13" t="s">
        <v>37</v>
      </c>
      <c r="C484" s="13">
        <v>2.5</v>
      </c>
      <c r="D484" s="1">
        <f>IF(B484="","",IFERROR(VLOOKUP(B484,'ITEM LIST'!B:M,12,0)*C484,0))</f>
        <v>0.5</v>
      </c>
      <c r="E484" s="1">
        <f t="shared" si="16"/>
        <v>13.7765</v>
      </c>
      <c r="F484" s="20"/>
      <c r="G484" s="1"/>
      <c r="H484" s="1"/>
      <c r="I484" s="1"/>
      <c r="J484" s="1"/>
      <c r="K484" s="1"/>
      <c r="L484" s="1"/>
      <c r="M484" s="1"/>
      <c r="N484" s="1"/>
      <c r="O484" s="1"/>
      <c r="P484" s="1"/>
      <c r="Q484" s="1"/>
      <c r="R484" s="1"/>
      <c r="S484" s="1"/>
      <c r="T484" s="1"/>
      <c r="U484" s="1"/>
      <c r="V484" s="1"/>
      <c r="W484" s="1"/>
      <c r="X484" s="1"/>
      <c r="Y484" s="1"/>
      <c r="Z484" s="1"/>
    </row>
    <row r="485" spans="1:26" ht="15">
      <c r="A485" s="13" t="s">
        <v>668</v>
      </c>
      <c r="B485" s="23" t="s">
        <v>335</v>
      </c>
      <c r="C485" s="13">
        <v>0.5</v>
      </c>
      <c r="D485" s="1">
        <f>IF(B485="","",IFERROR(VLOOKUP(B485,'ITEM LIST'!B:M,12,0)*C485,0))</f>
        <v>0.15</v>
      </c>
      <c r="E485" s="1">
        <f t="shared" si="16"/>
        <v>13.7765</v>
      </c>
      <c r="F485" s="20"/>
      <c r="G485" s="1"/>
      <c r="H485" s="1"/>
      <c r="I485" s="1"/>
      <c r="J485" s="1"/>
      <c r="K485" s="1"/>
      <c r="L485" s="1"/>
      <c r="M485" s="1"/>
      <c r="N485" s="1"/>
      <c r="O485" s="1"/>
      <c r="P485" s="1"/>
      <c r="Q485" s="1"/>
      <c r="R485" s="1"/>
      <c r="S485" s="1"/>
      <c r="T485" s="1"/>
      <c r="U485" s="1"/>
      <c r="V485" s="1"/>
      <c r="W485" s="1"/>
      <c r="X485" s="1"/>
      <c r="Y485" s="1"/>
      <c r="Z485" s="1"/>
    </row>
    <row r="486" spans="1:26" ht="12.75">
      <c r="A486" s="13" t="s">
        <v>668</v>
      </c>
      <c r="B486" s="13" t="s">
        <v>52</v>
      </c>
      <c r="C486" s="13">
        <v>2.5</v>
      </c>
      <c r="D486" s="1">
        <f>IF(B486="","",IFERROR(VLOOKUP(B486,'ITEM LIST'!B:M,12,0)*C486,0))</f>
        <v>1.625</v>
      </c>
      <c r="E486" s="1">
        <f t="shared" si="16"/>
        <v>13.7765</v>
      </c>
      <c r="F486" s="20"/>
      <c r="G486" s="1"/>
      <c r="H486" s="1"/>
      <c r="I486" s="1"/>
      <c r="J486" s="1"/>
      <c r="K486" s="1"/>
      <c r="L486" s="1"/>
      <c r="M486" s="1"/>
      <c r="N486" s="1"/>
      <c r="O486" s="1"/>
      <c r="P486" s="1"/>
      <c r="Q486" s="1"/>
      <c r="R486" s="1"/>
      <c r="S486" s="1"/>
      <c r="T486" s="1"/>
      <c r="U486" s="1"/>
      <c r="V486" s="1"/>
      <c r="W486" s="1"/>
      <c r="X486" s="1"/>
      <c r="Y486" s="1"/>
      <c r="Z486" s="1"/>
    </row>
    <row r="487" spans="1:26" ht="12.75">
      <c r="A487" s="13" t="s">
        <v>668</v>
      </c>
      <c r="B487" s="13" t="s">
        <v>9</v>
      </c>
      <c r="C487" s="13">
        <v>1</v>
      </c>
      <c r="D487" s="1">
        <f>IF(B487="","",IFERROR(VLOOKUP(B487,'ITEM LIST'!B:M,12,0)*C487,0))</f>
        <v>0</v>
      </c>
      <c r="E487" s="1">
        <f t="shared" si="16"/>
        <v>13.7765</v>
      </c>
      <c r="F487" s="20"/>
      <c r="G487" s="1"/>
      <c r="H487" s="1"/>
      <c r="I487" s="1"/>
      <c r="J487" s="1"/>
      <c r="K487" s="1"/>
      <c r="L487" s="1"/>
      <c r="M487" s="1"/>
      <c r="N487" s="1"/>
      <c r="O487" s="1"/>
      <c r="P487" s="1"/>
      <c r="Q487" s="1"/>
      <c r="R487" s="1"/>
      <c r="S487" s="1"/>
      <c r="T487" s="1"/>
      <c r="U487" s="1"/>
      <c r="V487" s="1"/>
      <c r="W487" s="1"/>
      <c r="X487" s="1"/>
      <c r="Y487" s="1"/>
      <c r="Z487" s="1"/>
    </row>
    <row r="488" spans="1:26" ht="12.75">
      <c r="A488" s="13" t="s">
        <v>668</v>
      </c>
      <c r="B488" s="13" t="s">
        <v>162</v>
      </c>
      <c r="C488" s="13">
        <v>5</v>
      </c>
      <c r="D488" s="1">
        <f>IF(B488="","",IFERROR(VLOOKUP(B488,'ITEM LIST'!B:M,12,0)*C488,0))</f>
        <v>0.53</v>
      </c>
      <c r="E488" s="1">
        <f t="shared" si="16"/>
        <v>13.7765</v>
      </c>
      <c r="F488" s="20"/>
      <c r="G488" s="1"/>
      <c r="H488" s="1"/>
      <c r="I488" s="1"/>
      <c r="J488" s="1"/>
      <c r="K488" s="1"/>
      <c r="L488" s="1"/>
      <c r="M488" s="1"/>
      <c r="N488" s="1"/>
      <c r="O488" s="1"/>
      <c r="P488" s="1"/>
      <c r="Q488" s="1"/>
      <c r="R488" s="1"/>
      <c r="S488" s="1"/>
      <c r="T488" s="1"/>
      <c r="U488" s="1"/>
      <c r="V488" s="1"/>
      <c r="W488" s="1"/>
      <c r="X488" s="1"/>
      <c r="Y488" s="1"/>
      <c r="Z488" s="1"/>
    </row>
    <row r="489" spans="1:26" ht="12.75">
      <c r="A489" s="13" t="s">
        <v>668</v>
      </c>
      <c r="B489" s="13" t="s">
        <v>415</v>
      </c>
      <c r="C489" s="13">
        <v>2.5</v>
      </c>
      <c r="D489" s="1">
        <f>IF(B489="","",IFERROR(VLOOKUP(B489,'ITEM LIST'!B:M,12,0)*C489,0))</f>
        <v>0.75</v>
      </c>
      <c r="E489" s="1">
        <f t="shared" si="16"/>
        <v>13.7765</v>
      </c>
      <c r="F489" s="20"/>
      <c r="G489" s="1"/>
      <c r="H489" s="1"/>
      <c r="I489" s="1"/>
      <c r="J489" s="1"/>
      <c r="K489" s="1"/>
      <c r="L489" s="1"/>
      <c r="M489" s="1"/>
      <c r="N489" s="1"/>
      <c r="O489" s="1"/>
      <c r="P489" s="1"/>
      <c r="Q489" s="1"/>
      <c r="R489" s="1"/>
      <c r="S489" s="1"/>
      <c r="T489" s="1"/>
      <c r="U489" s="1"/>
      <c r="V489" s="1"/>
      <c r="W489" s="1"/>
      <c r="X489" s="1"/>
      <c r="Y489" s="1"/>
      <c r="Z489" s="1"/>
    </row>
    <row r="490" spans="1:26" ht="12.75">
      <c r="A490" s="13" t="s">
        <v>668</v>
      </c>
      <c r="B490" s="1" t="s">
        <v>414</v>
      </c>
      <c r="C490" s="13">
        <v>2.5</v>
      </c>
      <c r="D490" s="1">
        <f>IF(B490="","",IFERROR(VLOOKUP(B490,'ITEM LIST'!B:M,12,0)*C490,0))</f>
        <v>1.2749999999999999</v>
      </c>
      <c r="E490" s="1">
        <f t="shared" si="16"/>
        <v>13.7765</v>
      </c>
      <c r="F490" s="20"/>
      <c r="G490" s="1"/>
      <c r="H490" s="1"/>
      <c r="I490" s="1"/>
      <c r="J490" s="1"/>
      <c r="K490" s="1"/>
      <c r="L490" s="1"/>
      <c r="M490" s="1"/>
      <c r="N490" s="1"/>
      <c r="O490" s="1"/>
      <c r="P490" s="1"/>
      <c r="Q490" s="1"/>
      <c r="R490" s="1"/>
      <c r="S490" s="1"/>
      <c r="T490" s="1"/>
      <c r="U490" s="1"/>
      <c r="V490" s="1"/>
      <c r="W490" s="1"/>
      <c r="X490" s="1"/>
      <c r="Y490" s="1"/>
      <c r="Z490" s="1"/>
    </row>
    <row r="491" spans="1:26" ht="12.75">
      <c r="A491" s="13" t="s">
        <v>668</v>
      </c>
      <c r="B491" s="13" t="s">
        <v>2</v>
      </c>
      <c r="C491" s="13">
        <v>2.5</v>
      </c>
      <c r="D491" s="1">
        <f>IF(B491="","",IFERROR(VLOOKUP(B491,'ITEM LIST'!B:M,12,0)*C491,0))</f>
        <v>1.2</v>
      </c>
      <c r="E491" s="1">
        <f t="shared" si="16"/>
        <v>13.7765</v>
      </c>
      <c r="F491" s="20"/>
      <c r="G491" s="1"/>
      <c r="H491" s="1"/>
      <c r="I491" s="1"/>
      <c r="J491" s="1"/>
      <c r="K491" s="1"/>
      <c r="L491" s="1"/>
      <c r="M491" s="1"/>
      <c r="N491" s="1"/>
      <c r="O491" s="1"/>
      <c r="P491" s="1"/>
      <c r="Q491" s="1"/>
      <c r="R491" s="1"/>
      <c r="S491" s="1"/>
      <c r="T491" s="1"/>
      <c r="U491" s="1"/>
      <c r="V491" s="1"/>
      <c r="W491" s="1"/>
      <c r="X491" s="1"/>
      <c r="Y491" s="1"/>
      <c r="Z491" s="1"/>
    </row>
    <row r="492" spans="1:26" ht="12.75">
      <c r="A492" s="13" t="s">
        <v>668</v>
      </c>
      <c r="B492" s="1" t="s">
        <v>336</v>
      </c>
      <c r="C492" s="13">
        <v>1</v>
      </c>
      <c r="D492" s="1">
        <f>IF(B492="","",IFERROR(VLOOKUP(B492,'ITEM LIST'!B:M,12,0)*C492,0))</f>
        <v>0.26600000000000001</v>
      </c>
      <c r="E492" s="1">
        <f t="shared" si="16"/>
        <v>13.7765</v>
      </c>
      <c r="F492" s="20"/>
      <c r="G492" s="1"/>
      <c r="H492" s="1"/>
      <c r="I492" s="1"/>
      <c r="J492" s="1"/>
      <c r="K492" s="1"/>
      <c r="L492" s="1"/>
      <c r="M492" s="1"/>
      <c r="N492" s="1"/>
      <c r="O492" s="1"/>
      <c r="P492" s="1"/>
      <c r="Q492" s="1"/>
      <c r="R492" s="1"/>
      <c r="S492" s="1"/>
      <c r="T492" s="1"/>
      <c r="U492" s="1"/>
      <c r="V492" s="1"/>
      <c r="W492" s="1"/>
      <c r="X492" s="1"/>
      <c r="Y492" s="1"/>
      <c r="Z492" s="1"/>
    </row>
    <row r="493" spans="1:26" ht="12.75">
      <c r="A493" s="13" t="s">
        <v>668</v>
      </c>
      <c r="B493" s="1" t="s">
        <v>384</v>
      </c>
      <c r="C493" s="13">
        <v>25</v>
      </c>
      <c r="D493" s="1">
        <f>IF(B493="","",IFERROR(VLOOKUP(B493,'ITEM LIST'!B:M,12,0)*C493,0))</f>
        <v>0.87500000000000011</v>
      </c>
      <c r="E493" s="1">
        <f t="shared" si="16"/>
        <v>13.7765</v>
      </c>
      <c r="F493" s="20"/>
      <c r="G493" s="1"/>
      <c r="H493" s="1"/>
      <c r="I493" s="1"/>
      <c r="J493" s="1"/>
      <c r="K493" s="1"/>
      <c r="L493" s="1"/>
      <c r="M493" s="1"/>
      <c r="N493" s="1"/>
      <c r="O493" s="1"/>
      <c r="P493" s="1"/>
      <c r="Q493" s="1"/>
      <c r="R493" s="1"/>
      <c r="S493" s="1"/>
      <c r="T493" s="1"/>
      <c r="U493" s="1"/>
      <c r="V493" s="1"/>
      <c r="W493" s="1"/>
      <c r="X493" s="1"/>
      <c r="Y493" s="1"/>
      <c r="Z493" s="1"/>
    </row>
    <row r="494" spans="1:26" ht="12.75">
      <c r="A494" s="13" t="s">
        <v>668</v>
      </c>
      <c r="B494" s="1" t="s">
        <v>674</v>
      </c>
      <c r="C494" s="13">
        <v>6</v>
      </c>
      <c r="D494" s="1">
        <f>IF(B494="","",IFERROR(VLOOKUP(B494,'ITEM LIST'!B:M,12,0)*C494,0))</f>
        <v>3.1980000000000004</v>
      </c>
      <c r="E494" s="1">
        <f t="shared" si="16"/>
        <v>13.7765</v>
      </c>
      <c r="F494" s="20"/>
      <c r="G494" s="1"/>
      <c r="H494" s="1"/>
      <c r="I494" s="1"/>
      <c r="J494" s="1"/>
      <c r="K494" s="1"/>
      <c r="L494" s="1"/>
      <c r="M494" s="1"/>
      <c r="N494" s="1"/>
      <c r="O494" s="1"/>
      <c r="P494" s="1"/>
      <c r="Q494" s="1"/>
      <c r="R494" s="1"/>
      <c r="S494" s="1"/>
      <c r="T494" s="1"/>
      <c r="U494" s="1"/>
      <c r="V494" s="1"/>
      <c r="W494" s="1"/>
      <c r="X494" s="1"/>
      <c r="Y494" s="1"/>
      <c r="Z494" s="1"/>
    </row>
    <row r="495" spans="1:26" ht="12.75">
      <c r="A495" s="1"/>
      <c r="B495" s="1"/>
      <c r="C495" s="20"/>
      <c r="D495" s="1" t="str">
        <f>IF(B495="","",IFERROR(VLOOKUP(B495,'ITEM LIST'!B:M,12,0)*C495,0))</f>
        <v/>
      </c>
      <c r="E495" s="1" t="str">
        <f t="shared" ref="E495:E499" si="17">IF(A495="","", SUMIFS(D:D,A:A,A495))</f>
        <v/>
      </c>
      <c r="F495" s="20"/>
      <c r="G495" s="1"/>
      <c r="H495" s="1"/>
      <c r="I495" s="1"/>
      <c r="J495" s="1"/>
      <c r="K495" s="1"/>
      <c r="L495" s="1"/>
      <c r="M495" s="1"/>
      <c r="N495" s="1"/>
      <c r="O495" s="1"/>
      <c r="P495" s="1"/>
      <c r="Q495" s="1"/>
      <c r="R495" s="1"/>
      <c r="S495" s="1"/>
      <c r="T495" s="1"/>
      <c r="U495" s="1"/>
      <c r="V495" s="1"/>
      <c r="W495" s="1"/>
      <c r="X495" s="1"/>
      <c r="Y495" s="1"/>
      <c r="Z495" s="1"/>
    </row>
    <row r="496" spans="1:26" ht="12.75">
      <c r="A496" s="13" t="s">
        <v>676</v>
      </c>
      <c r="B496" s="13" t="s">
        <v>677</v>
      </c>
      <c r="C496" s="13">
        <v>12.5</v>
      </c>
      <c r="D496" s="1">
        <f>IF(B496="","",IFERROR(VLOOKUP(B496,'ITEM LIST'!B:M,12,0)*C496,0))</f>
        <v>0.43750000000000006</v>
      </c>
      <c r="E496" s="1">
        <f t="shared" si="17"/>
        <v>0.76</v>
      </c>
      <c r="F496" s="20"/>
      <c r="G496" s="1"/>
      <c r="H496" s="1"/>
      <c r="I496" s="1"/>
      <c r="J496" s="1"/>
      <c r="K496" s="1"/>
      <c r="L496" s="1"/>
      <c r="M496" s="1"/>
      <c r="N496" s="1"/>
      <c r="O496" s="1"/>
      <c r="P496" s="1"/>
      <c r="Q496" s="1"/>
      <c r="R496" s="1"/>
      <c r="S496" s="1"/>
      <c r="T496" s="1"/>
      <c r="U496" s="1"/>
      <c r="V496" s="1"/>
      <c r="W496" s="1"/>
      <c r="X496" s="1"/>
      <c r="Y496" s="1"/>
      <c r="Z496" s="1"/>
    </row>
    <row r="497" spans="1:26" ht="12.75">
      <c r="A497" s="13" t="s">
        <v>676</v>
      </c>
      <c r="B497" s="13" t="s">
        <v>40</v>
      </c>
      <c r="C497" s="13">
        <v>1.875</v>
      </c>
      <c r="D497" s="1">
        <f>IF(B497="","",IFERROR(VLOOKUP(B497,'ITEM LIST'!B:M,12,0)*C497,0))</f>
        <v>0.06</v>
      </c>
      <c r="E497" s="1">
        <f t="shared" si="17"/>
        <v>0.76</v>
      </c>
      <c r="F497" s="20"/>
      <c r="G497" s="1"/>
      <c r="H497" s="1"/>
      <c r="I497" s="1"/>
      <c r="J497" s="1"/>
      <c r="K497" s="1"/>
      <c r="L497" s="1"/>
      <c r="M497" s="1"/>
      <c r="N497" s="1"/>
      <c r="O497" s="1"/>
      <c r="P497" s="1"/>
      <c r="Q497" s="1"/>
      <c r="R497" s="1"/>
      <c r="S497" s="1"/>
      <c r="T497" s="1"/>
      <c r="U497" s="1"/>
      <c r="V497" s="1"/>
      <c r="W497" s="1"/>
      <c r="X497" s="1"/>
      <c r="Y497" s="1"/>
      <c r="Z497" s="1"/>
    </row>
    <row r="498" spans="1:26" ht="12.75">
      <c r="A498" s="13" t="s">
        <v>676</v>
      </c>
      <c r="B498" s="13" t="s">
        <v>678</v>
      </c>
      <c r="C498" s="13">
        <v>3.75</v>
      </c>
      <c r="D498" s="1">
        <f>IF(B498="","",IFERROR(VLOOKUP(B498,'ITEM LIST'!B:M,12,0)*C498,0))</f>
        <v>0.26250000000000001</v>
      </c>
      <c r="E498" s="1">
        <f t="shared" si="17"/>
        <v>0.76</v>
      </c>
      <c r="F498" s="20"/>
      <c r="G498" s="1"/>
      <c r="H498" s="1"/>
      <c r="I498" s="1"/>
      <c r="J498" s="1"/>
      <c r="K498" s="1"/>
      <c r="L498" s="1"/>
      <c r="M498" s="1"/>
      <c r="N498" s="1"/>
      <c r="O498" s="1"/>
      <c r="P498" s="1"/>
      <c r="Q498" s="1"/>
      <c r="R498" s="1"/>
      <c r="S498" s="1"/>
      <c r="T498" s="1"/>
      <c r="U498" s="1"/>
      <c r="V498" s="1"/>
      <c r="W498" s="1"/>
      <c r="X498" s="1"/>
      <c r="Y498" s="1"/>
      <c r="Z498" s="1"/>
    </row>
    <row r="499" spans="1:26" ht="12.75">
      <c r="A499" s="13" t="s">
        <v>676</v>
      </c>
      <c r="B499" s="1" t="s">
        <v>675</v>
      </c>
      <c r="C499" s="200"/>
      <c r="D499" s="1">
        <f>IF(B499="","",IFERROR(VLOOKUP(B499,'ITEM LIST'!B:M,12,0)*C499,0))</f>
        <v>0</v>
      </c>
      <c r="E499" s="1">
        <f t="shared" si="17"/>
        <v>0.76</v>
      </c>
      <c r="F499" s="20"/>
      <c r="G499" s="1"/>
      <c r="H499" s="1"/>
      <c r="I499" s="1"/>
      <c r="J499" s="1"/>
      <c r="K499" s="1"/>
      <c r="L499" s="1"/>
      <c r="M499" s="1"/>
      <c r="N499" s="1"/>
      <c r="O499" s="1"/>
      <c r="P499" s="1"/>
      <c r="Q499" s="1"/>
      <c r="R499" s="1"/>
      <c r="S499" s="1"/>
      <c r="T499" s="1"/>
      <c r="U499" s="1"/>
      <c r="V499" s="1"/>
      <c r="W499" s="1"/>
      <c r="X499" s="1"/>
      <c r="Y499" s="1"/>
      <c r="Z499" s="1"/>
    </row>
    <row r="500" spans="1:26" ht="12.75">
      <c r="A500" s="1"/>
      <c r="B500" s="1"/>
      <c r="C500" s="20"/>
      <c r="D500" s="1"/>
      <c r="E500" s="1"/>
      <c r="F500" s="20"/>
      <c r="G500" s="1"/>
      <c r="H500" s="1"/>
      <c r="I500" s="1"/>
      <c r="J500" s="1"/>
      <c r="K500" s="1"/>
      <c r="L500" s="1"/>
      <c r="M500" s="1"/>
      <c r="N500" s="1"/>
      <c r="O500" s="1"/>
      <c r="P500" s="1"/>
      <c r="Q500" s="1"/>
      <c r="R500" s="1"/>
      <c r="S500" s="1"/>
      <c r="T500" s="1"/>
      <c r="U500" s="1"/>
      <c r="V500" s="1"/>
      <c r="W500" s="1"/>
      <c r="X500" s="1"/>
      <c r="Y500" s="1"/>
      <c r="Z500" s="1"/>
    </row>
    <row r="501" spans="1:26" ht="12.75">
      <c r="A501" s="1"/>
      <c r="B501" s="1"/>
      <c r="C501" s="20"/>
      <c r="D501" s="1"/>
      <c r="E501" s="1"/>
      <c r="F501" s="20"/>
      <c r="G501" s="1"/>
      <c r="H501" s="1"/>
      <c r="I501" s="1"/>
      <c r="J501" s="1"/>
      <c r="K501" s="1"/>
      <c r="L501" s="1"/>
      <c r="M501" s="1"/>
      <c r="N501" s="1"/>
      <c r="O501" s="1"/>
      <c r="P501" s="1"/>
      <c r="Q501" s="1"/>
      <c r="R501" s="1"/>
      <c r="S501" s="1"/>
      <c r="T501" s="1"/>
      <c r="U501" s="1"/>
      <c r="V501" s="1"/>
      <c r="W501" s="1"/>
      <c r="X501" s="1"/>
      <c r="Y501" s="1"/>
      <c r="Z501" s="1"/>
    </row>
    <row r="502" spans="1:26" ht="12.75">
      <c r="A502" s="1"/>
      <c r="B502" s="1"/>
      <c r="C502" s="20"/>
      <c r="D502" s="1"/>
      <c r="E502" s="1"/>
      <c r="F502" s="20"/>
      <c r="G502" s="1"/>
      <c r="H502" s="1"/>
      <c r="I502" s="1"/>
      <c r="J502" s="1"/>
      <c r="K502" s="1"/>
      <c r="L502" s="1"/>
      <c r="M502" s="1"/>
      <c r="N502" s="1"/>
      <c r="O502" s="1"/>
      <c r="P502" s="1"/>
      <c r="Q502" s="1"/>
      <c r="R502" s="1"/>
      <c r="S502" s="1"/>
      <c r="T502" s="1"/>
      <c r="U502" s="1"/>
      <c r="V502" s="1"/>
      <c r="W502" s="1"/>
      <c r="X502" s="1"/>
      <c r="Y502" s="1"/>
      <c r="Z502" s="1"/>
    </row>
    <row r="503" spans="1:26" ht="12.75">
      <c r="A503" s="1"/>
      <c r="B503" s="1"/>
      <c r="C503" s="20"/>
      <c r="D503" s="1"/>
      <c r="E503" s="1"/>
      <c r="F503" s="20"/>
      <c r="G503" s="1"/>
      <c r="H503" s="1"/>
      <c r="I503" s="1"/>
      <c r="J503" s="1"/>
      <c r="K503" s="1"/>
      <c r="L503" s="1"/>
      <c r="M503" s="1"/>
      <c r="N503" s="1"/>
      <c r="O503" s="1"/>
      <c r="P503" s="1"/>
      <c r="Q503" s="1"/>
      <c r="R503" s="1"/>
      <c r="S503" s="1"/>
      <c r="T503" s="1"/>
      <c r="U503" s="1"/>
      <c r="V503" s="1"/>
      <c r="W503" s="1"/>
      <c r="X503" s="1"/>
      <c r="Y503" s="1"/>
      <c r="Z503" s="1"/>
    </row>
    <row r="504" spans="1:26" ht="12.75">
      <c r="A504" s="1"/>
      <c r="B504" s="1"/>
      <c r="C504" s="20"/>
      <c r="D504" s="1"/>
      <c r="E504" s="1"/>
      <c r="F504" s="20"/>
      <c r="G504" s="1"/>
      <c r="H504" s="1"/>
      <c r="I504" s="1"/>
      <c r="J504" s="1"/>
      <c r="K504" s="1"/>
      <c r="L504" s="1"/>
      <c r="M504" s="1"/>
      <c r="N504" s="1"/>
      <c r="O504" s="1"/>
      <c r="P504" s="1"/>
      <c r="Q504" s="1"/>
      <c r="R504" s="1"/>
      <c r="S504" s="1"/>
      <c r="T504" s="1"/>
      <c r="U504" s="1"/>
      <c r="V504" s="1"/>
      <c r="W504" s="1"/>
      <c r="X504" s="1"/>
      <c r="Y504" s="1"/>
      <c r="Z504" s="1"/>
    </row>
    <row r="505" spans="1:26" ht="12.75">
      <c r="A505" s="1"/>
      <c r="B505" s="1"/>
      <c r="C505" s="20"/>
      <c r="D505" s="1"/>
      <c r="E505" s="1"/>
      <c r="F505" s="20"/>
      <c r="G505" s="1"/>
      <c r="H505" s="1"/>
      <c r="I505" s="1"/>
      <c r="J505" s="1"/>
      <c r="K505" s="1"/>
      <c r="L505" s="1"/>
      <c r="M505" s="1"/>
      <c r="N505" s="1"/>
      <c r="O505" s="1"/>
      <c r="P505" s="1"/>
      <c r="Q505" s="1"/>
      <c r="R505" s="1"/>
      <c r="S505" s="1"/>
      <c r="T505" s="1"/>
      <c r="U505" s="1"/>
      <c r="V505" s="1"/>
      <c r="W505" s="1"/>
      <c r="X505" s="1"/>
      <c r="Y505" s="1"/>
      <c r="Z505" s="1"/>
    </row>
    <row r="506" spans="1:26" ht="12.75">
      <c r="A506" s="1"/>
      <c r="B506" s="1"/>
      <c r="C506" s="20"/>
      <c r="D506" s="1"/>
      <c r="E506" s="1"/>
      <c r="F506" s="20"/>
      <c r="G506" s="1"/>
      <c r="H506" s="1"/>
      <c r="I506" s="1"/>
      <c r="J506" s="1"/>
      <c r="K506" s="1"/>
      <c r="L506" s="1"/>
      <c r="M506" s="1"/>
      <c r="N506" s="1"/>
      <c r="O506" s="1"/>
      <c r="P506" s="1"/>
      <c r="Q506" s="1"/>
      <c r="R506" s="1"/>
      <c r="S506" s="1"/>
      <c r="T506" s="1"/>
      <c r="U506" s="1"/>
      <c r="V506" s="1"/>
      <c r="W506" s="1"/>
      <c r="X506" s="1"/>
      <c r="Y506" s="1"/>
      <c r="Z506" s="1"/>
    </row>
    <row r="507" spans="1:26" ht="12.75">
      <c r="A507" s="1"/>
      <c r="B507" s="1"/>
      <c r="C507" s="20"/>
      <c r="D507" s="1"/>
      <c r="E507" s="1"/>
      <c r="F507" s="20"/>
      <c r="G507" s="1"/>
      <c r="H507" s="1"/>
      <c r="I507" s="1"/>
      <c r="J507" s="1"/>
      <c r="K507" s="1"/>
      <c r="L507" s="1"/>
      <c r="M507" s="1"/>
      <c r="N507" s="1"/>
      <c r="O507" s="1"/>
      <c r="P507" s="1"/>
      <c r="Q507" s="1"/>
      <c r="R507" s="1"/>
      <c r="S507" s="1"/>
      <c r="T507" s="1"/>
      <c r="U507" s="1"/>
      <c r="V507" s="1"/>
      <c r="W507" s="1"/>
      <c r="X507" s="1"/>
      <c r="Y507" s="1"/>
      <c r="Z507" s="1"/>
    </row>
    <row r="508" spans="1:26" ht="12.75">
      <c r="A508" s="1"/>
      <c r="B508" s="1"/>
      <c r="C508" s="20"/>
      <c r="D508" s="1"/>
      <c r="E508" s="1"/>
      <c r="F508" s="20"/>
      <c r="G508" s="1"/>
      <c r="H508" s="1"/>
      <c r="I508" s="1"/>
      <c r="J508" s="1"/>
      <c r="K508" s="1"/>
      <c r="L508" s="1"/>
      <c r="M508" s="1"/>
      <c r="N508" s="1"/>
      <c r="O508" s="1"/>
      <c r="P508" s="1"/>
      <c r="Q508" s="1"/>
      <c r="R508" s="1"/>
      <c r="S508" s="1"/>
      <c r="T508" s="1"/>
      <c r="U508" s="1"/>
      <c r="V508" s="1"/>
      <c r="W508" s="1"/>
      <c r="X508" s="1"/>
      <c r="Y508" s="1"/>
      <c r="Z508" s="1"/>
    </row>
    <row r="509" spans="1:26" ht="12.75">
      <c r="A509" s="1"/>
      <c r="B509" s="1"/>
      <c r="C509" s="20"/>
      <c r="D509" s="1"/>
      <c r="E509" s="1"/>
      <c r="F509" s="20"/>
      <c r="G509" s="1"/>
      <c r="H509" s="1"/>
      <c r="I509" s="1"/>
      <c r="J509" s="1"/>
      <c r="K509" s="1"/>
      <c r="L509" s="1"/>
      <c r="M509" s="1"/>
      <c r="N509" s="1"/>
      <c r="O509" s="1"/>
      <c r="P509" s="1"/>
      <c r="Q509" s="1"/>
      <c r="R509" s="1"/>
      <c r="S509" s="1"/>
      <c r="T509" s="1"/>
      <c r="U509" s="1"/>
      <c r="V509" s="1"/>
      <c r="W509" s="1"/>
      <c r="X509" s="1"/>
      <c r="Y509" s="1"/>
      <c r="Z509" s="1"/>
    </row>
    <row r="510" spans="1:26" ht="12.75">
      <c r="A510" s="1"/>
      <c r="B510" s="1"/>
      <c r="C510" s="20"/>
      <c r="D510" s="1"/>
      <c r="E510" s="1"/>
      <c r="F510" s="20"/>
      <c r="G510" s="1"/>
      <c r="H510" s="1"/>
      <c r="I510" s="1"/>
      <c r="J510" s="1"/>
      <c r="K510" s="1"/>
      <c r="L510" s="1"/>
      <c r="M510" s="1"/>
      <c r="N510" s="1"/>
      <c r="O510" s="1"/>
      <c r="P510" s="1"/>
      <c r="Q510" s="1"/>
      <c r="R510" s="1"/>
      <c r="S510" s="1"/>
      <c r="T510" s="1"/>
      <c r="U510" s="1"/>
      <c r="V510" s="1"/>
      <c r="W510" s="1"/>
      <c r="X510" s="1"/>
      <c r="Y510" s="1"/>
      <c r="Z510" s="1"/>
    </row>
    <row r="511" spans="1:26" ht="12.75">
      <c r="A511" s="1"/>
      <c r="B511" s="1"/>
      <c r="C511" s="20"/>
      <c r="D511" s="1"/>
      <c r="E511" s="1"/>
      <c r="F511" s="20"/>
      <c r="G511" s="1"/>
      <c r="H511" s="1"/>
      <c r="I511" s="1"/>
      <c r="J511" s="1"/>
      <c r="K511" s="1"/>
      <c r="L511" s="1"/>
      <c r="M511" s="1"/>
      <c r="N511" s="1"/>
      <c r="O511" s="1"/>
      <c r="P511" s="1"/>
      <c r="Q511" s="1"/>
      <c r="R511" s="1"/>
      <c r="S511" s="1"/>
      <c r="T511" s="1"/>
      <c r="U511" s="1"/>
      <c r="V511" s="1"/>
      <c r="W511" s="1"/>
      <c r="X511" s="1"/>
      <c r="Y511" s="1"/>
      <c r="Z511" s="1"/>
    </row>
    <row r="512" spans="1:26" ht="12.75">
      <c r="A512" s="1"/>
      <c r="B512" s="1"/>
      <c r="C512" s="20"/>
      <c r="D512" s="1"/>
      <c r="E512" s="1"/>
      <c r="F512" s="20"/>
      <c r="G512" s="1"/>
      <c r="H512" s="1"/>
      <c r="I512" s="1"/>
      <c r="J512" s="1"/>
      <c r="K512" s="1"/>
      <c r="L512" s="1"/>
      <c r="M512" s="1"/>
      <c r="N512" s="1"/>
      <c r="O512" s="1"/>
      <c r="P512" s="1"/>
      <c r="Q512" s="1"/>
      <c r="R512" s="1"/>
      <c r="S512" s="1"/>
      <c r="T512" s="1"/>
      <c r="U512" s="1"/>
      <c r="V512" s="1"/>
      <c r="W512" s="1"/>
      <c r="X512" s="1"/>
      <c r="Y512" s="1"/>
      <c r="Z512" s="1"/>
    </row>
    <row r="513" spans="1:26" ht="12.75">
      <c r="A513" s="1"/>
      <c r="B513" s="1"/>
      <c r="C513" s="20"/>
      <c r="D513" s="1"/>
      <c r="E513" s="1"/>
      <c r="F513" s="20"/>
      <c r="G513" s="1"/>
      <c r="H513" s="1"/>
      <c r="I513" s="1"/>
      <c r="J513" s="1"/>
      <c r="K513" s="1"/>
      <c r="L513" s="1"/>
      <c r="M513" s="1"/>
      <c r="N513" s="1"/>
      <c r="O513" s="1"/>
      <c r="P513" s="1"/>
      <c r="Q513" s="1"/>
      <c r="R513" s="1"/>
      <c r="S513" s="1"/>
      <c r="T513" s="1"/>
      <c r="U513" s="1"/>
      <c r="V513" s="1"/>
      <c r="W513" s="1"/>
      <c r="X513" s="1"/>
      <c r="Y513" s="1"/>
      <c r="Z513" s="1"/>
    </row>
    <row r="514" spans="1:26" ht="12.75">
      <c r="A514" s="1"/>
      <c r="B514" s="1"/>
      <c r="C514" s="20"/>
      <c r="D514" s="1"/>
      <c r="E514" s="1"/>
      <c r="F514" s="20"/>
      <c r="G514" s="1"/>
      <c r="H514" s="1"/>
      <c r="I514" s="1"/>
      <c r="J514" s="1"/>
      <c r="K514" s="1"/>
      <c r="L514" s="1"/>
      <c r="M514" s="1"/>
      <c r="N514" s="1"/>
      <c r="O514" s="1"/>
      <c r="P514" s="1"/>
      <c r="Q514" s="1"/>
      <c r="R514" s="1"/>
      <c r="S514" s="1"/>
      <c r="T514" s="1"/>
      <c r="U514" s="1"/>
      <c r="V514" s="1"/>
      <c r="W514" s="1"/>
      <c r="X514" s="1"/>
      <c r="Y514" s="1"/>
      <c r="Z514" s="1"/>
    </row>
    <row r="515" spans="1:26" ht="12.75">
      <c r="A515" s="1"/>
      <c r="B515" s="1"/>
      <c r="C515" s="20"/>
      <c r="D515" s="1"/>
      <c r="E515" s="1"/>
      <c r="F515" s="20"/>
      <c r="G515" s="1"/>
      <c r="H515" s="1"/>
      <c r="I515" s="1"/>
      <c r="J515" s="1"/>
      <c r="K515" s="1"/>
      <c r="L515" s="1"/>
      <c r="M515" s="1"/>
      <c r="N515" s="1"/>
      <c r="O515" s="1"/>
      <c r="P515" s="1"/>
      <c r="Q515" s="1"/>
      <c r="R515" s="1"/>
      <c r="S515" s="1"/>
      <c r="T515" s="1"/>
      <c r="U515" s="1"/>
      <c r="V515" s="1"/>
      <c r="W515" s="1"/>
      <c r="X515" s="1"/>
      <c r="Y515" s="1"/>
      <c r="Z515" s="1"/>
    </row>
    <row r="516" spans="1:26" ht="12.75">
      <c r="A516" s="1"/>
      <c r="B516" s="1"/>
      <c r="C516" s="20"/>
      <c r="D516" s="1"/>
      <c r="E516" s="1"/>
      <c r="F516" s="20"/>
      <c r="G516" s="1"/>
      <c r="H516" s="1"/>
      <c r="I516" s="1"/>
      <c r="J516" s="1"/>
      <c r="K516" s="1"/>
      <c r="L516" s="1"/>
      <c r="M516" s="1"/>
      <c r="N516" s="1"/>
      <c r="O516" s="1"/>
      <c r="P516" s="1"/>
      <c r="Q516" s="1"/>
      <c r="R516" s="1"/>
      <c r="S516" s="1"/>
      <c r="T516" s="1"/>
      <c r="U516" s="1"/>
      <c r="V516" s="1"/>
      <c r="W516" s="1"/>
      <c r="X516" s="1"/>
      <c r="Y516" s="1"/>
      <c r="Z516" s="1"/>
    </row>
    <row r="517" spans="1:26" ht="12.75">
      <c r="A517" s="1"/>
      <c r="B517" s="1"/>
      <c r="C517" s="20"/>
      <c r="D517" s="1"/>
      <c r="E517" s="1"/>
      <c r="F517" s="20"/>
      <c r="G517" s="1"/>
      <c r="H517" s="1"/>
      <c r="I517" s="1"/>
      <c r="J517" s="1"/>
      <c r="K517" s="1"/>
      <c r="L517" s="1"/>
      <c r="M517" s="1"/>
      <c r="N517" s="1"/>
      <c r="O517" s="1"/>
      <c r="P517" s="1"/>
      <c r="Q517" s="1"/>
      <c r="R517" s="1"/>
      <c r="S517" s="1"/>
      <c r="T517" s="1"/>
      <c r="U517" s="1"/>
      <c r="V517" s="1"/>
      <c r="W517" s="1"/>
      <c r="X517" s="1"/>
      <c r="Y517" s="1"/>
      <c r="Z517" s="1"/>
    </row>
    <row r="518" spans="1:26" ht="12.75">
      <c r="A518" s="1"/>
      <c r="B518" s="1"/>
      <c r="C518" s="20"/>
      <c r="D518" s="1"/>
      <c r="E518" s="1"/>
      <c r="F518" s="20"/>
      <c r="G518" s="1"/>
      <c r="H518" s="1"/>
      <c r="I518" s="1"/>
      <c r="J518" s="1"/>
      <c r="K518" s="1"/>
      <c r="L518" s="1"/>
      <c r="M518" s="1"/>
      <c r="N518" s="1"/>
      <c r="O518" s="1"/>
      <c r="P518" s="1"/>
      <c r="Q518" s="1"/>
      <c r="R518" s="1"/>
      <c r="S518" s="1"/>
      <c r="T518" s="1"/>
      <c r="U518" s="1"/>
      <c r="V518" s="1"/>
      <c r="W518" s="1"/>
      <c r="X518" s="1"/>
      <c r="Y518" s="1"/>
      <c r="Z518" s="1"/>
    </row>
    <row r="519" spans="1:26" ht="12.75">
      <c r="A519" s="1"/>
      <c r="B519" s="1"/>
      <c r="C519" s="20"/>
      <c r="D519" s="1"/>
      <c r="E519" s="1"/>
      <c r="F519" s="20"/>
      <c r="G519" s="1"/>
      <c r="H519" s="1"/>
      <c r="I519" s="1"/>
      <c r="J519" s="1"/>
      <c r="K519" s="1"/>
      <c r="L519" s="1"/>
      <c r="M519" s="1"/>
      <c r="N519" s="1"/>
      <c r="O519" s="1"/>
      <c r="P519" s="1"/>
      <c r="Q519" s="1"/>
      <c r="R519" s="1"/>
      <c r="S519" s="1"/>
      <c r="T519" s="1"/>
      <c r="U519" s="1"/>
      <c r="V519" s="1"/>
      <c r="W519" s="1"/>
      <c r="X519" s="1"/>
      <c r="Y519" s="1"/>
      <c r="Z519" s="1"/>
    </row>
    <row r="520" spans="1:26" ht="12.75">
      <c r="A520" s="1"/>
      <c r="B520" s="1"/>
      <c r="C520" s="20"/>
      <c r="D520" s="1"/>
      <c r="E520" s="1"/>
      <c r="F520" s="20"/>
      <c r="G520" s="1"/>
      <c r="H520" s="1"/>
      <c r="I520" s="1"/>
      <c r="J520" s="1"/>
      <c r="K520" s="1"/>
      <c r="L520" s="1"/>
      <c r="M520" s="1"/>
      <c r="N520" s="1"/>
      <c r="O520" s="1"/>
      <c r="P520" s="1"/>
      <c r="Q520" s="1"/>
      <c r="R520" s="1"/>
      <c r="S520" s="1"/>
      <c r="T520" s="1"/>
      <c r="U520" s="1"/>
      <c r="V520" s="1"/>
      <c r="W520" s="1"/>
      <c r="X520" s="1"/>
      <c r="Y520" s="1"/>
      <c r="Z520" s="1"/>
    </row>
    <row r="521" spans="1:26" ht="12.75">
      <c r="A521" s="1"/>
      <c r="B521" s="1"/>
      <c r="C521" s="20"/>
      <c r="D521" s="1"/>
      <c r="E521" s="1"/>
      <c r="F521" s="20"/>
      <c r="G521" s="1"/>
      <c r="H521" s="1"/>
      <c r="I521" s="1"/>
      <c r="J521" s="1"/>
      <c r="K521" s="1"/>
      <c r="L521" s="1"/>
      <c r="M521" s="1"/>
      <c r="N521" s="1"/>
      <c r="O521" s="1"/>
      <c r="P521" s="1"/>
      <c r="Q521" s="1"/>
      <c r="R521" s="1"/>
      <c r="S521" s="1"/>
      <c r="T521" s="1"/>
      <c r="U521" s="1"/>
      <c r="V521" s="1"/>
      <c r="W521" s="1"/>
      <c r="X521" s="1"/>
      <c r="Y521" s="1"/>
      <c r="Z521" s="1"/>
    </row>
    <row r="522" spans="1:26" ht="12.75">
      <c r="A522" s="1"/>
      <c r="B522" s="1"/>
      <c r="C522" s="20"/>
      <c r="D522" s="1"/>
      <c r="E522" s="1"/>
      <c r="F522" s="20"/>
      <c r="G522" s="1"/>
      <c r="H522" s="1"/>
      <c r="I522" s="1"/>
      <c r="J522" s="1"/>
      <c r="K522" s="1"/>
      <c r="L522" s="1"/>
      <c r="M522" s="1"/>
      <c r="N522" s="1"/>
      <c r="O522" s="1"/>
      <c r="P522" s="1"/>
      <c r="Q522" s="1"/>
      <c r="R522" s="1"/>
      <c r="S522" s="1"/>
      <c r="T522" s="1"/>
      <c r="U522" s="1"/>
      <c r="V522" s="1"/>
      <c r="W522" s="1"/>
      <c r="X522" s="1"/>
      <c r="Y522" s="1"/>
      <c r="Z522" s="1"/>
    </row>
    <row r="523" spans="1:26" ht="12.75">
      <c r="A523" s="1"/>
      <c r="B523" s="1"/>
      <c r="C523" s="20"/>
      <c r="D523" s="1"/>
      <c r="E523" s="1"/>
      <c r="F523" s="20"/>
      <c r="G523" s="1"/>
      <c r="H523" s="1"/>
      <c r="I523" s="1"/>
      <c r="J523" s="1"/>
      <c r="K523" s="1"/>
      <c r="L523" s="1"/>
      <c r="M523" s="1"/>
      <c r="N523" s="1"/>
      <c r="O523" s="1"/>
      <c r="P523" s="1"/>
      <c r="Q523" s="1"/>
      <c r="R523" s="1"/>
      <c r="S523" s="1"/>
      <c r="T523" s="1"/>
      <c r="U523" s="1"/>
      <c r="V523" s="1"/>
      <c r="W523" s="1"/>
      <c r="X523" s="1"/>
      <c r="Y523" s="1"/>
      <c r="Z523" s="1"/>
    </row>
    <row r="524" spans="1:26" ht="12.75">
      <c r="A524" s="1"/>
      <c r="B524" s="1"/>
      <c r="C524" s="20"/>
      <c r="D524" s="1"/>
      <c r="E524" s="1"/>
      <c r="F524" s="20"/>
      <c r="G524" s="1"/>
      <c r="H524" s="1"/>
      <c r="I524" s="1"/>
      <c r="J524" s="1"/>
      <c r="K524" s="1"/>
      <c r="L524" s="1"/>
      <c r="M524" s="1"/>
      <c r="N524" s="1"/>
      <c r="O524" s="1"/>
      <c r="P524" s="1"/>
      <c r="Q524" s="1"/>
      <c r="R524" s="1"/>
      <c r="S524" s="1"/>
      <c r="T524" s="1"/>
      <c r="U524" s="1"/>
      <c r="V524" s="1"/>
      <c r="W524" s="1"/>
      <c r="X524" s="1"/>
      <c r="Y524" s="1"/>
      <c r="Z524" s="1"/>
    </row>
    <row r="525" spans="1:26" ht="12.75">
      <c r="A525" s="1"/>
      <c r="B525" s="1"/>
      <c r="C525" s="20"/>
      <c r="D525" s="1"/>
      <c r="E525" s="1"/>
      <c r="F525" s="20"/>
      <c r="G525" s="1"/>
      <c r="H525" s="1"/>
      <c r="I525" s="1"/>
      <c r="J525" s="1"/>
      <c r="K525" s="1"/>
      <c r="L525" s="1"/>
      <c r="M525" s="1"/>
      <c r="N525" s="1"/>
      <c r="O525" s="1"/>
      <c r="P525" s="1"/>
      <c r="Q525" s="1"/>
      <c r="R525" s="1"/>
      <c r="S525" s="1"/>
      <c r="T525" s="1"/>
      <c r="U525" s="1"/>
      <c r="V525" s="1"/>
      <c r="W525" s="1"/>
      <c r="X525" s="1"/>
      <c r="Y525" s="1"/>
      <c r="Z525" s="1"/>
    </row>
    <row r="526" spans="1:26" ht="12.75">
      <c r="A526" s="1"/>
      <c r="B526" s="1"/>
      <c r="C526" s="20"/>
      <c r="D526" s="1"/>
      <c r="E526" s="1"/>
      <c r="F526" s="20"/>
      <c r="G526" s="1"/>
      <c r="H526" s="1"/>
      <c r="I526" s="1"/>
      <c r="J526" s="1"/>
      <c r="K526" s="1"/>
      <c r="L526" s="1"/>
      <c r="M526" s="1"/>
      <c r="N526" s="1"/>
      <c r="O526" s="1"/>
      <c r="P526" s="1"/>
      <c r="Q526" s="1"/>
      <c r="R526" s="1"/>
      <c r="S526" s="1"/>
      <c r="T526" s="1"/>
      <c r="U526" s="1"/>
      <c r="V526" s="1"/>
      <c r="W526" s="1"/>
      <c r="X526" s="1"/>
      <c r="Y526" s="1"/>
      <c r="Z526" s="1"/>
    </row>
    <row r="527" spans="1:26" ht="12.75">
      <c r="A527" s="1"/>
      <c r="B527" s="1"/>
      <c r="C527" s="20"/>
      <c r="D527" s="1"/>
      <c r="E527" s="1"/>
      <c r="F527" s="20"/>
      <c r="G527" s="1"/>
      <c r="H527" s="1"/>
      <c r="I527" s="1"/>
      <c r="J527" s="1"/>
      <c r="K527" s="1"/>
      <c r="L527" s="1"/>
      <c r="M527" s="1"/>
      <c r="N527" s="1"/>
      <c r="O527" s="1"/>
      <c r="P527" s="1"/>
      <c r="Q527" s="1"/>
      <c r="R527" s="1"/>
      <c r="S527" s="1"/>
      <c r="T527" s="1"/>
      <c r="U527" s="1"/>
      <c r="V527" s="1"/>
      <c r="W527" s="1"/>
      <c r="X527" s="1"/>
      <c r="Y527" s="1"/>
      <c r="Z527" s="1"/>
    </row>
    <row r="528" spans="1:26" ht="12.75">
      <c r="A528" s="1"/>
      <c r="B528" s="1"/>
      <c r="C528" s="20"/>
      <c r="D528" s="1"/>
      <c r="E528" s="1"/>
      <c r="F528" s="20"/>
      <c r="G528" s="1"/>
      <c r="H528" s="1"/>
      <c r="I528" s="1"/>
      <c r="J528" s="1"/>
      <c r="K528" s="1"/>
      <c r="L528" s="1"/>
      <c r="M528" s="1"/>
      <c r="N528" s="1"/>
      <c r="O528" s="1"/>
      <c r="P528" s="1"/>
      <c r="Q528" s="1"/>
      <c r="R528" s="1"/>
      <c r="S528" s="1"/>
      <c r="T528" s="1"/>
      <c r="U528" s="1"/>
      <c r="V528" s="1"/>
      <c r="W528" s="1"/>
      <c r="X528" s="1"/>
      <c r="Y528" s="1"/>
      <c r="Z528" s="1"/>
    </row>
    <row r="529" spans="1:26" ht="12.75">
      <c r="A529" s="1"/>
      <c r="B529" s="1"/>
      <c r="C529" s="20"/>
      <c r="D529" s="1"/>
      <c r="E529" s="1"/>
      <c r="F529" s="20"/>
      <c r="G529" s="1"/>
      <c r="H529" s="1"/>
      <c r="I529" s="1"/>
      <c r="J529" s="1"/>
      <c r="K529" s="1"/>
      <c r="L529" s="1"/>
      <c r="M529" s="1"/>
      <c r="N529" s="1"/>
      <c r="O529" s="1"/>
      <c r="P529" s="1"/>
      <c r="Q529" s="1"/>
      <c r="R529" s="1"/>
      <c r="S529" s="1"/>
      <c r="T529" s="1"/>
      <c r="U529" s="1"/>
      <c r="V529" s="1"/>
      <c r="W529" s="1"/>
      <c r="X529" s="1"/>
      <c r="Y529" s="1"/>
      <c r="Z529" s="1"/>
    </row>
    <row r="530" spans="1:26" ht="12.75">
      <c r="A530" s="1"/>
      <c r="B530" s="1"/>
      <c r="C530" s="20"/>
      <c r="D530" s="1"/>
      <c r="E530" s="1"/>
      <c r="F530" s="20"/>
      <c r="G530" s="1"/>
      <c r="H530" s="1"/>
      <c r="I530" s="1"/>
      <c r="J530" s="1"/>
      <c r="K530" s="1"/>
      <c r="L530" s="1"/>
      <c r="M530" s="1"/>
      <c r="N530" s="1"/>
      <c r="O530" s="1"/>
      <c r="P530" s="1"/>
      <c r="Q530" s="1"/>
      <c r="R530" s="1"/>
      <c r="S530" s="1"/>
      <c r="T530" s="1"/>
      <c r="U530" s="1"/>
      <c r="V530" s="1"/>
      <c r="W530" s="1"/>
      <c r="X530" s="1"/>
      <c r="Y530" s="1"/>
      <c r="Z530" s="1"/>
    </row>
    <row r="531" spans="1:26" ht="12.75">
      <c r="A531" s="1"/>
      <c r="B531" s="1"/>
      <c r="C531" s="20"/>
      <c r="D531" s="1"/>
      <c r="E531" s="1"/>
      <c r="F531" s="20"/>
      <c r="G531" s="1"/>
      <c r="H531" s="1"/>
      <c r="I531" s="1"/>
      <c r="J531" s="1"/>
      <c r="K531" s="1"/>
      <c r="L531" s="1"/>
      <c r="M531" s="1"/>
      <c r="N531" s="1"/>
      <c r="O531" s="1"/>
      <c r="P531" s="1"/>
      <c r="Q531" s="1"/>
      <c r="R531" s="1"/>
      <c r="S531" s="1"/>
      <c r="T531" s="1"/>
      <c r="U531" s="1"/>
      <c r="V531" s="1"/>
      <c r="W531" s="1"/>
      <c r="X531" s="1"/>
      <c r="Y531" s="1"/>
      <c r="Z531" s="1"/>
    </row>
    <row r="532" spans="1:26" ht="12.75">
      <c r="A532" s="1"/>
      <c r="B532" s="1"/>
      <c r="C532" s="20"/>
      <c r="D532" s="1"/>
      <c r="E532" s="1"/>
      <c r="F532" s="20"/>
      <c r="G532" s="1"/>
      <c r="H532" s="1"/>
      <c r="I532" s="1"/>
      <c r="J532" s="1"/>
      <c r="K532" s="1"/>
      <c r="L532" s="1"/>
      <c r="M532" s="1"/>
      <c r="N532" s="1"/>
      <c r="O532" s="1"/>
      <c r="P532" s="1"/>
      <c r="Q532" s="1"/>
      <c r="R532" s="1"/>
      <c r="S532" s="1"/>
      <c r="T532" s="1"/>
      <c r="U532" s="1"/>
      <c r="V532" s="1"/>
      <c r="W532" s="1"/>
      <c r="X532" s="1"/>
      <c r="Y532" s="1"/>
      <c r="Z532" s="1"/>
    </row>
    <row r="533" spans="1:26" ht="12.75">
      <c r="A533" s="1"/>
      <c r="B533" s="1"/>
      <c r="C533" s="20"/>
      <c r="D533" s="1"/>
      <c r="E533" s="1"/>
      <c r="F533" s="20"/>
      <c r="G533" s="1"/>
      <c r="H533" s="1"/>
      <c r="I533" s="1"/>
      <c r="J533" s="1"/>
      <c r="K533" s="1"/>
      <c r="L533" s="1"/>
      <c r="M533" s="1"/>
      <c r="N533" s="1"/>
      <c r="O533" s="1"/>
      <c r="P533" s="1"/>
      <c r="Q533" s="1"/>
      <c r="R533" s="1"/>
      <c r="S533" s="1"/>
      <c r="T533" s="1"/>
      <c r="U533" s="1"/>
      <c r="V533" s="1"/>
      <c r="W533" s="1"/>
      <c r="X533" s="1"/>
      <c r="Y533" s="1"/>
      <c r="Z533" s="1"/>
    </row>
    <row r="534" spans="1:26" ht="12.75">
      <c r="A534" s="1"/>
      <c r="B534" s="1"/>
      <c r="C534" s="20"/>
      <c r="D534" s="1"/>
      <c r="E534" s="1"/>
      <c r="F534" s="20"/>
      <c r="G534" s="1"/>
      <c r="H534" s="1"/>
      <c r="I534" s="1"/>
      <c r="J534" s="1"/>
      <c r="K534" s="1"/>
      <c r="L534" s="1"/>
      <c r="M534" s="1"/>
      <c r="N534" s="1"/>
      <c r="O534" s="1"/>
      <c r="P534" s="1"/>
      <c r="Q534" s="1"/>
      <c r="R534" s="1"/>
      <c r="S534" s="1"/>
      <c r="T534" s="1"/>
      <c r="U534" s="1"/>
      <c r="V534" s="1"/>
      <c r="W534" s="1"/>
      <c r="X534" s="1"/>
      <c r="Y534" s="1"/>
      <c r="Z534" s="1"/>
    </row>
    <row r="535" spans="1:26" ht="12.75">
      <c r="A535" s="1"/>
      <c r="B535" s="1"/>
      <c r="C535" s="20"/>
      <c r="D535" s="1"/>
      <c r="E535" s="1"/>
      <c r="F535" s="20"/>
      <c r="G535" s="1"/>
      <c r="H535" s="1"/>
      <c r="I535" s="1"/>
      <c r="J535" s="1"/>
      <c r="K535" s="1"/>
      <c r="L535" s="1"/>
      <c r="M535" s="1"/>
      <c r="N535" s="1"/>
      <c r="O535" s="1"/>
      <c r="P535" s="1"/>
      <c r="Q535" s="1"/>
      <c r="R535" s="1"/>
      <c r="S535" s="1"/>
      <c r="T535" s="1"/>
      <c r="U535" s="1"/>
      <c r="V535" s="1"/>
      <c r="W535" s="1"/>
      <c r="X535" s="1"/>
      <c r="Y535" s="1"/>
      <c r="Z535" s="1"/>
    </row>
    <row r="536" spans="1:26" ht="12.75">
      <c r="A536" s="1"/>
      <c r="B536" s="1"/>
      <c r="C536" s="20"/>
      <c r="D536" s="1"/>
      <c r="E536" s="1"/>
      <c r="F536" s="20"/>
      <c r="G536" s="1"/>
      <c r="H536" s="1"/>
      <c r="I536" s="1"/>
      <c r="J536" s="1"/>
      <c r="K536" s="1"/>
      <c r="L536" s="1"/>
      <c r="M536" s="1"/>
      <c r="N536" s="1"/>
      <c r="O536" s="1"/>
      <c r="P536" s="1"/>
      <c r="Q536" s="1"/>
      <c r="R536" s="1"/>
      <c r="S536" s="1"/>
      <c r="T536" s="1"/>
      <c r="U536" s="1"/>
      <c r="V536" s="1"/>
      <c r="W536" s="1"/>
      <c r="X536" s="1"/>
      <c r="Y536" s="1"/>
      <c r="Z536" s="1"/>
    </row>
    <row r="537" spans="1:26" ht="12.75">
      <c r="A537" s="1"/>
      <c r="B537" s="1"/>
      <c r="C537" s="20"/>
      <c r="D537" s="1"/>
      <c r="E537" s="1"/>
      <c r="F537" s="20"/>
      <c r="G537" s="1"/>
      <c r="H537" s="1"/>
      <c r="I537" s="1"/>
      <c r="J537" s="1"/>
      <c r="K537" s="1"/>
      <c r="L537" s="1"/>
      <c r="M537" s="1"/>
      <c r="N537" s="1"/>
      <c r="O537" s="1"/>
      <c r="P537" s="1"/>
      <c r="Q537" s="1"/>
      <c r="R537" s="1"/>
      <c r="S537" s="1"/>
      <c r="T537" s="1"/>
      <c r="U537" s="1"/>
      <c r="V537" s="1"/>
      <c r="W537" s="1"/>
      <c r="X537" s="1"/>
      <c r="Y537" s="1"/>
      <c r="Z537" s="1"/>
    </row>
    <row r="538" spans="1:26" ht="12.75">
      <c r="A538" s="1"/>
      <c r="B538" s="1"/>
      <c r="C538" s="20"/>
      <c r="D538" s="1"/>
      <c r="E538" s="1"/>
      <c r="F538" s="20"/>
      <c r="G538" s="1"/>
      <c r="H538" s="1"/>
      <c r="I538" s="1"/>
      <c r="J538" s="1"/>
      <c r="K538" s="1"/>
      <c r="L538" s="1"/>
      <c r="M538" s="1"/>
      <c r="N538" s="1"/>
      <c r="O538" s="1"/>
      <c r="P538" s="1"/>
      <c r="Q538" s="1"/>
      <c r="R538" s="1"/>
      <c r="S538" s="1"/>
      <c r="T538" s="1"/>
      <c r="U538" s="1"/>
      <c r="V538" s="1"/>
      <c r="W538" s="1"/>
      <c r="X538" s="1"/>
      <c r="Y538" s="1"/>
      <c r="Z538" s="1"/>
    </row>
    <row r="539" spans="1:26" ht="12.75">
      <c r="A539" s="1"/>
      <c r="B539" s="1"/>
      <c r="C539" s="20"/>
      <c r="D539" s="1"/>
      <c r="E539" s="1"/>
      <c r="F539" s="20"/>
      <c r="G539" s="1"/>
      <c r="H539" s="1"/>
      <c r="I539" s="1"/>
      <c r="J539" s="1"/>
      <c r="K539" s="1"/>
      <c r="L539" s="1"/>
      <c r="M539" s="1"/>
      <c r="N539" s="1"/>
      <c r="O539" s="1"/>
      <c r="P539" s="1"/>
      <c r="Q539" s="1"/>
      <c r="R539" s="1"/>
      <c r="S539" s="1"/>
      <c r="T539" s="1"/>
      <c r="U539" s="1"/>
      <c r="V539" s="1"/>
      <c r="W539" s="1"/>
      <c r="X539" s="1"/>
      <c r="Y539" s="1"/>
      <c r="Z539" s="1"/>
    </row>
    <row r="540" spans="1:26" ht="12.75">
      <c r="A540" s="1"/>
      <c r="B540" s="1"/>
      <c r="C540" s="20"/>
      <c r="D540" s="1"/>
      <c r="E540" s="1"/>
      <c r="F540" s="20"/>
      <c r="G540" s="1"/>
      <c r="H540" s="1"/>
      <c r="I540" s="1"/>
      <c r="J540" s="1"/>
      <c r="K540" s="1"/>
      <c r="L540" s="1"/>
      <c r="M540" s="1"/>
      <c r="N540" s="1"/>
      <c r="O540" s="1"/>
      <c r="P540" s="1"/>
      <c r="Q540" s="1"/>
      <c r="R540" s="1"/>
      <c r="S540" s="1"/>
      <c r="T540" s="1"/>
      <c r="U540" s="1"/>
      <c r="V540" s="1"/>
      <c r="W540" s="1"/>
      <c r="X540" s="1"/>
      <c r="Y540" s="1"/>
      <c r="Z540" s="1"/>
    </row>
    <row r="541" spans="1:26" ht="12.75">
      <c r="A541" s="1"/>
      <c r="B541" s="1"/>
      <c r="C541" s="20"/>
      <c r="D541" s="1"/>
      <c r="E541" s="1"/>
      <c r="F541" s="20"/>
      <c r="G541" s="1"/>
      <c r="H541" s="1"/>
      <c r="I541" s="1"/>
      <c r="J541" s="1"/>
      <c r="K541" s="1"/>
      <c r="L541" s="1"/>
      <c r="M541" s="1"/>
      <c r="N541" s="1"/>
      <c r="O541" s="1"/>
      <c r="P541" s="1"/>
      <c r="Q541" s="1"/>
      <c r="R541" s="1"/>
      <c r="S541" s="1"/>
      <c r="T541" s="1"/>
      <c r="U541" s="1"/>
      <c r="V541" s="1"/>
      <c r="W541" s="1"/>
      <c r="X541" s="1"/>
      <c r="Y541" s="1"/>
      <c r="Z541" s="1"/>
    </row>
    <row r="542" spans="1:26" ht="12.75">
      <c r="A542" s="1"/>
      <c r="B542" s="1"/>
      <c r="C542" s="20"/>
      <c r="D542" s="1"/>
      <c r="E542" s="1"/>
      <c r="F542" s="20"/>
      <c r="G542" s="1"/>
      <c r="H542" s="1"/>
      <c r="I542" s="1"/>
      <c r="J542" s="1"/>
      <c r="K542" s="1"/>
      <c r="L542" s="1"/>
      <c r="M542" s="1"/>
      <c r="N542" s="1"/>
      <c r="O542" s="1"/>
      <c r="P542" s="1"/>
      <c r="Q542" s="1"/>
      <c r="R542" s="1"/>
      <c r="S542" s="1"/>
      <c r="T542" s="1"/>
      <c r="U542" s="1"/>
      <c r="V542" s="1"/>
      <c r="W542" s="1"/>
      <c r="X542" s="1"/>
      <c r="Y542" s="1"/>
      <c r="Z542" s="1"/>
    </row>
    <row r="543" spans="1:26" ht="12.75">
      <c r="A543" s="1"/>
      <c r="B543" s="1"/>
      <c r="C543" s="20"/>
      <c r="D543" s="1"/>
      <c r="E543" s="1"/>
      <c r="F543" s="20"/>
      <c r="G543" s="1"/>
      <c r="H543" s="1"/>
      <c r="I543" s="1"/>
      <c r="J543" s="1"/>
      <c r="K543" s="1"/>
      <c r="L543" s="1"/>
      <c r="M543" s="1"/>
      <c r="N543" s="1"/>
      <c r="O543" s="1"/>
      <c r="P543" s="1"/>
      <c r="Q543" s="1"/>
      <c r="R543" s="1"/>
      <c r="S543" s="1"/>
      <c r="T543" s="1"/>
      <c r="U543" s="1"/>
      <c r="V543" s="1"/>
      <c r="W543" s="1"/>
      <c r="X543" s="1"/>
      <c r="Y543" s="1"/>
      <c r="Z543" s="1"/>
    </row>
    <row r="544" spans="1:26" ht="12.75">
      <c r="A544" s="1"/>
      <c r="B544" s="1"/>
      <c r="C544" s="20"/>
      <c r="D544" s="1"/>
      <c r="E544" s="1"/>
      <c r="F544" s="20"/>
      <c r="G544" s="1"/>
      <c r="H544" s="1"/>
      <c r="I544" s="1"/>
      <c r="J544" s="1"/>
      <c r="K544" s="1"/>
      <c r="L544" s="1"/>
      <c r="M544" s="1"/>
      <c r="N544" s="1"/>
      <c r="O544" s="1"/>
      <c r="P544" s="1"/>
      <c r="Q544" s="1"/>
      <c r="R544" s="1"/>
      <c r="S544" s="1"/>
      <c r="T544" s="1"/>
      <c r="U544" s="1"/>
      <c r="V544" s="1"/>
      <c r="W544" s="1"/>
      <c r="X544" s="1"/>
      <c r="Y544" s="1"/>
      <c r="Z544" s="1"/>
    </row>
    <row r="545" spans="1:26" ht="12.75">
      <c r="A545" s="1"/>
      <c r="B545" s="1"/>
      <c r="C545" s="20"/>
      <c r="D545" s="1"/>
      <c r="E545" s="1"/>
      <c r="F545" s="20"/>
      <c r="G545" s="1"/>
      <c r="H545" s="1"/>
      <c r="I545" s="1"/>
      <c r="J545" s="1"/>
      <c r="K545" s="1"/>
      <c r="L545" s="1"/>
      <c r="M545" s="1"/>
      <c r="N545" s="1"/>
      <c r="O545" s="1"/>
      <c r="P545" s="1"/>
      <c r="Q545" s="1"/>
      <c r="R545" s="1"/>
      <c r="S545" s="1"/>
      <c r="T545" s="1"/>
      <c r="U545" s="1"/>
      <c r="V545" s="1"/>
      <c r="W545" s="1"/>
      <c r="X545" s="1"/>
      <c r="Y545" s="1"/>
      <c r="Z545" s="1"/>
    </row>
    <row r="546" spans="1:26" ht="12.75">
      <c r="A546" s="1"/>
      <c r="B546" s="1"/>
      <c r="C546" s="20"/>
      <c r="D546" s="1"/>
      <c r="E546" s="1"/>
      <c r="F546" s="20"/>
      <c r="G546" s="1"/>
      <c r="H546" s="1"/>
      <c r="I546" s="1"/>
      <c r="J546" s="1"/>
      <c r="K546" s="1"/>
      <c r="L546" s="1"/>
      <c r="M546" s="1"/>
      <c r="N546" s="1"/>
      <c r="O546" s="1"/>
      <c r="P546" s="1"/>
      <c r="Q546" s="1"/>
      <c r="R546" s="1"/>
      <c r="S546" s="1"/>
      <c r="T546" s="1"/>
      <c r="U546" s="1"/>
      <c r="V546" s="1"/>
      <c r="W546" s="1"/>
      <c r="X546" s="1"/>
      <c r="Y546" s="1"/>
      <c r="Z546" s="1"/>
    </row>
    <row r="547" spans="1:26" ht="12.75">
      <c r="A547" s="1"/>
      <c r="B547" s="1"/>
      <c r="C547" s="20"/>
      <c r="D547" s="1"/>
      <c r="E547" s="1"/>
      <c r="F547" s="20"/>
      <c r="G547" s="1"/>
      <c r="H547" s="1"/>
      <c r="I547" s="1"/>
      <c r="J547" s="1"/>
      <c r="K547" s="1"/>
      <c r="L547" s="1"/>
      <c r="M547" s="1"/>
      <c r="N547" s="1"/>
      <c r="O547" s="1"/>
      <c r="P547" s="1"/>
      <c r="Q547" s="1"/>
      <c r="R547" s="1"/>
      <c r="S547" s="1"/>
      <c r="T547" s="1"/>
      <c r="U547" s="1"/>
      <c r="V547" s="1"/>
      <c r="W547" s="1"/>
      <c r="X547" s="1"/>
      <c r="Y547" s="1"/>
      <c r="Z547" s="1"/>
    </row>
    <row r="548" spans="1:26" ht="12.75">
      <c r="A548" s="1"/>
      <c r="B548" s="1"/>
      <c r="C548" s="20"/>
      <c r="D548" s="1"/>
      <c r="E548" s="1"/>
      <c r="F548" s="20"/>
      <c r="G548" s="1"/>
      <c r="H548" s="1"/>
      <c r="I548" s="1"/>
      <c r="J548" s="1"/>
      <c r="K548" s="1"/>
      <c r="L548" s="1"/>
      <c r="M548" s="1"/>
      <c r="N548" s="1"/>
      <c r="O548" s="1"/>
      <c r="P548" s="1"/>
      <c r="Q548" s="1"/>
      <c r="R548" s="1"/>
      <c r="S548" s="1"/>
      <c r="T548" s="1"/>
      <c r="U548" s="1"/>
      <c r="V548" s="1"/>
      <c r="W548" s="1"/>
      <c r="X548" s="1"/>
      <c r="Y548" s="1"/>
      <c r="Z548" s="1"/>
    </row>
    <row r="549" spans="1:26" ht="12.75">
      <c r="A549" s="1"/>
      <c r="B549" s="1"/>
      <c r="C549" s="20"/>
      <c r="D549" s="1"/>
      <c r="E549" s="1"/>
      <c r="F549" s="20"/>
      <c r="G549" s="1"/>
      <c r="H549" s="1"/>
      <c r="I549" s="1"/>
      <c r="J549" s="1"/>
      <c r="K549" s="1"/>
      <c r="L549" s="1"/>
      <c r="M549" s="1"/>
      <c r="N549" s="1"/>
      <c r="O549" s="1"/>
      <c r="P549" s="1"/>
      <c r="Q549" s="1"/>
      <c r="R549" s="1"/>
      <c r="S549" s="1"/>
      <c r="T549" s="1"/>
      <c r="U549" s="1"/>
      <c r="V549" s="1"/>
      <c r="W549" s="1"/>
      <c r="X549" s="1"/>
      <c r="Y549" s="1"/>
      <c r="Z549" s="1"/>
    </row>
    <row r="550" spans="1:26" ht="12.75">
      <c r="A550" s="1"/>
      <c r="B550" s="1"/>
      <c r="C550" s="20"/>
      <c r="D550" s="1"/>
      <c r="E550" s="1"/>
      <c r="F550" s="20"/>
      <c r="G550" s="1"/>
      <c r="H550" s="1"/>
      <c r="I550" s="1"/>
      <c r="J550" s="1"/>
      <c r="K550" s="1"/>
      <c r="L550" s="1"/>
      <c r="M550" s="1"/>
      <c r="N550" s="1"/>
      <c r="O550" s="1"/>
      <c r="P550" s="1"/>
      <c r="Q550" s="1"/>
      <c r="R550" s="1"/>
      <c r="S550" s="1"/>
      <c r="T550" s="1"/>
      <c r="U550" s="1"/>
      <c r="V550" s="1"/>
      <c r="W550" s="1"/>
      <c r="X550" s="1"/>
      <c r="Y550" s="1"/>
      <c r="Z550" s="1"/>
    </row>
    <row r="551" spans="1:26" ht="12.75">
      <c r="A551" s="1"/>
      <c r="B551" s="1"/>
      <c r="C551" s="20"/>
      <c r="D551" s="1"/>
      <c r="E551" s="1"/>
      <c r="F551" s="20"/>
      <c r="G551" s="1"/>
      <c r="H551" s="1"/>
      <c r="I551" s="1"/>
      <c r="J551" s="1"/>
      <c r="K551" s="1"/>
      <c r="L551" s="1"/>
      <c r="M551" s="1"/>
      <c r="N551" s="1"/>
      <c r="O551" s="1"/>
      <c r="P551" s="1"/>
      <c r="Q551" s="1"/>
      <c r="R551" s="1"/>
      <c r="S551" s="1"/>
      <c r="T551" s="1"/>
      <c r="U551" s="1"/>
      <c r="V551" s="1"/>
      <c r="W551" s="1"/>
      <c r="X551" s="1"/>
      <c r="Y551" s="1"/>
      <c r="Z551" s="1"/>
    </row>
    <row r="552" spans="1:26" ht="12.75">
      <c r="A552" s="1"/>
      <c r="B552" s="1"/>
      <c r="C552" s="20"/>
      <c r="D552" s="1"/>
      <c r="E552" s="1"/>
      <c r="F552" s="20"/>
      <c r="G552" s="1"/>
      <c r="H552" s="1"/>
      <c r="I552" s="1"/>
      <c r="J552" s="1"/>
      <c r="K552" s="1"/>
      <c r="L552" s="1"/>
      <c r="M552" s="1"/>
      <c r="N552" s="1"/>
      <c r="O552" s="1"/>
      <c r="P552" s="1"/>
      <c r="Q552" s="1"/>
      <c r="R552" s="1"/>
      <c r="S552" s="1"/>
      <c r="T552" s="1"/>
      <c r="U552" s="1"/>
      <c r="V552" s="1"/>
      <c r="W552" s="1"/>
      <c r="X552" s="1"/>
      <c r="Y552" s="1"/>
      <c r="Z552" s="1"/>
    </row>
    <row r="553" spans="1:26" ht="12.75">
      <c r="A553" s="1"/>
      <c r="B553" s="1"/>
      <c r="C553" s="20"/>
      <c r="D553" s="1"/>
      <c r="E553" s="1"/>
      <c r="F553" s="20"/>
      <c r="G553" s="1"/>
      <c r="H553" s="1"/>
      <c r="I553" s="1"/>
      <c r="J553" s="1"/>
      <c r="K553" s="1"/>
      <c r="L553" s="1"/>
      <c r="M553" s="1"/>
      <c r="N553" s="1"/>
      <c r="O553" s="1"/>
      <c r="P553" s="1"/>
      <c r="Q553" s="1"/>
      <c r="R553" s="1"/>
      <c r="S553" s="1"/>
      <c r="T553" s="1"/>
      <c r="U553" s="1"/>
      <c r="V553" s="1"/>
      <c r="W553" s="1"/>
      <c r="X553" s="1"/>
      <c r="Y553" s="1"/>
      <c r="Z553" s="1"/>
    </row>
    <row r="554" spans="1:26" ht="12.75">
      <c r="A554" s="1"/>
      <c r="B554" s="1"/>
      <c r="C554" s="20"/>
      <c r="D554" s="1"/>
      <c r="E554" s="1"/>
      <c r="F554" s="20"/>
      <c r="G554" s="1"/>
      <c r="H554" s="1"/>
      <c r="I554" s="1"/>
      <c r="J554" s="1"/>
      <c r="K554" s="1"/>
      <c r="L554" s="1"/>
      <c r="M554" s="1"/>
      <c r="N554" s="1"/>
      <c r="O554" s="1"/>
      <c r="P554" s="1"/>
      <c r="Q554" s="1"/>
      <c r="R554" s="1"/>
      <c r="S554" s="1"/>
      <c r="T554" s="1"/>
      <c r="U554" s="1"/>
      <c r="V554" s="1"/>
      <c r="W554" s="1"/>
      <c r="X554" s="1"/>
      <c r="Y554" s="1"/>
      <c r="Z554" s="1"/>
    </row>
    <row r="555" spans="1:26" ht="12.75">
      <c r="A555" s="1"/>
      <c r="B555" s="1"/>
      <c r="C555" s="20"/>
      <c r="D555" s="1"/>
      <c r="E555" s="1"/>
      <c r="F555" s="20"/>
      <c r="G555" s="1"/>
      <c r="H555" s="1"/>
      <c r="I555" s="1"/>
      <c r="J555" s="1"/>
      <c r="K555" s="1"/>
      <c r="L555" s="1"/>
      <c r="M555" s="1"/>
      <c r="N555" s="1"/>
      <c r="O555" s="1"/>
      <c r="P555" s="1"/>
      <c r="Q555" s="1"/>
      <c r="R555" s="1"/>
      <c r="S555" s="1"/>
      <c r="T555" s="1"/>
      <c r="U555" s="1"/>
      <c r="V555" s="1"/>
      <c r="W555" s="1"/>
      <c r="X555" s="1"/>
      <c r="Y555" s="1"/>
      <c r="Z555" s="1"/>
    </row>
    <row r="556" spans="1:26" ht="12.75">
      <c r="A556" s="1"/>
      <c r="B556" s="1"/>
      <c r="C556" s="20"/>
      <c r="D556" s="1"/>
      <c r="E556" s="1"/>
      <c r="F556" s="20"/>
      <c r="G556" s="1"/>
      <c r="H556" s="1"/>
      <c r="I556" s="1"/>
      <c r="J556" s="1"/>
      <c r="K556" s="1"/>
      <c r="L556" s="1"/>
      <c r="M556" s="1"/>
      <c r="N556" s="1"/>
      <c r="O556" s="1"/>
      <c r="P556" s="1"/>
      <c r="Q556" s="1"/>
      <c r="R556" s="1"/>
      <c r="S556" s="1"/>
      <c r="T556" s="1"/>
      <c r="U556" s="1"/>
      <c r="V556" s="1"/>
      <c r="W556" s="1"/>
      <c r="X556" s="1"/>
      <c r="Y556" s="1"/>
      <c r="Z556" s="1"/>
    </row>
    <row r="557" spans="1:26" ht="12.75">
      <c r="A557" s="1"/>
      <c r="B557" s="1"/>
      <c r="C557" s="20"/>
      <c r="D557" s="1"/>
      <c r="E557" s="1"/>
      <c r="F557" s="20"/>
      <c r="G557" s="1"/>
      <c r="H557" s="1"/>
      <c r="I557" s="1"/>
      <c r="J557" s="1"/>
      <c r="K557" s="1"/>
      <c r="L557" s="1"/>
      <c r="M557" s="1"/>
      <c r="N557" s="1"/>
      <c r="O557" s="1"/>
      <c r="P557" s="1"/>
      <c r="Q557" s="1"/>
      <c r="R557" s="1"/>
      <c r="S557" s="1"/>
      <c r="T557" s="1"/>
      <c r="U557" s="1"/>
      <c r="V557" s="1"/>
      <c r="W557" s="1"/>
      <c r="X557" s="1"/>
      <c r="Y557" s="1"/>
      <c r="Z557" s="1"/>
    </row>
    <row r="558" spans="1:26" ht="12.75">
      <c r="A558" s="1"/>
      <c r="B558" s="1"/>
      <c r="C558" s="20"/>
      <c r="D558" s="1"/>
      <c r="E558" s="1"/>
      <c r="F558" s="20"/>
      <c r="G558" s="1"/>
      <c r="H558" s="1"/>
      <c r="I558" s="1"/>
      <c r="J558" s="1"/>
      <c r="K558" s="1"/>
      <c r="L558" s="1"/>
      <c r="M558" s="1"/>
      <c r="N558" s="1"/>
      <c r="O558" s="1"/>
      <c r="P558" s="1"/>
      <c r="Q558" s="1"/>
      <c r="R558" s="1"/>
      <c r="S558" s="1"/>
      <c r="T558" s="1"/>
      <c r="U558" s="1"/>
      <c r="V558" s="1"/>
      <c r="W558" s="1"/>
      <c r="X558" s="1"/>
      <c r="Y558" s="1"/>
      <c r="Z558" s="1"/>
    </row>
    <row r="559" spans="1:26" ht="12.75">
      <c r="A559" s="1"/>
      <c r="B559" s="1"/>
      <c r="C559" s="20"/>
      <c r="D559" s="1"/>
      <c r="E559" s="1"/>
      <c r="F559" s="20"/>
      <c r="G559" s="1"/>
      <c r="H559" s="1"/>
      <c r="I559" s="1"/>
      <c r="J559" s="1"/>
      <c r="K559" s="1"/>
      <c r="L559" s="1"/>
      <c r="M559" s="1"/>
      <c r="N559" s="1"/>
      <c r="O559" s="1"/>
      <c r="P559" s="1"/>
      <c r="Q559" s="1"/>
      <c r="R559" s="1"/>
      <c r="S559" s="1"/>
      <c r="T559" s="1"/>
      <c r="U559" s="1"/>
      <c r="V559" s="1"/>
      <c r="W559" s="1"/>
      <c r="X559" s="1"/>
      <c r="Y559" s="1"/>
      <c r="Z559" s="1"/>
    </row>
    <row r="560" spans="1:26" ht="12.75">
      <c r="A560" s="1"/>
      <c r="B560" s="1"/>
      <c r="C560" s="20"/>
      <c r="D560" s="1"/>
      <c r="E560" s="1"/>
      <c r="F560" s="20"/>
      <c r="G560" s="1"/>
      <c r="H560" s="1"/>
      <c r="I560" s="1"/>
      <c r="J560" s="1"/>
      <c r="K560" s="1"/>
      <c r="L560" s="1"/>
      <c r="M560" s="1"/>
      <c r="N560" s="1"/>
      <c r="O560" s="1"/>
      <c r="P560" s="1"/>
      <c r="Q560" s="1"/>
      <c r="R560" s="1"/>
      <c r="S560" s="1"/>
      <c r="T560" s="1"/>
      <c r="U560" s="1"/>
      <c r="V560" s="1"/>
      <c r="W560" s="1"/>
      <c r="X560" s="1"/>
      <c r="Y560" s="1"/>
      <c r="Z560" s="1"/>
    </row>
    <row r="561" spans="1:26" ht="12.75">
      <c r="A561" s="1"/>
      <c r="B561" s="1"/>
      <c r="C561" s="20"/>
      <c r="D561" s="1"/>
      <c r="E561" s="1"/>
      <c r="F561" s="20"/>
      <c r="G561" s="1"/>
      <c r="H561" s="1"/>
      <c r="I561" s="1"/>
      <c r="J561" s="1"/>
      <c r="K561" s="1"/>
      <c r="L561" s="1"/>
      <c r="M561" s="1"/>
      <c r="N561" s="1"/>
      <c r="O561" s="1"/>
      <c r="P561" s="1"/>
      <c r="Q561" s="1"/>
      <c r="R561" s="1"/>
      <c r="S561" s="1"/>
      <c r="T561" s="1"/>
      <c r="U561" s="1"/>
      <c r="V561" s="1"/>
      <c r="W561" s="1"/>
      <c r="X561" s="1"/>
      <c r="Y561" s="1"/>
      <c r="Z561" s="1"/>
    </row>
    <row r="562" spans="1:26" ht="12.75">
      <c r="A562" s="1"/>
      <c r="B562" s="1"/>
      <c r="C562" s="20"/>
      <c r="D562" s="1"/>
      <c r="E562" s="1"/>
      <c r="F562" s="20"/>
      <c r="G562" s="1"/>
      <c r="H562" s="1"/>
      <c r="I562" s="1"/>
      <c r="J562" s="1"/>
      <c r="K562" s="1"/>
      <c r="L562" s="1"/>
      <c r="M562" s="1"/>
      <c r="N562" s="1"/>
      <c r="O562" s="1"/>
      <c r="P562" s="1"/>
      <c r="Q562" s="1"/>
      <c r="R562" s="1"/>
      <c r="S562" s="1"/>
      <c r="T562" s="1"/>
      <c r="U562" s="1"/>
      <c r="V562" s="1"/>
      <c r="W562" s="1"/>
      <c r="X562" s="1"/>
      <c r="Y562" s="1"/>
      <c r="Z562" s="1"/>
    </row>
    <row r="563" spans="1:26" ht="12.75">
      <c r="A563" s="1"/>
      <c r="B563" s="1"/>
      <c r="C563" s="20"/>
      <c r="D563" s="1"/>
      <c r="E563" s="1"/>
      <c r="F563" s="20"/>
      <c r="G563" s="1"/>
      <c r="H563" s="1"/>
      <c r="I563" s="1"/>
      <c r="J563" s="1"/>
      <c r="K563" s="1"/>
      <c r="L563" s="1"/>
      <c r="M563" s="1"/>
      <c r="N563" s="1"/>
      <c r="O563" s="1"/>
      <c r="P563" s="1"/>
      <c r="Q563" s="1"/>
      <c r="R563" s="1"/>
      <c r="S563" s="1"/>
      <c r="T563" s="1"/>
      <c r="U563" s="1"/>
      <c r="V563" s="1"/>
      <c r="W563" s="1"/>
      <c r="X563" s="1"/>
      <c r="Y563" s="1"/>
      <c r="Z563" s="1"/>
    </row>
    <row r="564" spans="1:26" ht="12.75">
      <c r="A564" s="1"/>
      <c r="B564" s="1"/>
      <c r="C564" s="20"/>
      <c r="D564" s="1"/>
      <c r="E564" s="1"/>
      <c r="F564" s="20"/>
      <c r="G564" s="1"/>
      <c r="H564" s="1"/>
      <c r="I564" s="1"/>
      <c r="J564" s="1"/>
      <c r="K564" s="1"/>
      <c r="L564" s="1"/>
      <c r="M564" s="1"/>
      <c r="N564" s="1"/>
      <c r="O564" s="1"/>
      <c r="P564" s="1"/>
      <c r="Q564" s="1"/>
      <c r="R564" s="1"/>
      <c r="S564" s="1"/>
      <c r="T564" s="1"/>
      <c r="U564" s="1"/>
      <c r="V564" s="1"/>
      <c r="W564" s="1"/>
      <c r="X564" s="1"/>
      <c r="Y564" s="1"/>
      <c r="Z564" s="1"/>
    </row>
    <row r="565" spans="1:26" ht="12.75">
      <c r="A565" s="1"/>
      <c r="B565" s="1"/>
      <c r="C565" s="20"/>
      <c r="D565" s="1"/>
      <c r="E565" s="1"/>
      <c r="F565" s="20"/>
      <c r="G565" s="1"/>
      <c r="H565" s="1"/>
      <c r="I565" s="1"/>
      <c r="J565" s="1"/>
      <c r="K565" s="1"/>
      <c r="L565" s="1"/>
      <c r="M565" s="1"/>
      <c r="N565" s="1"/>
      <c r="O565" s="1"/>
      <c r="P565" s="1"/>
      <c r="Q565" s="1"/>
      <c r="R565" s="1"/>
      <c r="S565" s="1"/>
      <c r="T565" s="1"/>
      <c r="U565" s="1"/>
      <c r="V565" s="1"/>
      <c r="W565" s="1"/>
      <c r="X565" s="1"/>
      <c r="Y565" s="1"/>
      <c r="Z565" s="1"/>
    </row>
    <row r="566" spans="1:26" ht="12.75">
      <c r="A566" s="1"/>
      <c r="B566" s="1"/>
      <c r="C566" s="20"/>
      <c r="D566" s="1"/>
      <c r="E566" s="1"/>
      <c r="F566" s="20"/>
      <c r="G566" s="1"/>
      <c r="H566" s="1"/>
      <c r="I566" s="1"/>
      <c r="J566" s="1"/>
      <c r="K566" s="1"/>
      <c r="L566" s="1"/>
      <c r="M566" s="1"/>
      <c r="N566" s="1"/>
      <c r="O566" s="1"/>
      <c r="P566" s="1"/>
      <c r="Q566" s="1"/>
      <c r="R566" s="1"/>
      <c r="S566" s="1"/>
      <c r="T566" s="1"/>
      <c r="U566" s="1"/>
      <c r="V566" s="1"/>
      <c r="W566" s="1"/>
      <c r="X566" s="1"/>
      <c r="Y566" s="1"/>
      <c r="Z566" s="1"/>
    </row>
    <row r="567" spans="1:26" ht="12.75">
      <c r="A567" s="1"/>
      <c r="B567" s="1"/>
      <c r="C567" s="20"/>
      <c r="D567" s="1"/>
      <c r="E567" s="1"/>
      <c r="F567" s="20"/>
      <c r="G567" s="1"/>
      <c r="H567" s="1"/>
      <c r="I567" s="1"/>
      <c r="J567" s="1"/>
      <c r="K567" s="1"/>
      <c r="L567" s="1"/>
      <c r="M567" s="1"/>
      <c r="N567" s="1"/>
      <c r="O567" s="1"/>
      <c r="P567" s="1"/>
      <c r="Q567" s="1"/>
      <c r="R567" s="1"/>
      <c r="S567" s="1"/>
      <c r="T567" s="1"/>
      <c r="U567" s="1"/>
      <c r="V567" s="1"/>
      <c r="W567" s="1"/>
      <c r="X567" s="1"/>
      <c r="Y567" s="1"/>
      <c r="Z567" s="1"/>
    </row>
    <row r="568" spans="1:26" ht="12.75">
      <c r="A568" s="1"/>
      <c r="B568" s="1"/>
      <c r="C568" s="20"/>
      <c r="D568" s="1"/>
      <c r="E568" s="1"/>
      <c r="F568" s="20"/>
      <c r="G568" s="1"/>
      <c r="H568" s="1"/>
      <c r="I568" s="1"/>
      <c r="J568" s="1"/>
      <c r="K568" s="1"/>
      <c r="L568" s="1"/>
      <c r="M568" s="1"/>
      <c r="N568" s="1"/>
      <c r="O568" s="1"/>
      <c r="P568" s="1"/>
      <c r="Q568" s="1"/>
      <c r="R568" s="1"/>
      <c r="S568" s="1"/>
      <c r="T568" s="1"/>
      <c r="U568" s="1"/>
      <c r="V568" s="1"/>
      <c r="W568" s="1"/>
      <c r="X568" s="1"/>
      <c r="Y568" s="1"/>
      <c r="Z568" s="1"/>
    </row>
    <row r="569" spans="1:26" ht="12.75">
      <c r="A569" s="1"/>
      <c r="B569" s="1"/>
      <c r="C569" s="20"/>
      <c r="D569" s="1"/>
      <c r="E569" s="1"/>
      <c r="F569" s="20"/>
      <c r="G569" s="1"/>
      <c r="H569" s="1"/>
      <c r="I569" s="1"/>
      <c r="J569" s="1"/>
      <c r="K569" s="1"/>
      <c r="L569" s="1"/>
      <c r="M569" s="1"/>
      <c r="N569" s="1"/>
      <c r="O569" s="1"/>
      <c r="P569" s="1"/>
      <c r="Q569" s="1"/>
      <c r="R569" s="1"/>
      <c r="S569" s="1"/>
      <c r="T569" s="1"/>
      <c r="U569" s="1"/>
      <c r="V569" s="1"/>
      <c r="W569" s="1"/>
      <c r="X569" s="1"/>
      <c r="Y569" s="1"/>
      <c r="Z569" s="1"/>
    </row>
    <row r="570" spans="1:26" ht="12.75">
      <c r="A570" s="1"/>
      <c r="B570" s="1"/>
      <c r="C570" s="20"/>
      <c r="D570" s="1"/>
      <c r="E570" s="1"/>
      <c r="F570" s="20"/>
      <c r="G570" s="1"/>
      <c r="H570" s="1"/>
      <c r="I570" s="1"/>
      <c r="J570" s="1"/>
      <c r="K570" s="1"/>
      <c r="L570" s="1"/>
      <c r="M570" s="1"/>
      <c r="N570" s="1"/>
      <c r="O570" s="1"/>
      <c r="P570" s="1"/>
      <c r="Q570" s="1"/>
      <c r="R570" s="1"/>
      <c r="S570" s="1"/>
      <c r="T570" s="1"/>
      <c r="U570" s="1"/>
      <c r="V570" s="1"/>
      <c r="W570" s="1"/>
      <c r="X570" s="1"/>
      <c r="Y570" s="1"/>
      <c r="Z570" s="1"/>
    </row>
    <row r="571" spans="1:26" ht="12.75">
      <c r="A571" s="1"/>
      <c r="B571" s="1"/>
      <c r="C571" s="20"/>
      <c r="D571" s="1"/>
      <c r="E571" s="1"/>
      <c r="F571" s="20"/>
      <c r="G571" s="1"/>
      <c r="H571" s="1"/>
      <c r="I571" s="1"/>
      <c r="J571" s="1"/>
      <c r="K571" s="1"/>
      <c r="L571" s="1"/>
      <c r="M571" s="1"/>
      <c r="N571" s="1"/>
      <c r="O571" s="1"/>
      <c r="P571" s="1"/>
      <c r="Q571" s="1"/>
      <c r="R571" s="1"/>
      <c r="S571" s="1"/>
      <c r="T571" s="1"/>
      <c r="U571" s="1"/>
      <c r="V571" s="1"/>
      <c r="W571" s="1"/>
      <c r="X571" s="1"/>
      <c r="Y571" s="1"/>
      <c r="Z571" s="1"/>
    </row>
    <row r="572" spans="1:26" ht="12.75">
      <c r="A572" s="1"/>
      <c r="B572" s="1"/>
      <c r="C572" s="20"/>
      <c r="D572" s="1"/>
      <c r="E572" s="1"/>
      <c r="F572" s="20"/>
      <c r="G572" s="1"/>
      <c r="H572" s="1"/>
      <c r="I572" s="1"/>
      <c r="J572" s="1"/>
      <c r="K572" s="1"/>
      <c r="L572" s="1"/>
      <c r="M572" s="1"/>
      <c r="N572" s="1"/>
      <c r="O572" s="1"/>
      <c r="P572" s="1"/>
      <c r="Q572" s="1"/>
      <c r="R572" s="1"/>
      <c r="S572" s="1"/>
      <c r="T572" s="1"/>
      <c r="U572" s="1"/>
      <c r="V572" s="1"/>
      <c r="W572" s="1"/>
      <c r="X572" s="1"/>
      <c r="Y572" s="1"/>
      <c r="Z572" s="1"/>
    </row>
    <row r="573" spans="1:26" ht="12.75">
      <c r="A573" s="1"/>
      <c r="B573" s="1"/>
      <c r="C573" s="20"/>
      <c r="D573" s="1"/>
      <c r="E573" s="1"/>
      <c r="F573" s="20"/>
      <c r="G573" s="1"/>
      <c r="H573" s="1"/>
      <c r="I573" s="1"/>
      <c r="J573" s="1"/>
      <c r="K573" s="1"/>
      <c r="L573" s="1"/>
      <c r="M573" s="1"/>
      <c r="N573" s="1"/>
      <c r="O573" s="1"/>
      <c r="P573" s="1"/>
      <c r="Q573" s="1"/>
      <c r="R573" s="1"/>
      <c r="S573" s="1"/>
      <c r="T573" s="1"/>
      <c r="U573" s="1"/>
      <c r="V573" s="1"/>
      <c r="W573" s="1"/>
      <c r="X573" s="1"/>
      <c r="Y573" s="1"/>
      <c r="Z573" s="1"/>
    </row>
    <row r="574" spans="1:26" ht="12.75">
      <c r="A574" s="1"/>
      <c r="B574" s="1"/>
      <c r="C574" s="20"/>
      <c r="D574" s="1"/>
      <c r="E574" s="1"/>
      <c r="F574" s="20"/>
      <c r="G574" s="1"/>
      <c r="H574" s="1"/>
      <c r="I574" s="1"/>
      <c r="J574" s="1"/>
      <c r="K574" s="1"/>
      <c r="L574" s="1"/>
      <c r="M574" s="1"/>
      <c r="N574" s="1"/>
      <c r="O574" s="1"/>
      <c r="P574" s="1"/>
      <c r="Q574" s="1"/>
      <c r="R574" s="1"/>
      <c r="S574" s="1"/>
      <c r="T574" s="1"/>
      <c r="U574" s="1"/>
      <c r="V574" s="1"/>
      <c r="W574" s="1"/>
      <c r="X574" s="1"/>
      <c r="Y574" s="1"/>
      <c r="Z574" s="1"/>
    </row>
    <row r="575" spans="1:26" ht="12.75">
      <c r="A575" s="1"/>
      <c r="B575" s="1"/>
      <c r="C575" s="20"/>
      <c r="D575" s="1"/>
      <c r="E575" s="1"/>
      <c r="F575" s="20"/>
      <c r="G575" s="1"/>
      <c r="H575" s="1"/>
      <c r="I575" s="1"/>
      <c r="J575" s="1"/>
      <c r="K575" s="1"/>
      <c r="L575" s="1"/>
      <c r="M575" s="1"/>
      <c r="N575" s="1"/>
      <c r="O575" s="1"/>
      <c r="P575" s="1"/>
      <c r="Q575" s="1"/>
      <c r="R575" s="1"/>
      <c r="S575" s="1"/>
      <c r="T575" s="1"/>
      <c r="U575" s="1"/>
      <c r="V575" s="1"/>
      <c r="W575" s="1"/>
      <c r="X575" s="1"/>
      <c r="Y575" s="1"/>
      <c r="Z575" s="1"/>
    </row>
    <row r="576" spans="1:26" ht="12.75">
      <c r="A576" s="1"/>
      <c r="B576" s="1"/>
      <c r="C576" s="20"/>
      <c r="D576" s="1"/>
      <c r="E576" s="1"/>
      <c r="F576" s="20"/>
      <c r="G576" s="1"/>
      <c r="H576" s="1"/>
      <c r="I576" s="1"/>
      <c r="J576" s="1"/>
      <c r="K576" s="1"/>
      <c r="L576" s="1"/>
      <c r="M576" s="1"/>
      <c r="N576" s="1"/>
      <c r="O576" s="1"/>
      <c r="P576" s="1"/>
      <c r="Q576" s="1"/>
      <c r="R576" s="1"/>
      <c r="S576" s="1"/>
      <c r="T576" s="1"/>
      <c r="U576" s="1"/>
      <c r="V576" s="1"/>
      <c r="W576" s="1"/>
      <c r="X576" s="1"/>
      <c r="Y576" s="1"/>
      <c r="Z576" s="1"/>
    </row>
    <row r="577" spans="1:26" ht="12.75">
      <c r="A577" s="1"/>
      <c r="B577" s="1"/>
      <c r="C577" s="20"/>
      <c r="D577" s="1"/>
      <c r="E577" s="1"/>
      <c r="F577" s="20"/>
      <c r="G577" s="1"/>
      <c r="H577" s="1"/>
      <c r="I577" s="1"/>
      <c r="J577" s="1"/>
      <c r="K577" s="1"/>
      <c r="L577" s="1"/>
      <c r="M577" s="1"/>
      <c r="N577" s="1"/>
      <c r="O577" s="1"/>
      <c r="P577" s="1"/>
      <c r="Q577" s="1"/>
      <c r="R577" s="1"/>
      <c r="S577" s="1"/>
      <c r="T577" s="1"/>
      <c r="U577" s="1"/>
      <c r="V577" s="1"/>
      <c r="W577" s="1"/>
      <c r="X577" s="1"/>
      <c r="Y577" s="1"/>
      <c r="Z577" s="1"/>
    </row>
    <row r="578" spans="1:26" ht="12.75">
      <c r="A578" s="1"/>
      <c r="B578" s="1"/>
      <c r="C578" s="20"/>
      <c r="D578" s="1"/>
      <c r="E578" s="1"/>
      <c r="F578" s="20"/>
      <c r="G578" s="1"/>
      <c r="H578" s="1"/>
      <c r="I578" s="1"/>
      <c r="J578" s="1"/>
      <c r="K578" s="1"/>
      <c r="L578" s="1"/>
      <c r="M578" s="1"/>
      <c r="N578" s="1"/>
      <c r="O578" s="1"/>
      <c r="P578" s="1"/>
      <c r="Q578" s="1"/>
      <c r="R578" s="1"/>
      <c r="S578" s="1"/>
      <c r="T578" s="1"/>
      <c r="U578" s="1"/>
      <c r="V578" s="1"/>
      <c r="W578" s="1"/>
      <c r="X578" s="1"/>
      <c r="Y578" s="1"/>
      <c r="Z578" s="1"/>
    </row>
    <row r="579" spans="1:26" ht="12.75">
      <c r="A579" s="1"/>
      <c r="B579" s="1"/>
      <c r="C579" s="20"/>
      <c r="D579" s="1"/>
      <c r="E579" s="1"/>
      <c r="F579" s="20"/>
      <c r="G579" s="1"/>
      <c r="H579" s="1"/>
      <c r="I579" s="1"/>
      <c r="J579" s="1"/>
      <c r="K579" s="1"/>
      <c r="L579" s="1"/>
      <c r="M579" s="1"/>
      <c r="N579" s="1"/>
      <c r="O579" s="1"/>
      <c r="P579" s="1"/>
      <c r="Q579" s="1"/>
      <c r="R579" s="1"/>
      <c r="S579" s="1"/>
      <c r="T579" s="1"/>
      <c r="U579" s="1"/>
      <c r="V579" s="1"/>
      <c r="W579" s="1"/>
      <c r="X579" s="1"/>
      <c r="Y579" s="1"/>
      <c r="Z579" s="1"/>
    </row>
    <row r="580" spans="1:26" ht="12.75">
      <c r="A580" s="1"/>
      <c r="B580" s="1"/>
      <c r="C580" s="20"/>
      <c r="D580" s="1"/>
      <c r="E580" s="1"/>
      <c r="F580" s="20"/>
      <c r="G580" s="1"/>
      <c r="H580" s="1"/>
      <c r="I580" s="1"/>
      <c r="J580" s="1"/>
      <c r="K580" s="1"/>
      <c r="L580" s="1"/>
      <c r="M580" s="1"/>
      <c r="N580" s="1"/>
      <c r="O580" s="1"/>
      <c r="P580" s="1"/>
      <c r="Q580" s="1"/>
      <c r="R580" s="1"/>
      <c r="S580" s="1"/>
      <c r="T580" s="1"/>
      <c r="U580" s="1"/>
      <c r="V580" s="1"/>
      <c r="W580" s="1"/>
      <c r="X580" s="1"/>
      <c r="Y580" s="1"/>
      <c r="Z580" s="1"/>
    </row>
    <row r="581" spans="1:26" ht="12.75">
      <c r="A581" s="1"/>
      <c r="B581" s="1"/>
      <c r="C581" s="20"/>
      <c r="D581" s="1"/>
      <c r="E581" s="1"/>
      <c r="F581" s="20"/>
      <c r="G581" s="1"/>
      <c r="H581" s="1"/>
      <c r="I581" s="1"/>
      <c r="J581" s="1"/>
      <c r="K581" s="1"/>
      <c r="L581" s="1"/>
      <c r="M581" s="1"/>
      <c r="N581" s="1"/>
      <c r="O581" s="1"/>
      <c r="P581" s="1"/>
      <c r="Q581" s="1"/>
      <c r="R581" s="1"/>
      <c r="S581" s="1"/>
      <c r="T581" s="1"/>
      <c r="U581" s="1"/>
      <c r="V581" s="1"/>
      <c r="W581" s="1"/>
      <c r="X581" s="1"/>
      <c r="Y581" s="1"/>
      <c r="Z581" s="1"/>
    </row>
    <row r="582" spans="1:26" ht="12.75">
      <c r="A582" s="1"/>
      <c r="B582" s="1"/>
      <c r="C582" s="20"/>
      <c r="D582" s="1"/>
      <c r="E582" s="1"/>
      <c r="F582" s="20"/>
      <c r="G582" s="1"/>
      <c r="H582" s="1"/>
      <c r="I582" s="1"/>
      <c r="J582" s="1"/>
      <c r="K582" s="1"/>
      <c r="L582" s="1"/>
      <c r="M582" s="1"/>
      <c r="N582" s="1"/>
      <c r="O582" s="1"/>
      <c r="P582" s="1"/>
      <c r="Q582" s="1"/>
      <c r="R582" s="1"/>
      <c r="S582" s="1"/>
      <c r="T582" s="1"/>
      <c r="U582" s="1"/>
      <c r="V582" s="1"/>
      <c r="W582" s="1"/>
      <c r="X582" s="1"/>
      <c r="Y582" s="1"/>
      <c r="Z582" s="1"/>
    </row>
    <row r="583" spans="1:26" ht="12.75">
      <c r="A583" s="1"/>
      <c r="B583" s="1"/>
      <c r="C583" s="20"/>
      <c r="D583" s="1"/>
      <c r="E583" s="1"/>
      <c r="F583" s="20"/>
      <c r="G583" s="1"/>
      <c r="H583" s="1"/>
      <c r="I583" s="1"/>
      <c r="J583" s="1"/>
      <c r="K583" s="1"/>
      <c r="L583" s="1"/>
      <c r="M583" s="1"/>
      <c r="N583" s="1"/>
      <c r="O583" s="1"/>
      <c r="P583" s="1"/>
      <c r="Q583" s="1"/>
      <c r="R583" s="1"/>
      <c r="S583" s="1"/>
      <c r="T583" s="1"/>
      <c r="U583" s="1"/>
      <c r="V583" s="1"/>
      <c r="W583" s="1"/>
      <c r="X583" s="1"/>
      <c r="Y583" s="1"/>
      <c r="Z583" s="1"/>
    </row>
    <row r="584" spans="1:26" ht="12.75">
      <c r="A584" s="1"/>
      <c r="B584" s="1"/>
      <c r="C584" s="20"/>
      <c r="D584" s="1"/>
      <c r="E584" s="1"/>
      <c r="F584" s="20"/>
      <c r="G584" s="1"/>
      <c r="H584" s="1"/>
      <c r="I584" s="1"/>
      <c r="J584" s="1"/>
      <c r="K584" s="1"/>
      <c r="L584" s="1"/>
      <c r="M584" s="1"/>
      <c r="N584" s="1"/>
      <c r="O584" s="1"/>
      <c r="P584" s="1"/>
      <c r="Q584" s="1"/>
      <c r="R584" s="1"/>
      <c r="S584" s="1"/>
      <c r="T584" s="1"/>
      <c r="U584" s="1"/>
      <c r="V584" s="1"/>
      <c r="W584" s="1"/>
      <c r="X584" s="1"/>
      <c r="Y584" s="1"/>
      <c r="Z584" s="1"/>
    </row>
    <row r="585" spans="1:26" ht="12.75">
      <c r="A585" s="1"/>
      <c r="B585" s="1"/>
      <c r="C585" s="20"/>
      <c r="D585" s="1"/>
      <c r="E585" s="1"/>
      <c r="F585" s="20"/>
      <c r="G585" s="1"/>
      <c r="H585" s="1"/>
      <c r="I585" s="1"/>
      <c r="J585" s="1"/>
      <c r="K585" s="1"/>
      <c r="L585" s="1"/>
      <c r="M585" s="1"/>
      <c r="N585" s="1"/>
      <c r="O585" s="1"/>
      <c r="P585" s="1"/>
      <c r="Q585" s="1"/>
      <c r="R585" s="1"/>
      <c r="S585" s="1"/>
      <c r="T585" s="1"/>
      <c r="U585" s="1"/>
      <c r="V585" s="1"/>
      <c r="W585" s="1"/>
      <c r="X585" s="1"/>
      <c r="Y585" s="1"/>
      <c r="Z585" s="1"/>
    </row>
    <row r="586" spans="1:26" ht="12.75">
      <c r="A586" s="1"/>
      <c r="B586" s="1"/>
      <c r="C586" s="20"/>
      <c r="D586" s="1"/>
      <c r="E586" s="1"/>
      <c r="F586" s="20"/>
      <c r="G586" s="1"/>
      <c r="H586" s="1"/>
      <c r="I586" s="1"/>
      <c r="J586" s="1"/>
      <c r="K586" s="1"/>
      <c r="L586" s="1"/>
      <c r="M586" s="1"/>
      <c r="N586" s="1"/>
      <c r="O586" s="1"/>
      <c r="P586" s="1"/>
      <c r="Q586" s="1"/>
      <c r="R586" s="1"/>
      <c r="S586" s="1"/>
      <c r="T586" s="1"/>
      <c r="U586" s="1"/>
      <c r="V586" s="1"/>
      <c r="W586" s="1"/>
      <c r="X586" s="1"/>
      <c r="Y586" s="1"/>
      <c r="Z586" s="1"/>
    </row>
    <row r="587" spans="1:26" ht="12.75">
      <c r="A587" s="1"/>
      <c r="B587" s="1"/>
      <c r="C587" s="20"/>
      <c r="D587" s="1"/>
      <c r="E587" s="1"/>
      <c r="F587" s="20"/>
      <c r="G587" s="1"/>
      <c r="H587" s="1"/>
      <c r="I587" s="1"/>
      <c r="J587" s="1"/>
      <c r="K587" s="1"/>
      <c r="L587" s="1"/>
      <c r="M587" s="1"/>
      <c r="N587" s="1"/>
      <c r="O587" s="1"/>
      <c r="P587" s="1"/>
      <c r="Q587" s="1"/>
      <c r="R587" s="1"/>
      <c r="S587" s="1"/>
      <c r="T587" s="1"/>
      <c r="U587" s="1"/>
      <c r="V587" s="1"/>
      <c r="W587" s="1"/>
      <c r="X587" s="1"/>
      <c r="Y587" s="1"/>
      <c r="Z587" s="1"/>
    </row>
    <row r="588" spans="1:26" ht="12.75">
      <c r="A588" s="1"/>
      <c r="B588" s="1"/>
      <c r="C588" s="20"/>
      <c r="D588" s="1"/>
      <c r="E588" s="1"/>
      <c r="F588" s="20"/>
      <c r="G588" s="1"/>
      <c r="H588" s="1"/>
      <c r="I588" s="1"/>
      <c r="J588" s="1"/>
      <c r="K588" s="1"/>
      <c r="L588" s="1"/>
      <c r="M588" s="1"/>
      <c r="N588" s="1"/>
      <c r="O588" s="1"/>
      <c r="P588" s="1"/>
      <c r="Q588" s="1"/>
      <c r="R588" s="1"/>
      <c r="S588" s="1"/>
      <c r="T588" s="1"/>
      <c r="U588" s="1"/>
      <c r="V588" s="1"/>
      <c r="W588" s="1"/>
      <c r="X588" s="1"/>
      <c r="Y588" s="1"/>
      <c r="Z588" s="1"/>
    </row>
    <row r="589" spans="1:26" ht="12.75">
      <c r="A589" s="1"/>
      <c r="B589" s="1"/>
      <c r="C589" s="20"/>
      <c r="D589" s="1"/>
      <c r="E589" s="1"/>
      <c r="F589" s="20"/>
      <c r="G589" s="1"/>
      <c r="H589" s="1"/>
      <c r="I589" s="1"/>
      <c r="J589" s="1"/>
      <c r="K589" s="1"/>
      <c r="L589" s="1"/>
      <c r="M589" s="1"/>
      <c r="N589" s="1"/>
      <c r="O589" s="1"/>
      <c r="P589" s="1"/>
      <c r="Q589" s="1"/>
      <c r="R589" s="1"/>
      <c r="S589" s="1"/>
      <c r="T589" s="1"/>
      <c r="U589" s="1"/>
      <c r="V589" s="1"/>
      <c r="W589" s="1"/>
      <c r="X589" s="1"/>
      <c r="Y589" s="1"/>
      <c r="Z589" s="1"/>
    </row>
    <row r="590" spans="1:26" ht="12.75">
      <c r="A590" s="1"/>
      <c r="B590" s="1"/>
      <c r="C590" s="20"/>
      <c r="D590" s="1"/>
      <c r="E590" s="1"/>
      <c r="F590" s="20"/>
      <c r="G590" s="1"/>
      <c r="H590" s="1"/>
      <c r="I590" s="1"/>
      <c r="J590" s="1"/>
      <c r="K590" s="1"/>
      <c r="L590" s="1"/>
      <c r="M590" s="1"/>
      <c r="N590" s="1"/>
      <c r="O590" s="1"/>
      <c r="P590" s="1"/>
      <c r="Q590" s="1"/>
      <c r="R590" s="1"/>
      <c r="S590" s="1"/>
      <c r="T590" s="1"/>
      <c r="U590" s="1"/>
      <c r="V590" s="1"/>
      <c r="W590" s="1"/>
      <c r="X590" s="1"/>
      <c r="Y590" s="1"/>
      <c r="Z590" s="1"/>
    </row>
    <row r="591" spans="1:26" ht="12.75">
      <c r="A591" s="1"/>
      <c r="B591" s="1"/>
      <c r="C591" s="20"/>
      <c r="D591" s="1"/>
      <c r="E591" s="1"/>
      <c r="F591" s="20"/>
      <c r="G591" s="1"/>
      <c r="H591" s="1"/>
      <c r="I591" s="1"/>
      <c r="J591" s="1"/>
      <c r="K591" s="1"/>
      <c r="L591" s="1"/>
      <c r="M591" s="1"/>
      <c r="N591" s="1"/>
      <c r="O591" s="1"/>
      <c r="P591" s="1"/>
      <c r="Q591" s="1"/>
      <c r="R591" s="1"/>
      <c r="S591" s="1"/>
      <c r="T591" s="1"/>
      <c r="U591" s="1"/>
      <c r="V591" s="1"/>
      <c r="W591" s="1"/>
      <c r="X591" s="1"/>
      <c r="Y591" s="1"/>
      <c r="Z591" s="1"/>
    </row>
    <row r="592" spans="1:26" ht="12.75">
      <c r="A592" s="1"/>
      <c r="B592" s="1"/>
      <c r="C592" s="20"/>
      <c r="D592" s="1"/>
      <c r="E592" s="1"/>
      <c r="F592" s="20"/>
      <c r="G592" s="1"/>
      <c r="H592" s="1"/>
      <c r="I592" s="1"/>
      <c r="J592" s="1"/>
      <c r="K592" s="1"/>
      <c r="L592" s="1"/>
      <c r="M592" s="1"/>
      <c r="N592" s="1"/>
      <c r="O592" s="1"/>
      <c r="P592" s="1"/>
      <c r="Q592" s="1"/>
      <c r="R592" s="1"/>
      <c r="S592" s="1"/>
      <c r="T592" s="1"/>
      <c r="U592" s="1"/>
      <c r="V592" s="1"/>
      <c r="W592" s="1"/>
      <c r="X592" s="1"/>
      <c r="Y592" s="1"/>
      <c r="Z592" s="1"/>
    </row>
    <row r="593" spans="1:26" ht="12.75">
      <c r="A593" s="1"/>
      <c r="B593" s="1"/>
      <c r="C593" s="20"/>
      <c r="D593" s="1"/>
      <c r="E593" s="1"/>
      <c r="F593" s="20"/>
      <c r="G593" s="1"/>
      <c r="H593" s="1"/>
      <c r="I593" s="1"/>
      <c r="J593" s="1"/>
      <c r="K593" s="1"/>
      <c r="L593" s="1"/>
      <c r="M593" s="1"/>
      <c r="N593" s="1"/>
      <c r="O593" s="1"/>
      <c r="P593" s="1"/>
      <c r="Q593" s="1"/>
      <c r="R593" s="1"/>
      <c r="S593" s="1"/>
      <c r="T593" s="1"/>
      <c r="U593" s="1"/>
      <c r="V593" s="1"/>
      <c r="W593" s="1"/>
      <c r="X593" s="1"/>
      <c r="Y593" s="1"/>
      <c r="Z593" s="1"/>
    </row>
    <row r="594" spans="1:26" ht="12.75">
      <c r="A594" s="1"/>
      <c r="B594" s="1"/>
      <c r="C594" s="20"/>
      <c r="D594" s="1"/>
      <c r="E594" s="1"/>
      <c r="F594" s="20"/>
      <c r="G594" s="1"/>
      <c r="H594" s="1"/>
      <c r="I594" s="1"/>
      <c r="J594" s="1"/>
      <c r="K594" s="1"/>
      <c r="L594" s="1"/>
      <c r="M594" s="1"/>
      <c r="N594" s="1"/>
      <c r="O594" s="1"/>
      <c r="P594" s="1"/>
      <c r="Q594" s="1"/>
      <c r="R594" s="1"/>
      <c r="S594" s="1"/>
      <c r="T594" s="1"/>
      <c r="U594" s="1"/>
      <c r="V594" s="1"/>
      <c r="W594" s="1"/>
      <c r="X594" s="1"/>
      <c r="Y594" s="1"/>
      <c r="Z594" s="1"/>
    </row>
    <row r="595" spans="1:26" ht="12.75">
      <c r="A595" s="1"/>
      <c r="B595" s="1"/>
      <c r="C595" s="20"/>
      <c r="D595" s="1"/>
      <c r="E595" s="1"/>
      <c r="F595" s="20"/>
      <c r="G595" s="1"/>
      <c r="H595" s="1"/>
      <c r="I595" s="1"/>
      <c r="J595" s="1"/>
      <c r="K595" s="1"/>
      <c r="L595" s="1"/>
      <c r="M595" s="1"/>
      <c r="N595" s="1"/>
      <c r="O595" s="1"/>
      <c r="P595" s="1"/>
      <c r="Q595" s="1"/>
      <c r="R595" s="1"/>
      <c r="S595" s="1"/>
      <c r="T595" s="1"/>
      <c r="U595" s="1"/>
      <c r="V595" s="1"/>
      <c r="W595" s="1"/>
      <c r="X595" s="1"/>
      <c r="Y595" s="1"/>
      <c r="Z595" s="1"/>
    </row>
    <row r="596" spans="1:26" ht="12.75">
      <c r="A596" s="1"/>
      <c r="B596" s="1"/>
      <c r="C596" s="20"/>
      <c r="D596" s="1"/>
      <c r="E596" s="1"/>
      <c r="F596" s="20"/>
      <c r="G596" s="1"/>
      <c r="H596" s="1"/>
      <c r="I596" s="1"/>
      <c r="J596" s="1"/>
      <c r="K596" s="1"/>
      <c r="L596" s="1"/>
      <c r="M596" s="1"/>
      <c r="N596" s="1"/>
      <c r="O596" s="1"/>
      <c r="P596" s="1"/>
      <c r="Q596" s="1"/>
      <c r="R596" s="1"/>
      <c r="S596" s="1"/>
      <c r="T596" s="1"/>
      <c r="U596" s="1"/>
      <c r="V596" s="1"/>
      <c r="W596" s="1"/>
      <c r="X596" s="1"/>
      <c r="Y596" s="1"/>
      <c r="Z596" s="1"/>
    </row>
    <row r="597" spans="1:26" ht="12.75">
      <c r="A597" s="1"/>
      <c r="B597" s="1"/>
      <c r="C597" s="20"/>
      <c r="D597" s="1"/>
      <c r="E597" s="1"/>
      <c r="F597" s="20"/>
      <c r="G597" s="1"/>
      <c r="H597" s="1"/>
      <c r="I597" s="1"/>
      <c r="J597" s="1"/>
      <c r="K597" s="1"/>
      <c r="L597" s="1"/>
      <c r="M597" s="1"/>
      <c r="N597" s="1"/>
      <c r="O597" s="1"/>
      <c r="P597" s="1"/>
      <c r="Q597" s="1"/>
      <c r="R597" s="1"/>
      <c r="S597" s="1"/>
      <c r="T597" s="1"/>
      <c r="U597" s="1"/>
      <c r="V597" s="1"/>
      <c r="W597" s="1"/>
      <c r="X597" s="1"/>
      <c r="Y597" s="1"/>
      <c r="Z597" s="1"/>
    </row>
    <row r="598" spans="1:26" ht="12.75">
      <c r="A598" s="1"/>
      <c r="B598" s="1"/>
      <c r="C598" s="20"/>
      <c r="D598" s="1"/>
      <c r="E598" s="1"/>
      <c r="F598" s="20"/>
      <c r="G598" s="1"/>
      <c r="H598" s="1"/>
      <c r="I598" s="1"/>
      <c r="J598" s="1"/>
      <c r="K598" s="1"/>
      <c r="L598" s="1"/>
      <c r="M598" s="1"/>
      <c r="N598" s="1"/>
      <c r="O598" s="1"/>
      <c r="P598" s="1"/>
      <c r="Q598" s="1"/>
      <c r="R598" s="1"/>
      <c r="S598" s="1"/>
      <c r="T598" s="1"/>
      <c r="U598" s="1"/>
      <c r="V598" s="1"/>
      <c r="W598" s="1"/>
      <c r="X598" s="1"/>
      <c r="Y598" s="1"/>
      <c r="Z598" s="1"/>
    </row>
    <row r="599" spans="1:26" ht="12.75">
      <c r="A599" s="1"/>
      <c r="B599" s="1"/>
      <c r="C599" s="20"/>
      <c r="D599" s="1"/>
      <c r="E599" s="1"/>
      <c r="F599" s="20"/>
      <c r="G599" s="1"/>
      <c r="H599" s="1"/>
      <c r="I599" s="1"/>
      <c r="J599" s="1"/>
      <c r="K599" s="1"/>
      <c r="L599" s="1"/>
      <c r="M599" s="1"/>
      <c r="N599" s="1"/>
      <c r="O599" s="1"/>
      <c r="P599" s="1"/>
      <c r="Q599" s="1"/>
      <c r="R599" s="1"/>
      <c r="S599" s="1"/>
      <c r="T599" s="1"/>
      <c r="U599" s="1"/>
      <c r="V599" s="1"/>
      <c r="W599" s="1"/>
      <c r="X599" s="1"/>
      <c r="Y599" s="1"/>
      <c r="Z599" s="1"/>
    </row>
    <row r="600" spans="1:26" ht="12.75">
      <c r="A600" s="1"/>
      <c r="B600" s="1"/>
      <c r="C600" s="20"/>
      <c r="D600" s="1"/>
      <c r="E600" s="1"/>
      <c r="F600" s="20"/>
      <c r="G600" s="1"/>
      <c r="H600" s="1"/>
      <c r="I600" s="1"/>
      <c r="J600" s="1"/>
      <c r="K600" s="1"/>
      <c r="L600" s="1"/>
      <c r="M600" s="1"/>
      <c r="N600" s="1"/>
      <c r="O600" s="1"/>
      <c r="P600" s="1"/>
      <c r="Q600" s="1"/>
      <c r="R600" s="1"/>
      <c r="S600" s="1"/>
      <c r="T600" s="1"/>
      <c r="U600" s="1"/>
      <c r="V600" s="1"/>
      <c r="W600" s="1"/>
      <c r="X600" s="1"/>
      <c r="Y600" s="1"/>
      <c r="Z600" s="1"/>
    </row>
    <row r="601" spans="1:26" ht="12.75">
      <c r="A601" s="1"/>
      <c r="B601" s="1"/>
      <c r="C601" s="20"/>
      <c r="D601" s="1"/>
      <c r="E601" s="1"/>
      <c r="F601" s="20"/>
      <c r="G601" s="1"/>
      <c r="H601" s="1"/>
      <c r="I601" s="1"/>
      <c r="J601" s="1"/>
      <c r="K601" s="1"/>
      <c r="L601" s="1"/>
      <c r="M601" s="1"/>
      <c r="N601" s="1"/>
      <c r="O601" s="1"/>
      <c r="P601" s="1"/>
      <c r="Q601" s="1"/>
      <c r="R601" s="1"/>
      <c r="S601" s="1"/>
      <c r="T601" s="1"/>
      <c r="U601" s="1"/>
      <c r="V601" s="1"/>
      <c r="W601" s="1"/>
      <c r="X601" s="1"/>
      <c r="Y601" s="1"/>
      <c r="Z601" s="1"/>
    </row>
    <row r="602" spans="1:26" ht="12.75">
      <c r="A602" s="1"/>
      <c r="B602" s="1"/>
      <c r="C602" s="20"/>
      <c r="D602" s="1"/>
      <c r="E602" s="1"/>
      <c r="F602" s="20"/>
      <c r="G602" s="1"/>
      <c r="H602" s="1"/>
      <c r="I602" s="1"/>
      <c r="J602" s="1"/>
      <c r="K602" s="1"/>
      <c r="L602" s="1"/>
      <c r="M602" s="1"/>
      <c r="N602" s="1"/>
      <c r="O602" s="1"/>
      <c r="P602" s="1"/>
      <c r="Q602" s="1"/>
      <c r="R602" s="1"/>
      <c r="S602" s="1"/>
      <c r="T602" s="1"/>
      <c r="U602" s="1"/>
      <c r="V602" s="1"/>
      <c r="W602" s="1"/>
      <c r="X602" s="1"/>
      <c r="Y602" s="1"/>
      <c r="Z602" s="1"/>
    </row>
    <row r="603" spans="1:26" ht="12.75">
      <c r="A603" s="1"/>
      <c r="B603" s="1"/>
      <c r="C603" s="20"/>
      <c r="D603" s="1"/>
      <c r="E603" s="1"/>
      <c r="F603" s="20"/>
      <c r="G603" s="1"/>
      <c r="H603" s="1"/>
      <c r="I603" s="1"/>
      <c r="J603" s="1"/>
      <c r="K603" s="1"/>
      <c r="L603" s="1"/>
      <c r="M603" s="1"/>
      <c r="N603" s="1"/>
      <c r="O603" s="1"/>
      <c r="P603" s="1"/>
      <c r="Q603" s="1"/>
      <c r="R603" s="1"/>
      <c r="S603" s="1"/>
      <c r="T603" s="1"/>
      <c r="U603" s="1"/>
      <c r="V603" s="1"/>
      <c r="W603" s="1"/>
      <c r="X603" s="1"/>
      <c r="Y603" s="1"/>
      <c r="Z603" s="1"/>
    </row>
    <row r="604" spans="1:26" ht="12.75">
      <c r="A604" s="1"/>
      <c r="B604" s="1"/>
      <c r="C604" s="20"/>
      <c r="D604" s="1"/>
      <c r="E604" s="1"/>
      <c r="F604" s="20"/>
      <c r="G604" s="1"/>
      <c r="H604" s="1"/>
      <c r="I604" s="1"/>
      <c r="J604" s="1"/>
      <c r="K604" s="1"/>
      <c r="L604" s="1"/>
      <c r="M604" s="1"/>
      <c r="N604" s="1"/>
      <c r="O604" s="1"/>
      <c r="P604" s="1"/>
      <c r="Q604" s="1"/>
      <c r="R604" s="1"/>
      <c r="S604" s="1"/>
      <c r="T604" s="1"/>
      <c r="U604" s="1"/>
      <c r="V604" s="1"/>
      <c r="W604" s="1"/>
      <c r="X604" s="1"/>
      <c r="Y604" s="1"/>
      <c r="Z604" s="1"/>
    </row>
    <row r="605" spans="1:26" ht="12.75">
      <c r="A605" s="1"/>
      <c r="B605" s="1"/>
      <c r="C605" s="20"/>
      <c r="D605" s="1"/>
      <c r="E605" s="1"/>
      <c r="F605" s="20"/>
      <c r="G605" s="1"/>
      <c r="H605" s="1"/>
      <c r="I605" s="1"/>
      <c r="J605" s="1"/>
      <c r="K605" s="1"/>
      <c r="L605" s="1"/>
      <c r="M605" s="1"/>
      <c r="N605" s="1"/>
      <c r="O605" s="1"/>
      <c r="P605" s="1"/>
      <c r="Q605" s="1"/>
      <c r="R605" s="1"/>
      <c r="S605" s="1"/>
      <c r="T605" s="1"/>
      <c r="U605" s="1"/>
      <c r="V605" s="1"/>
      <c r="W605" s="1"/>
      <c r="X605" s="1"/>
      <c r="Y605" s="1"/>
      <c r="Z605" s="1"/>
    </row>
    <row r="606" spans="1:26" ht="12.75">
      <c r="A606" s="1"/>
      <c r="B606" s="1"/>
      <c r="C606" s="20"/>
      <c r="D606" s="1"/>
      <c r="E606" s="1"/>
      <c r="F606" s="20"/>
      <c r="G606" s="1"/>
      <c r="H606" s="1"/>
      <c r="I606" s="1"/>
      <c r="J606" s="1"/>
      <c r="K606" s="1"/>
      <c r="L606" s="1"/>
      <c r="M606" s="1"/>
      <c r="N606" s="1"/>
      <c r="O606" s="1"/>
      <c r="P606" s="1"/>
      <c r="Q606" s="1"/>
      <c r="R606" s="1"/>
      <c r="S606" s="1"/>
      <c r="T606" s="1"/>
      <c r="U606" s="1"/>
      <c r="V606" s="1"/>
      <c r="W606" s="1"/>
      <c r="X606" s="1"/>
      <c r="Y606" s="1"/>
      <c r="Z606" s="1"/>
    </row>
    <row r="607" spans="1:26" ht="12.75">
      <c r="A607" s="1"/>
      <c r="B607" s="1"/>
      <c r="C607" s="20"/>
      <c r="D607" s="1"/>
      <c r="E607" s="1"/>
      <c r="F607" s="20"/>
      <c r="G607" s="1"/>
      <c r="H607" s="1"/>
      <c r="I607" s="1"/>
      <c r="J607" s="1"/>
      <c r="K607" s="1"/>
      <c r="L607" s="1"/>
      <c r="M607" s="1"/>
      <c r="N607" s="1"/>
      <c r="O607" s="1"/>
      <c r="P607" s="1"/>
      <c r="Q607" s="1"/>
      <c r="R607" s="1"/>
      <c r="S607" s="1"/>
      <c r="T607" s="1"/>
      <c r="U607" s="1"/>
      <c r="V607" s="1"/>
      <c r="W607" s="1"/>
      <c r="X607" s="1"/>
      <c r="Y607" s="1"/>
      <c r="Z607" s="1"/>
    </row>
    <row r="608" spans="1:26" ht="12.75">
      <c r="A608" s="1"/>
      <c r="B608" s="1"/>
      <c r="C608" s="20"/>
      <c r="D608" s="1"/>
      <c r="E608" s="1"/>
      <c r="F608" s="20"/>
      <c r="G608" s="1"/>
      <c r="H608" s="1"/>
      <c r="I608" s="1"/>
      <c r="J608" s="1"/>
      <c r="K608" s="1"/>
      <c r="L608" s="1"/>
      <c r="M608" s="1"/>
      <c r="N608" s="1"/>
      <c r="O608" s="1"/>
      <c r="P608" s="1"/>
      <c r="Q608" s="1"/>
      <c r="R608" s="1"/>
      <c r="S608" s="1"/>
      <c r="T608" s="1"/>
      <c r="U608" s="1"/>
      <c r="V608" s="1"/>
      <c r="W608" s="1"/>
      <c r="X608" s="1"/>
      <c r="Y608" s="1"/>
      <c r="Z608" s="1"/>
    </row>
    <row r="609" spans="1:26" ht="12.75">
      <c r="A609" s="1"/>
      <c r="B609" s="1"/>
      <c r="C609" s="20"/>
      <c r="D609" s="1"/>
      <c r="E609" s="1"/>
      <c r="F609" s="20"/>
      <c r="G609" s="1"/>
      <c r="H609" s="1"/>
      <c r="I609" s="1"/>
      <c r="J609" s="1"/>
      <c r="K609" s="1"/>
      <c r="L609" s="1"/>
      <c r="M609" s="1"/>
      <c r="N609" s="1"/>
      <c r="O609" s="1"/>
      <c r="P609" s="1"/>
      <c r="Q609" s="1"/>
      <c r="R609" s="1"/>
      <c r="S609" s="1"/>
      <c r="T609" s="1"/>
      <c r="U609" s="1"/>
      <c r="V609" s="1"/>
      <c r="W609" s="1"/>
      <c r="X609" s="1"/>
      <c r="Y609" s="1"/>
      <c r="Z609" s="1"/>
    </row>
    <row r="610" spans="1:26" ht="12.75">
      <c r="A610" s="1"/>
      <c r="B610" s="1"/>
      <c r="C610" s="20"/>
      <c r="D610" s="1"/>
      <c r="E610" s="1"/>
      <c r="F610" s="20"/>
      <c r="G610" s="1"/>
      <c r="H610" s="1"/>
      <c r="I610" s="1"/>
      <c r="J610" s="1"/>
      <c r="K610" s="1"/>
      <c r="L610" s="1"/>
      <c r="M610" s="1"/>
      <c r="N610" s="1"/>
      <c r="O610" s="1"/>
      <c r="P610" s="1"/>
      <c r="Q610" s="1"/>
      <c r="R610" s="1"/>
      <c r="S610" s="1"/>
      <c r="T610" s="1"/>
      <c r="U610" s="1"/>
      <c r="V610" s="1"/>
      <c r="W610" s="1"/>
      <c r="X610" s="1"/>
      <c r="Y610" s="1"/>
      <c r="Z610" s="1"/>
    </row>
    <row r="611" spans="1:26" ht="12.75">
      <c r="A611" s="1"/>
      <c r="B611" s="1"/>
      <c r="C611" s="20"/>
      <c r="D611" s="1"/>
      <c r="E611" s="1"/>
      <c r="F611" s="20"/>
      <c r="G611" s="1"/>
      <c r="H611" s="1"/>
      <c r="I611" s="1"/>
      <c r="J611" s="1"/>
      <c r="K611" s="1"/>
      <c r="L611" s="1"/>
      <c r="M611" s="1"/>
      <c r="N611" s="1"/>
      <c r="O611" s="1"/>
      <c r="P611" s="1"/>
      <c r="Q611" s="1"/>
      <c r="R611" s="1"/>
      <c r="S611" s="1"/>
      <c r="T611" s="1"/>
      <c r="U611" s="1"/>
      <c r="V611" s="1"/>
      <c r="W611" s="1"/>
      <c r="X611" s="1"/>
      <c r="Y611" s="1"/>
      <c r="Z611" s="1"/>
    </row>
    <row r="612" spans="1:26" ht="12.75">
      <c r="A612" s="1"/>
      <c r="B612" s="1"/>
      <c r="C612" s="20"/>
      <c r="D612" s="1"/>
      <c r="E612" s="1"/>
      <c r="F612" s="20"/>
      <c r="G612" s="1"/>
      <c r="H612" s="1"/>
      <c r="I612" s="1"/>
      <c r="J612" s="1"/>
      <c r="K612" s="1"/>
      <c r="L612" s="1"/>
      <c r="M612" s="1"/>
      <c r="N612" s="1"/>
      <c r="O612" s="1"/>
      <c r="P612" s="1"/>
      <c r="Q612" s="1"/>
      <c r="R612" s="1"/>
      <c r="S612" s="1"/>
      <c r="T612" s="1"/>
      <c r="U612" s="1"/>
      <c r="V612" s="1"/>
      <c r="W612" s="1"/>
      <c r="X612" s="1"/>
      <c r="Y612" s="1"/>
      <c r="Z612" s="1"/>
    </row>
    <row r="613" spans="1:26" ht="12.75">
      <c r="A613" s="1"/>
      <c r="B613" s="1"/>
      <c r="C613" s="20"/>
      <c r="D613" s="1"/>
      <c r="E613" s="1"/>
      <c r="F613" s="20"/>
      <c r="G613" s="1"/>
      <c r="H613" s="1"/>
      <c r="I613" s="1"/>
      <c r="J613" s="1"/>
      <c r="K613" s="1"/>
      <c r="L613" s="1"/>
      <c r="M613" s="1"/>
      <c r="N613" s="1"/>
      <c r="O613" s="1"/>
      <c r="P613" s="1"/>
      <c r="Q613" s="1"/>
      <c r="R613" s="1"/>
      <c r="S613" s="1"/>
      <c r="T613" s="1"/>
      <c r="U613" s="1"/>
      <c r="V613" s="1"/>
      <c r="W613" s="1"/>
      <c r="X613" s="1"/>
      <c r="Y613" s="1"/>
      <c r="Z613" s="1"/>
    </row>
    <row r="614" spans="1:26" ht="12.75">
      <c r="A614" s="1"/>
      <c r="B614" s="1"/>
      <c r="C614" s="20"/>
      <c r="D614" s="1"/>
      <c r="E614" s="1"/>
      <c r="F614" s="20"/>
      <c r="G614" s="1"/>
      <c r="H614" s="1"/>
      <c r="I614" s="1"/>
      <c r="J614" s="1"/>
      <c r="K614" s="1"/>
      <c r="L614" s="1"/>
      <c r="M614" s="1"/>
      <c r="N614" s="1"/>
      <c r="O614" s="1"/>
      <c r="P614" s="1"/>
      <c r="Q614" s="1"/>
      <c r="R614" s="1"/>
      <c r="S614" s="1"/>
      <c r="T614" s="1"/>
      <c r="U614" s="1"/>
      <c r="V614" s="1"/>
      <c r="W614" s="1"/>
      <c r="X614" s="1"/>
      <c r="Y614" s="1"/>
      <c r="Z614" s="1"/>
    </row>
    <row r="615" spans="1:26" ht="12.75">
      <c r="A615" s="1"/>
      <c r="B615" s="1"/>
      <c r="C615" s="20"/>
      <c r="D615" s="1"/>
      <c r="E615" s="1"/>
      <c r="F615" s="20"/>
      <c r="G615" s="1"/>
      <c r="H615" s="1"/>
      <c r="I615" s="1"/>
      <c r="J615" s="1"/>
      <c r="K615" s="1"/>
      <c r="L615" s="1"/>
      <c r="M615" s="1"/>
      <c r="N615" s="1"/>
      <c r="O615" s="1"/>
      <c r="P615" s="1"/>
      <c r="Q615" s="1"/>
      <c r="R615" s="1"/>
      <c r="S615" s="1"/>
      <c r="T615" s="1"/>
      <c r="U615" s="1"/>
      <c r="V615" s="1"/>
      <c r="W615" s="1"/>
      <c r="X615" s="1"/>
      <c r="Y615" s="1"/>
      <c r="Z615" s="1"/>
    </row>
    <row r="616" spans="1:26" ht="12.75">
      <c r="A616" s="1"/>
      <c r="B616" s="1"/>
      <c r="C616" s="20"/>
      <c r="D616" s="1"/>
      <c r="E616" s="1"/>
      <c r="F616" s="20"/>
      <c r="G616" s="1"/>
      <c r="H616" s="1"/>
      <c r="I616" s="1"/>
      <c r="J616" s="1"/>
      <c r="K616" s="1"/>
      <c r="L616" s="1"/>
      <c r="M616" s="1"/>
      <c r="N616" s="1"/>
      <c r="O616" s="1"/>
      <c r="P616" s="1"/>
      <c r="Q616" s="1"/>
      <c r="R616" s="1"/>
      <c r="S616" s="1"/>
      <c r="T616" s="1"/>
      <c r="U616" s="1"/>
      <c r="V616" s="1"/>
      <c r="W616" s="1"/>
      <c r="X616" s="1"/>
      <c r="Y616" s="1"/>
      <c r="Z616" s="1"/>
    </row>
    <row r="617" spans="1:26" ht="12.75">
      <c r="A617" s="1"/>
      <c r="B617" s="1"/>
      <c r="C617" s="20"/>
      <c r="D617" s="1"/>
      <c r="E617" s="1"/>
      <c r="F617" s="20"/>
      <c r="G617" s="1"/>
      <c r="H617" s="1"/>
      <c r="I617" s="1"/>
      <c r="J617" s="1"/>
      <c r="K617" s="1"/>
      <c r="L617" s="1"/>
      <c r="M617" s="1"/>
      <c r="N617" s="1"/>
      <c r="O617" s="1"/>
      <c r="P617" s="1"/>
      <c r="Q617" s="1"/>
      <c r="R617" s="1"/>
      <c r="S617" s="1"/>
      <c r="T617" s="1"/>
      <c r="U617" s="1"/>
      <c r="V617" s="1"/>
      <c r="W617" s="1"/>
      <c r="X617" s="1"/>
      <c r="Y617" s="1"/>
      <c r="Z617" s="1"/>
    </row>
    <row r="618" spans="1:26" ht="12.75">
      <c r="A618" s="1"/>
      <c r="B618" s="1"/>
      <c r="C618" s="20"/>
      <c r="D618" s="1"/>
      <c r="E618" s="1"/>
      <c r="F618" s="20"/>
      <c r="G618" s="1"/>
      <c r="H618" s="1"/>
      <c r="I618" s="1"/>
      <c r="J618" s="1"/>
      <c r="K618" s="1"/>
      <c r="L618" s="1"/>
      <c r="M618" s="1"/>
      <c r="N618" s="1"/>
      <c r="O618" s="1"/>
      <c r="P618" s="1"/>
      <c r="Q618" s="1"/>
      <c r="R618" s="1"/>
      <c r="S618" s="1"/>
      <c r="T618" s="1"/>
      <c r="U618" s="1"/>
      <c r="V618" s="1"/>
      <c r="W618" s="1"/>
      <c r="X618" s="1"/>
      <c r="Y618" s="1"/>
      <c r="Z618" s="1"/>
    </row>
    <row r="619" spans="1:26" ht="12.75">
      <c r="A619" s="1"/>
      <c r="B619" s="1"/>
      <c r="C619" s="20"/>
      <c r="D619" s="1"/>
      <c r="E619" s="1"/>
      <c r="F619" s="20"/>
      <c r="G619" s="1"/>
      <c r="H619" s="1"/>
      <c r="I619" s="1"/>
      <c r="J619" s="1"/>
      <c r="K619" s="1"/>
      <c r="L619" s="1"/>
      <c r="M619" s="1"/>
      <c r="N619" s="1"/>
      <c r="O619" s="1"/>
      <c r="P619" s="1"/>
      <c r="Q619" s="1"/>
      <c r="R619" s="1"/>
      <c r="S619" s="1"/>
      <c r="T619" s="1"/>
      <c r="U619" s="1"/>
      <c r="V619" s="1"/>
      <c r="W619" s="1"/>
      <c r="X619" s="1"/>
      <c r="Y619" s="1"/>
      <c r="Z619" s="1"/>
    </row>
    <row r="620" spans="1:26" ht="12.75">
      <c r="A620" s="1"/>
      <c r="B620" s="1"/>
      <c r="C620" s="20"/>
      <c r="D620" s="1"/>
      <c r="E620" s="1"/>
      <c r="F620" s="20"/>
      <c r="G620" s="1"/>
      <c r="H620" s="1"/>
      <c r="I620" s="1"/>
      <c r="J620" s="1"/>
      <c r="K620" s="1"/>
      <c r="L620" s="1"/>
      <c r="M620" s="1"/>
      <c r="N620" s="1"/>
      <c r="O620" s="1"/>
      <c r="P620" s="1"/>
      <c r="Q620" s="1"/>
      <c r="R620" s="1"/>
      <c r="S620" s="1"/>
      <c r="T620" s="1"/>
      <c r="U620" s="1"/>
      <c r="V620" s="1"/>
      <c r="W620" s="1"/>
      <c r="X620" s="1"/>
      <c r="Y620" s="1"/>
      <c r="Z620" s="1"/>
    </row>
    <row r="621" spans="1:26" ht="12.75">
      <c r="A621" s="1"/>
      <c r="B621" s="1"/>
      <c r="C621" s="20"/>
      <c r="D621" s="1"/>
      <c r="E621" s="1"/>
      <c r="F621" s="20"/>
      <c r="G621" s="1"/>
      <c r="H621" s="1"/>
      <c r="I621" s="1"/>
      <c r="J621" s="1"/>
      <c r="K621" s="1"/>
      <c r="L621" s="1"/>
      <c r="M621" s="1"/>
      <c r="N621" s="1"/>
      <c r="O621" s="1"/>
      <c r="P621" s="1"/>
      <c r="Q621" s="1"/>
      <c r="R621" s="1"/>
      <c r="S621" s="1"/>
      <c r="T621" s="1"/>
      <c r="U621" s="1"/>
      <c r="V621" s="1"/>
      <c r="W621" s="1"/>
      <c r="X621" s="1"/>
      <c r="Y621" s="1"/>
      <c r="Z621" s="1"/>
    </row>
    <row r="622" spans="1:26" ht="12.75">
      <c r="A622" s="1"/>
      <c r="B622" s="1"/>
      <c r="C622" s="20"/>
      <c r="D622" s="1"/>
      <c r="E622" s="1"/>
      <c r="F622" s="20"/>
      <c r="G622" s="1"/>
      <c r="H622" s="1"/>
      <c r="I622" s="1"/>
      <c r="J622" s="1"/>
      <c r="K622" s="1"/>
      <c r="L622" s="1"/>
      <c r="M622" s="1"/>
      <c r="N622" s="1"/>
      <c r="O622" s="1"/>
      <c r="P622" s="1"/>
      <c r="Q622" s="1"/>
      <c r="R622" s="1"/>
      <c r="S622" s="1"/>
      <c r="T622" s="1"/>
      <c r="U622" s="1"/>
      <c r="V622" s="1"/>
      <c r="W622" s="1"/>
      <c r="X622" s="1"/>
      <c r="Y622" s="1"/>
      <c r="Z622" s="1"/>
    </row>
    <row r="623" spans="1:26" ht="12.75">
      <c r="A623" s="1"/>
      <c r="B623" s="1"/>
      <c r="C623" s="20"/>
      <c r="D623" s="1"/>
      <c r="E623" s="1"/>
      <c r="F623" s="20"/>
      <c r="G623" s="1"/>
      <c r="H623" s="1"/>
      <c r="I623" s="1"/>
      <c r="J623" s="1"/>
      <c r="K623" s="1"/>
      <c r="L623" s="1"/>
      <c r="M623" s="1"/>
      <c r="N623" s="1"/>
      <c r="O623" s="1"/>
      <c r="P623" s="1"/>
      <c r="Q623" s="1"/>
      <c r="R623" s="1"/>
      <c r="S623" s="1"/>
      <c r="T623" s="1"/>
      <c r="U623" s="1"/>
      <c r="V623" s="1"/>
      <c r="W623" s="1"/>
      <c r="X623" s="1"/>
      <c r="Y623" s="1"/>
      <c r="Z623" s="1"/>
    </row>
    <row r="624" spans="1:26" ht="12.75">
      <c r="A624" s="1"/>
      <c r="B624" s="1"/>
      <c r="C624" s="20"/>
      <c r="D624" s="1"/>
      <c r="E624" s="1"/>
      <c r="F624" s="20"/>
      <c r="G624" s="1"/>
      <c r="H624" s="1"/>
      <c r="I624" s="1"/>
      <c r="J624" s="1"/>
      <c r="K624" s="1"/>
      <c r="L624" s="1"/>
      <c r="M624" s="1"/>
      <c r="N624" s="1"/>
      <c r="O624" s="1"/>
      <c r="P624" s="1"/>
      <c r="Q624" s="1"/>
      <c r="R624" s="1"/>
      <c r="S624" s="1"/>
      <c r="T624" s="1"/>
      <c r="U624" s="1"/>
      <c r="V624" s="1"/>
      <c r="W624" s="1"/>
      <c r="X624" s="1"/>
      <c r="Y624" s="1"/>
      <c r="Z624" s="1"/>
    </row>
    <row r="625" spans="1:26" ht="12.75">
      <c r="A625" s="1"/>
      <c r="B625" s="1"/>
      <c r="C625" s="20"/>
      <c r="D625" s="1"/>
      <c r="E625" s="1"/>
      <c r="F625" s="20"/>
      <c r="G625" s="1"/>
      <c r="H625" s="1"/>
      <c r="I625" s="1"/>
      <c r="J625" s="1"/>
      <c r="K625" s="1"/>
      <c r="L625" s="1"/>
      <c r="M625" s="1"/>
      <c r="N625" s="1"/>
      <c r="O625" s="1"/>
      <c r="P625" s="1"/>
      <c r="Q625" s="1"/>
      <c r="R625" s="1"/>
      <c r="S625" s="1"/>
      <c r="T625" s="1"/>
      <c r="U625" s="1"/>
      <c r="V625" s="1"/>
      <c r="W625" s="1"/>
      <c r="X625" s="1"/>
      <c r="Y625" s="1"/>
      <c r="Z625" s="1"/>
    </row>
    <row r="626" spans="1:26" ht="12.75">
      <c r="A626" s="1"/>
      <c r="B626" s="1"/>
      <c r="C626" s="20"/>
      <c r="D626" s="1"/>
      <c r="E626" s="1"/>
      <c r="F626" s="20"/>
      <c r="G626" s="1"/>
      <c r="H626" s="1"/>
      <c r="I626" s="1"/>
      <c r="J626" s="1"/>
      <c r="K626" s="1"/>
      <c r="L626" s="1"/>
      <c r="M626" s="1"/>
      <c r="N626" s="1"/>
      <c r="O626" s="1"/>
      <c r="P626" s="1"/>
      <c r="Q626" s="1"/>
      <c r="R626" s="1"/>
      <c r="S626" s="1"/>
      <c r="T626" s="1"/>
      <c r="U626" s="1"/>
      <c r="V626" s="1"/>
      <c r="W626" s="1"/>
      <c r="X626" s="1"/>
      <c r="Y626" s="1"/>
      <c r="Z626" s="1"/>
    </row>
    <row r="627" spans="1:26" ht="12.75">
      <c r="A627" s="1"/>
      <c r="B627" s="1"/>
      <c r="C627" s="20"/>
      <c r="D627" s="1"/>
      <c r="E627" s="1"/>
      <c r="F627" s="20"/>
      <c r="G627" s="1"/>
      <c r="H627" s="1"/>
      <c r="I627" s="1"/>
      <c r="J627" s="1"/>
      <c r="K627" s="1"/>
      <c r="L627" s="1"/>
      <c r="M627" s="1"/>
      <c r="N627" s="1"/>
      <c r="O627" s="1"/>
      <c r="P627" s="1"/>
      <c r="Q627" s="1"/>
      <c r="R627" s="1"/>
      <c r="S627" s="1"/>
      <c r="T627" s="1"/>
      <c r="U627" s="1"/>
      <c r="V627" s="1"/>
      <c r="W627" s="1"/>
      <c r="X627" s="1"/>
      <c r="Y627" s="1"/>
      <c r="Z627" s="1"/>
    </row>
    <row r="628" spans="1:26" ht="12.75">
      <c r="A628" s="1"/>
      <c r="B628" s="1"/>
      <c r="C628" s="20"/>
      <c r="D628" s="1"/>
      <c r="E628" s="1"/>
      <c r="F628" s="20"/>
      <c r="G628" s="1"/>
      <c r="H628" s="1"/>
      <c r="I628" s="1"/>
      <c r="J628" s="1"/>
      <c r="K628" s="1"/>
      <c r="L628" s="1"/>
      <c r="M628" s="1"/>
      <c r="N628" s="1"/>
      <c r="O628" s="1"/>
      <c r="P628" s="1"/>
      <c r="Q628" s="1"/>
      <c r="R628" s="1"/>
      <c r="S628" s="1"/>
      <c r="T628" s="1"/>
      <c r="U628" s="1"/>
      <c r="V628" s="1"/>
      <c r="W628" s="1"/>
      <c r="X628" s="1"/>
      <c r="Y628" s="1"/>
      <c r="Z628" s="1"/>
    </row>
    <row r="629" spans="1:26" ht="12.75">
      <c r="A629" s="1"/>
      <c r="B629" s="1"/>
      <c r="C629" s="20"/>
      <c r="D629" s="1"/>
      <c r="E629" s="1"/>
      <c r="F629" s="20"/>
      <c r="G629" s="1"/>
      <c r="H629" s="1"/>
      <c r="I629" s="1"/>
      <c r="J629" s="1"/>
      <c r="K629" s="1"/>
      <c r="L629" s="1"/>
      <c r="M629" s="1"/>
      <c r="N629" s="1"/>
      <c r="O629" s="1"/>
      <c r="P629" s="1"/>
      <c r="Q629" s="1"/>
      <c r="R629" s="1"/>
      <c r="S629" s="1"/>
      <c r="T629" s="1"/>
      <c r="U629" s="1"/>
      <c r="V629" s="1"/>
      <c r="W629" s="1"/>
      <c r="X629" s="1"/>
      <c r="Y629" s="1"/>
      <c r="Z629" s="1"/>
    </row>
    <row r="630" spans="1:26" ht="12.75">
      <c r="A630" s="1"/>
      <c r="B630" s="1"/>
      <c r="C630" s="20"/>
      <c r="D630" s="1"/>
      <c r="E630" s="1"/>
      <c r="F630" s="20"/>
      <c r="G630" s="1"/>
      <c r="H630" s="1"/>
      <c r="I630" s="1"/>
      <c r="J630" s="1"/>
      <c r="K630" s="1"/>
      <c r="L630" s="1"/>
      <c r="M630" s="1"/>
      <c r="N630" s="1"/>
      <c r="O630" s="1"/>
      <c r="P630" s="1"/>
      <c r="Q630" s="1"/>
      <c r="R630" s="1"/>
      <c r="S630" s="1"/>
      <c r="T630" s="1"/>
      <c r="U630" s="1"/>
      <c r="V630" s="1"/>
      <c r="W630" s="1"/>
      <c r="X630" s="1"/>
      <c r="Y630" s="1"/>
      <c r="Z630" s="1"/>
    </row>
    <row r="631" spans="1:26" ht="12.75">
      <c r="A631" s="1"/>
      <c r="B631" s="1"/>
      <c r="C631" s="20"/>
      <c r="D631" s="1"/>
      <c r="E631" s="1"/>
      <c r="F631" s="20"/>
      <c r="G631" s="1"/>
      <c r="H631" s="1"/>
      <c r="I631" s="1"/>
      <c r="J631" s="1"/>
      <c r="K631" s="1"/>
      <c r="L631" s="1"/>
      <c r="M631" s="1"/>
      <c r="N631" s="1"/>
      <c r="O631" s="1"/>
      <c r="P631" s="1"/>
      <c r="Q631" s="1"/>
      <c r="R631" s="1"/>
      <c r="S631" s="1"/>
      <c r="T631" s="1"/>
      <c r="U631" s="1"/>
      <c r="V631" s="1"/>
      <c r="W631" s="1"/>
      <c r="X631" s="1"/>
      <c r="Y631" s="1"/>
      <c r="Z631" s="1"/>
    </row>
    <row r="632" spans="1:26" ht="12.75">
      <c r="A632" s="1"/>
      <c r="B632" s="1"/>
      <c r="C632" s="20"/>
      <c r="D632" s="1"/>
      <c r="E632" s="1"/>
      <c r="F632" s="20"/>
      <c r="G632" s="1"/>
      <c r="H632" s="1"/>
      <c r="I632" s="1"/>
      <c r="J632" s="1"/>
      <c r="K632" s="1"/>
      <c r="L632" s="1"/>
      <c r="M632" s="1"/>
      <c r="N632" s="1"/>
      <c r="O632" s="1"/>
      <c r="P632" s="1"/>
      <c r="Q632" s="1"/>
      <c r="R632" s="1"/>
      <c r="S632" s="1"/>
      <c r="T632" s="1"/>
      <c r="U632" s="1"/>
      <c r="V632" s="1"/>
      <c r="W632" s="1"/>
      <c r="X632" s="1"/>
      <c r="Y632" s="1"/>
      <c r="Z632" s="1"/>
    </row>
    <row r="633" spans="1:26" ht="12.75">
      <c r="A633" s="1"/>
      <c r="B633" s="1"/>
      <c r="C633" s="20"/>
      <c r="D633" s="1"/>
      <c r="E633" s="1"/>
      <c r="F633" s="20"/>
      <c r="G633" s="1"/>
      <c r="H633" s="1"/>
      <c r="I633" s="1"/>
      <c r="J633" s="1"/>
      <c r="K633" s="1"/>
      <c r="L633" s="1"/>
      <c r="M633" s="1"/>
      <c r="N633" s="1"/>
      <c r="O633" s="1"/>
      <c r="P633" s="1"/>
      <c r="Q633" s="1"/>
      <c r="R633" s="1"/>
      <c r="S633" s="1"/>
      <c r="T633" s="1"/>
      <c r="U633" s="1"/>
      <c r="V633" s="1"/>
      <c r="W633" s="1"/>
      <c r="X633" s="1"/>
      <c r="Y633" s="1"/>
      <c r="Z633" s="1"/>
    </row>
    <row r="634" spans="1:26" ht="12.75">
      <c r="A634" s="1"/>
      <c r="B634" s="1"/>
      <c r="C634" s="20"/>
      <c r="D634" s="1"/>
      <c r="E634" s="1"/>
      <c r="F634" s="20"/>
      <c r="G634" s="1"/>
      <c r="H634" s="1"/>
      <c r="I634" s="1"/>
      <c r="J634" s="1"/>
      <c r="K634" s="1"/>
      <c r="L634" s="1"/>
      <c r="M634" s="1"/>
      <c r="N634" s="1"/>
      <c r="O634" s="1"/>
      <c r="P634" s="1"/>
      <c r="Q634" s="1"/>
      <c r="R634" s="1"/>
      <c r="S634" s="1"/>
      <c r="T634" s="1"/>
      <c r="U634" s="1"/>
      <c r="V634" s="1"/>
      <c r="W634" s="1"/>
      <c r="X634" s="1"/>
      <c r="Y634" s="1"/>
      <c r="Z634" s="1"/>
    </row>
    <row r="635" spans="1:26" ht="12.75">
      <c r="A635" s="1"/>
      <c r="B635" s="1"/>
      <c r="C635" s="20"/>
      <c r="D635" s="1"/>
      <c r="E635" s="1"/>
      <c r="F635" s="20"/>
      <c r="G635" s="1"/>
      <c r="H635" s="1"/>
      <c r="I635" s="1"/>
      <c r="J635" s="1"/>
      <c r="K635" s="1"/>
      <c r="L635" s="1"/>
      <c r="M635" s="1"/>
      <c r="N635" s="1"/>
      <c r="O635" s="1"/>
      <c r="P635" s="1"/>
      <c r="Q635" s="1"/>
      <c r="R635" s="1"/>
      <c r="S635" s="1"/>
      <c r="T635" s="1"/>
      <c r="U635" s="1"/>
      <c r="V635" s="1"/>
      <c r="W635" s="1"/>
      <c r="X635" s="1"/>
      <c r="Y635" s="1"/>
      <c r="Z635" s="1"/>
    </row>
    <row r="636" spans="1:26" ht="12.75">
      <c r="A636" s="1"/>
      <c r="B636" s="1"/>
      <c r="C636" s="20"/>
      <c r="D636" s="1"/>
      <c r="E636" s="1"/>
      <c r="F636" s="20"/>
      <c r="G636" s="1"/>
      <c r="H636" s="1"/>
      <c r="I636" s="1"/>
      <c r="J636" s="1"/>
      <c r="K636" s="1"/>
      <c r="L636" s="1"/>
      <c r="M636" s="1"/>
      <c r="N636" s="1"/>
      <c r="O636" s="1"/>
      <c r="P636" s="1"/>
      <c r="Q636" s="1"/>
      <c r="R636" s="1"/>
      <c r="S636" s="1"/>
      <c r="T636" s="1"/>
      <c r="U636" s="1"/>
      <c r="V636" s="1"/>
      <c r="W636" s="1"/>
      <c r="X636" s="1"/>
      <c r="Y636" s="1"/>
      <c r="Z636" s="1"/>
    </row>
    <row r="637" spans="1:26" ht="12.75">
      <c r="A637" s="1"/>
      <c r="B637" s="1"/>
      <c r="C637" s="20"/>
      <c r="D637" s="1"/>
      <c r="E637" s="1"/>
      <c r="F637" s="20"/>
      <c r="G637" s="1"/>
      <c r="H637" s="1"/>
      <c r="I637" s="1"/>
      <c r="J637" s="1"/>
      <c r="K637" s="1"/>
      <c r="L637" s="1"/>
      <c r="M637" s="1"/>
      <c r="N637" s="1"/>
      <c r="O637" s="1"/>
      <c r="P637" s="1"/>
      <c r="Q637" s="1"/>
      <c r="R637" s="1"/>
      <c r="S637" s="1"/>
      <c r="T637" s="1"/>
      <c r="U637" s="1"/>
      <c r="V637" s="1"/>
      <c r="W637" s="1"/>
      <c r="X637" s="1"/>
      <c r="Y637" s="1"/>
      <c r="Z637" s="1"/>
    </row>
    <row r="638" spans="1:26" ht="12.75">
      <c r="A638" s="1"/>
      <c r="B638" s="1"/>
      <c r="C638" s="20"/>
      <c r="D638" s="1"/>
      <c r="E638" s="1"/>
      <c r="F638" s="20"/>
      <c r="G638" s="1"/>
      <c r="H638" s="1"/>
      <c r="I638" s="1"/>
      <c r="J638" s="1"/>
      <c r="K638" s="1"/>
      <c r="L638" s="1"/>
      <c r="M638" s="1"/>
      <c r="N638" s="1"/>
      <c r="O638" s="1"/>
      <c r="P638" s="1"/>
      <c r="Q638" s="1"/>
      <c r="R638" s="1"/>
      <c r="S638" s="1"/>
      <c r="T638" s="1"/>
      <c r="U638" s="1"/>
      <c r="V638" s="1"/>
      <c r="W638" s="1"/>
      <c r="X638" s="1"/>
      <c r="Y638" s="1"/>
      <c r="Z638" s="1"/>
    </row>
    <row r="639" spans="1:26" ht="12.75">
      <c r="A639" s="1"/>
      <c r="B639" s="1"/>
      <c r="C639" s="20"/>
      <c r="D639" s="1"/>
      <c r="E639" s="1"/>
      <c r="F639" s="20"/>
      <c r="G639" s="1"/>
      <c r="H639" s="1"/>
      <c r="I639" s="1"/>
      <c r="J639" s="1"/>
      <c r="K639" s="1"/>
      <c r="L639" s="1"/>
      <c r="M639" s="1"/>
      <c r="N639" s="1"/>
      <c r="O639" s="1"/>
      <c r="P639" s="1"/>
      <c r="Q639" s="1"/>
      <c r="R639" s="1"/>
      <c r="S639" s="1"/>
      <c r="T639" s="1"/>
      <c r="U639" s="1"/>
      <c r="V639" s="1"/>
      <c r="W639" s="1"/>
      <c r="X639" s="1"/>
      <c r="Y639" s="1"/>
      <c r="Z639" s="1"/>
    </row>
    <row r="640" spans="1:26" ht="12.75">
      <c r="A640" s="1"/>
      <c r="B640" s="1"/>
      <c r="C640" s="20"/>
      <c r="D640" s="1"/>
      <c r="E640" s="1"/>
      <c r="F640" s="20"/>
      <c r="G640" s="1"/>
      <c r="H640" s="1"/>
      <c r="I640" s="1"/>
      <c r="J640" s="1"/>
      <c r="K640" s="1"/>
      <c r="L640" s="1"/>
      <c r="M640" s="1"/>
      <c r="N640" s="1"/>
      <c r="O640" s="1"/>
      <c r="P640" s="1"/>
      <c r="Q640" s="1"/>
      <c r="R640" s="1"/>
      <c r="S640" s="1"/>
      <c r="T640" s="1"/>
      <c r="U640" s="1"/>
      <c r="V640" s="1"/>
      <c r="W640" s="1"/>
      <c r="X640" s="1"/>
      <c r="Y640" s="1"/>
      <c r="Z640" s="1"/>
    </row>
    <row r="641" spans="1:26" ht="12.75">
      <c r="A641" s="1"/>
      <c r="B641" s="1"/>
      <c r="C641" s="20"/>
      <c r="D641" s="1"/>
      <c r="E641" s="1"/>
      <c r="F641" s="20"/>
      <c r="G641" s="1"/>
      <c r="H641" s="1"/>
      <c r="I641" s="1"/>
      <c r="J641" s="1"/>
      <c r="K641" s="1"/>
      <c r="L641" s="1"/>
      <c r="M641" s="1"/>
      <c r="N641" s="1"/>
      <c r="O641" s="1"/>
      <c r="P641" s="1"/>
      <c r="Q641" s="1"/>
      <c r="R641" s="1"/>
      <c r="S641" s="1"/>
      <c r="T641" s="1"/>
      <c r="U641" s="1"/>
      <c r="V641" s="1"/>
      <c r="W641" s="1"/>
      <c r="X641" s="1"/>
      <c r="Y641" s="1"/>
      <c r="Z641" s="1"/>
    </row>
    <row r="642" spans="1:26" ht="12.75">
      <c r="A642" s="1"/>
      <c r="B642" s="1"/>
      <c r="C642" s="20"/>
      <c r="D642" s="1"/>
      <c r="E642" s="1"/>
      <c r="F642" s="20"/>
      <c r="G642" s="1"/>
      <c r="H642" s="1"/>
      <c r="I642" s="1"/>
      <c r="J642" s="1"/>
      <c r="K642" s="1"/>
      <c r="L642" s="1"/>
      <c r="M642" s="1"/>
      <c r="N642" s="1"/>
      <c r="O642" s="1"/>
      <c r="P642" s="1"/>
      <c r="Q642" s="1"/>
      <c r="R642" s="1"/>
      <c r="S642" s="1"/>
      <c r="T642" s="1"/>
      <c r="U642" s="1"/>
      <c r="V642" s="1"/>
      <c r="W642" s="1"/>
      <c r="X642" s="1"/>
      <c r="Y642" s="1"/>
      <c r="Z642" s="1"/>
    </row>
    <row r="643" spans="1:26" ht="12.75">
      <c r="A643" s="1"/>
      <c r="B643" s="1"/>
      <c r="C643" s="20"/>
      <c r="D643" s="1"/>
      <c r="E643" s="1"/>
      <c r="F643" s="20"/>
      <c r="G643" s="1"/>
      <c r="H643" s="1"/>
      <c r="I643" s="1"/>
      <c r="J643" s="1"/>
      <c r="K643" s="1"/>
      <c r="L643" s="1"/>
      <c r="M643" s="1"/>
      <c r="N643" s="1"/>
      <c r="O643" s="1"/>
      <c r="P643" s="1"/>
      <c r="Q643" s="1"/>
      <c r="R643" s="1"/>
      <c r="S643" s="1"/>
      <c r="T643" s="1"/>
      <c r="U643" s="1"/>
      <c r="V643" s="1"/>
      <c r="W643" s="1"/>
      <c r="X643" s="1"/>
      <c r="Y643" s="1"/>
      <c r="Z643" s="1"/>
    </row>
    <row r="644" spans="1:26" ht="12.75">
      <c r="A644" s="1"/>
      <c r="B644" s="1"/>
      <c r="C644" s="20"/>
      <c r="D644" s="1"/>
      <c r="E644" s="1"/>
      <c r="F644" s="20"/>
      <c r="G644" s="1"/>
      <c r="H644" s="1"/>
      <c r="I644" s="1"/>
      <c r="J644" s="1"/>
      <c r="K644" s="1"/>
      <c r="L644" s="1"/>
      <c r="M644" s="1"/>
      <c r="N644" s="1"/>
      <c r="O644" s="1"/>
      <c r="P644" s="1"/>
      <c r="Q644" s="1"/>
      <c r="R644" s="1"/>
      <c r="S644" s="1"/>
      <c r="T644" s="1"/>
      <c r="U644" s="1"/>
      <c r="V644" s="1"/>
      <c r="W644" s="1"/>
      <c r="X644" s="1"/>
      <c r="Y644" s="1"/>
      <c r="Z644" s="1"/>
    </row>
    <row r="645" spans="1:26" ht="12.75">
      <c r="A645" s="1"/>
      <c r="B645" s="1"/>
      <c r="C645" s="20"/>
      <c r="D645" s="1"/>
      <c r="E645" s="1"/>
      <c r="F645" s="20"/>
      <c r="G645" s="1"/>
      <c r="H645" s="1"/>
      <c r="I645" s="1"/>
      <c r="J645" s="1"/>
      <c r="K645" s="1"/>
      <c r="L645" s="1"/>
      <c r="M645" s="1"/>
      <c r="N645" s="1"/>
      <c r="O645" s="1"/>
      <c r="P645" s="1"/>
      <c r="Q645" s="1"/>
      <c r="R645" s="1"/>
      <c r="S645" s="1"/>
      <c r="T645" s="1"/>
      <c r="U645" s="1"/>
      <c r="V645" s="1"/>
      <c r="W645" s="1"/>
      <c r="X645" s="1"/>
      <c r="Y645" s="1"/>
      <c r="Z645" s="1"/>
    </row>
    <row r="646" spans="1:26" ht="12.75">
      <c r="A646" s="1"/>
      <c r="B646" s="1"/>
      <c r="C646" s="20"/>
      <c r="D646" s="1"/>
      <c r="E646" s="1"/>
      <c r="F646" s="20"/>
      <c r="G646" s="1"/>
      <c r="H646" s="1"/>
      <c r="I646" s="1"/>
      <c r="J646" s="1"/>
      <c r="K646" s="1"/>
      <c r="L646" s="1"/>
      <c r="M646" s="1"/>
      <c r="N646" s="1"/>
      <c r="O646" s="1"/>
      <c r="P646" s="1"/>
      <c r="Q646" s="1"/>
      <c r="R646" s="1"/>
      <c r="S646" s="1"/>
      <c r="T646" s="1"/>
      <c r="U646" s="1"/>
      <c r="V646" s="1"/>
      <c r="W646" s="1"/>
      <c r="X646" s="1"/>
      <c r="Y646" s="1"/>
      <c r="Z646" s="1"/>
    </row>
    <row r="647" spans="1:26" ht="12.75">
      <c r="A647" s="1"/>
      <c r="B647" s="1"/>
      <c r="C647" s="20"/>
      <c r="D647" s="1"/>
      <c r="E647" s="1"/>
      <c r="F647" s="20"/>
      <c r="G647" s="1"/>
      <c r="H647" s="1"/>
      <c r="I647" s="1"/>
      <c r="J647" s="1"/>
      <c r="K647" s="1"/>
      <c r="L647" s="1"/>
      <c r="M647" s="1"/>
      <c r="N647" s="1"/>
      <c r="O647" s="1"/>
      <c r="P647" s="1"/>
      <c r="Q647" s="1"/>
      <c r="R647" s="1"/>
      <c r="S647" s="1"/>
      <c r="T647" s="1"/>
      <c r="U647" s="1"/>
      <c r="V647" s="1"/>
      <c r="W647" s="1"/>
      <c r="X647" s="1"/>
      <c r="Y647" s="1"/>
      <c r="Z647" s="1"/>
    </row>
    <row r="648" spans="1:26" ht="12.75">
      <c r="A648" s="1"/>
      <c r="B648" s="1"/>
      <c r="C648" s="20"/>
      <c r="D648" s="1"/>
      <c r="E648" s="1"/>
      <c r="F648" s="20"/>
      <c r="G648" s="1"/>
      <c r="H648" s="1"/>
      <c r="I648" s="1"/>
      <c r="J648" s="1"/>
      <c r="K648" s="1"/>
      <c r="L648" s="1"/>
      <c r="M648" s="1"/>
      <c r="N648" s="1"/>
      <c r="O648" s="1"/>
      <c r="P648" s="1"/>
      <c r="Q648" s="1"/>
      <c r="R648" s="1"/>
      <c r="S648" s="1"/>
      <c r="T648" s="1"/>
      <c r="U648" s="1"/>
      <c r="V648" s="1"/>
      <c r="W648" s="1"/>
      <c r="X648" s="1"/>
      <c r="Y648" s="1"/>
      <c r="Z648" s="1"/>
    </row>
    <row r="649" spans="1:26" ht="12.75">
      <c r="A649" s="1"/>
      <c r="B649" s="1"/>
      <c r="C649" s="20"/>
      <c r="D649" s="1"/>
      <c r="E649" s="1"/>
      <c r="F649" s="20"/>
      <c r="G649" s="1"/>
      <c r="H649" s="1"/>
      <c r="I649" s="1"/>
      <c r="J649" s="1"/>
      <c r="K649" s="1"/>
      <c r="L649" s="1"/>
      <c r="M649" s="1"/>
      <c r="N649" s="1"/>
      <c r="O649" s="1"/>
      <c r="P649" s="1"/>
      <c r="Q649" s="1"/>
      <c r="R649" s="1"/>
      <c r="S649" s="1"/>
      <c r="T649" s="1"/>
      <c r="U649" s="1"/>
      <c r="V649" s="1"/>
      <c r="W649" s="1"/>
      <c r="X649" s="1"/>
      <c r="Y649" s="1"/>
      <c r="Z649" s="1"/>
    </row>
    <row r="650" spans="1:26" ht="12.75">
      <c r="A650" s="1"/>
      <c r="B650" s="1"/>
      <c r="C650" s="20"/>
      <c r="D650" s="1"/>
      <c r="E650" s="1"/>
      <c r="F650" s="20"/>
      <c r="G650" s="1"/>
      <c r="H650" s="1"/>
      <c r="I650" s="1"/>
      <c r="J650" s="1"/>
      <c r="K650" s="1"/>
      <c r="L650" s="1"/>
      <c r="M650" s="1"/>
      <c r="N650" s="1"/>
      <c r="O650" s="1"/>
      <c r="P650" s="1"/>
      <c r="Q650" s="1"/>
      <c r="R650" s="1"/>
      <c r="S650" s="1"/>
      <c r="T650" s="1"/>
      <c r="U650" s="1"/>
      <c r="V650" s="1"/>
      <c r="W650" s="1"/>
      <c r="X650" s="1"/>
      <c r="Y650" s="1"/>
      <c r="Z650" s="1"/>
    </row>
    <row r="651" spans="1:26" ht="12.75">
      <c r="A651" s="1"/>
      <c r="B651" s="1"/>
      <c r="C651" s="20"/>
      <c r="D651" s="1"/>
      <c r="E651" s="1"/>
      <c r="F651" s="20"/>
      <c r="G651" s="1"/>
      <c r="H651" s="1"/>
      <c r="I651" s="1"/>
      <c r="J651" s="1"/>
      <c r="K651" s="1"/>
      <c r="L651" s="1"/>
      <c r="M651" s="1"/>
      <c r="N651" s="1"/>
      <c r="O651" s="1"/>
      <c r="P651" s="1"/>
      <c r="Q651" s="1"/>
      <c r="R651" s="1"/>
      <c r="S651" s="1"/>
      <c r="T651" s="1"/>
      <c r="U651" s="1"/>
      <c r="V651" s="1"/>
      <c r="W651" s="1"/>
      <c r="X651" s="1"/>
      <c r="Y651" s="1"/>
      <c r="Z651" s="1"/>
    </row>
    <row r="652" spans="1:26" ht="12.75">
      <c r="A652" s="1"/>
      <c r="B652" s="1"/>
      <c r="C652" s="20"/>
      <c r="D652" s="1"/>
      <c r="E652" s="1"/>
      <c r="F652" s="20"/>
      <c r="G652" s="1"/>
      <c r="H652" s="1"/>
      <c r="I652" s="1"/>
      <c r="J652" s="1"/>
      <c r="K652" s="1"/>
      <c r="L652" s="1"/>
      <c r="M652" s="1"/>
      <c r="N652" s="1"/>
      <c r="O652" s="1"/>
      <c r="P652" s="1"/>
      <c r="Q652" s="1"/>
      <c r="R652" s="1"/>
      <c r="S652" s="1"/>
      <c r="T652" s="1"/>
      <c r="U652" s="1"/>
      <c r="V652" s="1"/>
      <c r="W652" s="1"/>
      <c r="X652" s="1"/>
      <c r="Y652" s="1"/>
      <c r="Z652" s="1"/>
    </row>
    <row r="653" spans="1:26" ht="12.75">
      <c r="A653" s="1"/>
      <c r="B653" s="1"/>
      <c r="C653" s="20"/>
      <c r="D653" s="1"/>
      <c r="E653" s="1"/>
      <c r="F653" s="20"/>
      <c r="G653" s="1"/>
      <c r="H653" s="1"/>
      <c r="I653" s="1"/>
      <c r="J653" s="1"/>
      <c r="K653" s="1"/>
      <c r="L653" s="1"/>
      <c r="M653" s="1"/>
      <c r="N653" s="1"/>
      <c r="O653" s="1"/>
      <c r="P653" s="1"/>
      <c r="Q653" s="1"/>
      <c r="R653" s="1"/>
      <c r="S653" s="1"/>
      <c r="T653" s="1"/>
      <c r="U653" s="1"/>
      <c r="V653" s="1"/>
      <c r="W653" s="1"/>
      <c r="X653" s="1"/>
      <c r="Y653" s="1"/>
      <c r="Z653" s="1"/>
    </row>
    <row r="654" spans="1:26" ht="12.75">
      <c r="A654" s="1"/>
      <c r="B654" s="1"/>
      <c r="C654" s="20"/>
      <c r="D654" s="1"/>
      <c r="E654" s="1"/>
      <c r="F654" s="20"/>
      <c r="G654" s="1"/>
      <c r="H654" s="1"/>
      <c r="I654" s="1"/>
      <c r="J654" s="1"/>
      <c r="K654" s="1"/>
      <c r="L654" s="1"/>
      <c r="M654" s="1"/>
      <c r="N654" s="1"/>
      <c r="O654" s="1"/>
      <c r="P654" s="1"/>
      <c r="Q654" s="1"/>
      <c r="R654" s="1"/>
      <c r="S654" s="1"/>
      <c r="T654" s="1"/>
      <c r="U654" s="1"/>
      <c r="V654" s="1"/>
      <c r="W654" s="1"/>
      <c r="X654" s="1"/>
      <c r="Y654" s="1"/>
      <c r="Z654" s="1"/>
    </row>
    <row r="655" spans="1:26" ht="12.75">
      <c r="A655" s="1"/>
      <c r="B655" s="1"/>
      <c r="C655" s="20"/>
      <c r="D655" s="1"/>
      <c r="E655" s="1"/>
      <c r="F655" s="20"/>
      <c r="G655" s="1"/>
      <c r="H655" s="1"/>
      <c r="I655" s="1"/>
      <c r="J655" s="1"/>
      <c r="K655" s="1"/>
      <c r="L655" s="1"/>
      <c r="M655" s="1"/>
      <c r="N655" s="1"/>
      <c r="O655" s="1"/>
      <c r="P655" s="1"/>
      <c r="Q655" s="1"/>
      <c r="R655" s="1"/>
      <c r="S655" s="1"/>
      <c r="T655" s="1"/>
      <c r="U655" s="1"/>
      <c r="V655" s="1"/>
      <c r="W655" s="1"/>
      <c r="X655" s="1"/>
      <c r="Y655" s="1"/>
      <c r="Z655" s="1"/>
    </row>
    <row r="656" spans="1:26" ht="12.75">
      <c r="A656" s="1"/>
      <c r="B656" s="1"/>
      <c r="C656" s="20"/>
      <c r="D656" s="1"/>
      <c r="E656" s="1"/>
      <c r="F656" s="20"/>
      <c r="G656" s="1"/>
      <c r="H656" s="1"/>
      <c r="I656" s="1"/>
      <c r="J656" s="1"/>
      <c r="K656" s="1"/>
      <c r="L656" s="1"/>
      <c r="M656" s="1"/>
      <c r="N656" s="1"/>
      <c r="O656" s="1"/>
      <c r="P656" s="1"/>
      <c r="Q656" s="1"/>
      <c r="R656" s="1"/>
      <c r="S656" s="1"/>
      <c r="T656" s="1"/>
      <c r="U656" s="1"/>
      <c r="V656" s="1"/>
      <c r="W656" s="1"/>
      <c r="X656" s="1"/>
      <c r="Y656" s="1"/>
      <c r="Z656" s="1"/>
    </row>
    <row r="657" spans="1:26" ht="12.75">
      <c r="A657" s="1"/>
      <c r="B657" s="1"/>
      <c r="C657" s="20"/>
      <c r="D657" s="1"/>
      <c r="E657" s="1"/>
      <c r="F657" s="20"/>
      <c r="G657" s="1"/>
      <c r="H657" s="1"/>
      <c r="I657" s="1"/>
      <c r="J657" s="1"/>
      <c r="K657" s="1"/>
      <c r="L657" s="1"/>
      <c r="M657" s="1"/>
      <c r="N657" s="1"/>
      <c r="O657" s="1"/>
      <c r="P657" s="1"/>
      <c r="Q657" s="1"/>
      <c r="R657" s="1"/>
      <c r="S657" s="1"/>
      <c r="T657" s="1"/>
      <c r="U657" s="1"/>
      <c r="V657" s="1"/>
      <c r="W657" s="1"/>
      <c r="X657" s="1"/>
      <c r="Y657" s="1"/>
      <c r="Z657" s="1"/>
    </row>
    <row r="658" spans="1:26" ht="12.75">
      <c r="A658" s="1"/>
      <c r="B658" s="1"/>
      <c r="C658" s="20"/>
      <c r="D658" s="1"/>
      <c r="E658" s="1"/>
      <c r="F658" s="20"/>
      <c r="G658" s="1"/>
      <c r="H658" s="1"/>
      <c r="I658" s="1"/>
      <c r="J658" s="1"/>
      <c r="K658" s="1"/>
      <c r="L658" s="1"/>
      <c r="M658" s="1"/>
      <c r="N658" s="1"/>
      <c r="O658" s="1"/>
      <c r="P658" s="1"/>
      <c r="Q658" s="1"/>
      <c r="R658" s="1"/>
      <c r="S658" s="1"/>
      <c r="T658" s="1"/>
      <c r="U658" s="1"/>
      <c r="V658" s="1"/>
      <c r="W658" s="1"/>
      <c r="X658" s="1"/>
      <c r="Y658" s="1"/>
      <c r="Z658" s="1"/>
    </row>
    <row r="659" spans="1:26" ht="12.75">
      <c r="A659" s="1"/>
      <c r="B659" s="1"/>
      <c r="C659" s="20"/>
      <c r="D659" s="1"/>
      <c r="E659" s="1"/>
      <c r="F659" s="20"/>
      <c r="G659" s="1"/>
      <c r="H659" s="1"/>
      <c r="I659" s="1"/>
      <c r="J659" s="1"/>
      <c r="K659" s="1"/>
      <c r="L659" s="1"/>
      <c r="M659" s="1"/>
      <c r="N659" s="1"/>
      <c r="O659" s="1"/>
      <c r="P659" s="1"/>
      <c r="Q659" s="1"/>
      <c r="R659" s="1"/>
      <c r="S659" s="1"/>
      <c r="T659" s="1"/>
      <c r="U659" s="1"/>
      <c r="V659" s="1"/>
      <c r="W659" s="1"/>
      <c r="X659" s="1"/>
      <c r="Y659" s="1"/>
      <c r="Z659" s="1"/>
    </row>
    <row r="660" spans="1:26" ht="12.75">
      <c r="A660" s="1"/>
      <c r="B660" s="1"/>
      <c r="C660" s="20"/>
      <c r="D660" s="1"/>
      <c r="E660" s="1"/>
      <c r="F660" s="20"/>
      <c r="G660" s="1"/>
      <c r="H660" s="1"/>
      <c r="I660" s="1"/>
      <c r="J660" s="1"/>
      <c r="K660" s="1"/>
      <c r="L660" s="1"/>
      <c r="M660" s="1"/>
      <c r="N660" s="1"/>
      <c r="O660" s="1"/>
      <c r="P660" s="1"/>
      <c r="Q660" s="1"/>
      <c r="R660" s="1"/>
      <c r="S660" s="1"/>
      <c r="T660" s="1"/>
      <c r="U660" s="1"/>
      <c r="V660" s="1"/>
      <c r="W660" s="1"/>
      <c r="X660" s="1"/>
      <c r="Y660" s="1"/>
      <c r="Z660" s="1"/>
    </row>
    <row r="661" spans="1:26" ht="12.75">
      <c r="A661" s="1"/>
      <c r="B661" s="1"/>
      <c r="C661" s="20"/>
      <c r="D661" s="1"/>
      <c r="E661" s="1"/>
      <c r="F661" s="20"/>
      <c r="G661" s="1"/>
      <c r="H661" s="1"/>
      <c r="I661" s="1"/>
      <c r="J661" s="1"/>
      <c r="K661" s="1"/>
      <c r="L661" s="1"/>
      <c r="M661" s="1"/>
      <c r="N661" s="1"/>
      <c r="O661" s="1"/>
      <c r="P661" s="1"/>
      <c r="Q661" s="1"/>
      <c r="R661" s="1"/>
      <c r="S661" s="1"/>
      <c r="T661" s="1"/>
      <c r="U661" s="1"/>
      <c r="V661" s="1"/>
      <c r="W661" s="1"/>
      <c r="X661" s="1"/>
      <c r="Y661" s="1"/>
      <c r="Z661" s="1"/>
    </row>
    <row r="662" spans="1:26" ht="12.75">
      <c r="A662" s="1"/>
      <c r="B662" s="1"/>
      <c r="C662" s="20"/>
      <c r="D662" s="1"/>
      <c r="E662" s="1"/>
      <c r="F662" s="20"/>
      <c r="G662" s="1"/>
      <c r="H662" s="1"/>
      <c r="I662" s="1"/>
      <c r="J662" s="1"/>
      <c r="K662" s="1"/>
      <c r="L662" s="1"/>
      <c r="M662" s="1"/>
      <c r="N662" s="1"/>
      <c r="O662" s="1"/>
      <c r="P662" s="1"/>
      <c r="Q662" s="1"/>
      <c r="R662" s="1"/>
      <c r="S662" s="1"/>
      <c r="T662" s="1"/>
      <c r="U662" s="1"/>
      <c r="V662" s="1"/>
      <c r="W662" s="1"/>
      <c r="X662" s="1"/>
      <c r="Y662" s="1"/>
      <c r="Z662" s="1"/>
    </row>
    <row r="663" spans="1:26" ht="12.75">
      <c r="A663" s="1"/>
      <c r="B663" s="1"/>
      <c r="C663" s="20"/>
      <c r="D663" s="1"/>
      <c r="E663" s="1"/>
      <c r="F663" s="20"/>
      <c r="G663" s="1"/>
      <c r="H663" s="1"/>
      <c r="I663" s="1"/>
      <c r="J663" s="1"/>
      <c r="K663" s="1"/>
      <c r="L663" s="1"/>
      <c r="M663" s="1"/>
      <c r="N663" s="1"/>
      <c r="O663" s="1"/>
      <c r="P663" s="1"/>
      <c r="Q663" s="1"/>
      <c r="R663" s="1"/>
      <c r="S663" s="1"/>
      <c r="T663" s="1"/>
      <c r="U663" s="1"/>
      <c r="V663" s="1"/>
      <c r="W663" s="1"/>
      <c r="X663" s="1"/>
      <c r="Y663" s="1"/>
      <c r="Z663" s="1"/>
    </row>
    <row r="664" spans="1:26" ht="12.75">
      <c r="A664" s="1"/>
      <c r="B664" s="1"/>
      <c r="C664" s="20"/>
      <c r="D664" s="1"/>
      <c r="E664" s="1"/>
      <c r="F664" s="20"/>
      <c r="G664" s="1"/>
      <c r="H664" s="1"/>
      <c r="I664" s="1"/>
      <c r="J664" s="1"/>
      <c r="K664" s="1"/>
      <c r="L664" s="1"/>
      <c r="M664" s="1"/>
      <c r="N664" s="1"/>
      <c r="O664" s="1"/>
      <c r="P664" s="1"/>
      <c r="Q664" s="1"/>
      <c r="R664" s="1"/>
      <c r="S664" s="1"/>
      <c r="T664" s="1"/>
      <c r="U664" s="1"/>
      <c r="V664" s="1"/>
      <c r="W664" s="1"/>
      <c r="X664" s="1"/>
      <c r="Y664" s="1"/>
      <c r="Z664" s="1"/>
    </row>
    <row r="665" spans="1:26" ht="12.75">
      <c r="A665" s="1"/>
      <c r="B665" s="1"/>
      <c r="C665" s="20"/>
      <c r="D665" s="1"/>
      <c r="E665" s="1"/>
      <c r="F665" s="20"/>
      <c r="G665" s="1"/>
      <c r="H665" s="1"/>
      <c r="I665" s="1"/>
      <c r="J665" s="1"/>
      <c r="K665" s="1"/>
      <c r="L665" s="1"/>
      <c r="M665" s="1"/>
      <c r="N665" s="1"/>
      <c r="O665" s="1"/>
      <c r="P665" s="1"/>
      <c r="Q665" s="1"/>
      <c r="R665" s="1"/>
      <c r="S665" s="1"/>
      <c r="T665" s="1"/>
      <c r="U665" s="1"/>
      <c r="V665" s="1"/>
      <c r="W665" s="1"/>
      <c r="X665" s="1"/>
      <c r="Y665" s="1"/>
      <c r="Z665" s="1"/>
    </row>
    <row r="666" spans="1:26" ht="12.75">
      <c r="A666" s="1"/>
      <c r="B666" s="1"/>
      <c r="C666" s="20"/>
      <c r="D666" s="1"/>
      <c r="E666" s="1"/>
      <c r="F666" s="20"/>
      <c r="G666" s="1"/>
      <c r="H666" s="1"/>
      <c r="I666" s="1"/>
      <c r="J666" s="1"/>
      <c r="K666" s="1"/>
      <c r="L666" s="1"/>
      <c r="M666" s="1"/>
      <c r="N666" s="1"/>
      <c r="O666" s="1"/>
      <c r="P666" s="1"/>
      <c r="Q666" s="1"/>
      <c r="R666" s="1"/>
      <c r="S666" s="1"/>
      <c r="T666" s="1"/>
      <c r="U666" s="1"/>
      <c r="V666" s="1"/>
      <c r="W666" s="1"/>
      <c r="X666" s="1"/>
      <c r="Y666" s="1"/>
      <c r="Z666" s="1"/>
    </row>
    <row r="667" spans="1:26" ht="12.75">
      <c r="A667" s="1"/>
      <c r="B667" s="1"/>
      <c r="C667" s="20"/>
      <c r="D667" s="1"/>
      <c r="E667" s="1"/>
      <c r="F667" s="20"/>
      <c r="G667" s="1"/>
      <c r="H667" s="1"/>
      <c r="I667" s="1"/>
      <c r="J667" s="1"/>
      <c r="K667" s="1"/>
      <c r="L667" s="1"/>
      <c r="M667" s="1"/>
      <c r="N667" s="1"/>
      <c r="O667" s="1"/>
      <c r="P667" s="1"/>
      <c r="Q667" s="1"/>
      <c r="R667" s="1"/>
      <c r="S667" s="1"/>
      <c r="T667" s="1"/>
      <c r="U667" s="1"/>
      <c r="V667" s="1"/>
      <c r="W667" s="1"/>
      <c r="X667" s="1"/>
      <c r="Y667" s="1"/>
      <c r="Z667" s="1"/>
    </row>
    <row r="668" spans="1:26" ht="12.75">
      <c r="A668" s="1"/>
      <c r="B668" s="1"/>
      <c r="C668" s="20"/>
      <c r="D668" s="1"/>
      <c r="E668" s="1"/>
      <c r="F668" s="20"/>
      <c r="G668" s="1"/>
      <c r="H668" s="1"/>
      <c r="I668" s="1"/>
      <c r="J668" s="1"/>
      <c r="K668" s="1"/>
      <c r="L668" s="1"/>
      <c r="M668" s="1"/>
      <c r="N668" s="1"/>
      <c r="O668" s="1"/>
      <c r="P668" s="1"/>
      <c r="Q668" s="1"/>
      <c r="R668" s="1"/>
      <c r="S668" s="1"/>
      <c r="T668" s="1"/>
      <c r="U668" s="1"/>
      <c r="V668" s="1"/>
      <c r="W668" s="1"/>
      <c r="X668" s="1"/>
      <c r="Y668" s="1"/>
      <c r="Z668" s="1"/>
    </row>
    <row r="669" spans="1:26" ht="12.75">
      <c r="A669" s="1"/>
      <c r="B669" s="1"/>
      <c r="C669" s="20"/>
      <c r="D669" s="1"/>
      <c r="E669" s="1"/>
      <c r="F669" s="20"/>
      <c r="G669" s="1"/>
      <c r="H669" s="1"/>
      <c r="I669" s="1"/>
      <c r="J669" s="1"/>
      <c r="K669" s="1"/>
      <c r="L669" s="1"/>
      <c r="M669" s="1"/>
      <c r="N669" s="1"/>
      <c r="O669" s="1"/>
      <c r="P669" s="1"/>
      <c r="Q669" s="1"/>
      <c r="R669" s="1"/>
      <c r="S669" s="1"/>
      <c r="T669" s="1"/>
      <c r="U669" s="1"/>
      <c r="V669" s="1"/>
      <c r="W669" s="1"/>
      <c r="X669" s="1"/>
      <c r="Y669" s="1"/>
      <c r="Z669" s="1"/>
    </row>
    <row r="670" spans="1:26" ht="12.75">
      <c r="A670" s="1"/>
      <c r="B670" s="1"/>
      <c r="C670" s="20"/>
      <c r="D670" s="1"/>
      <c r="E670" s="1"/>
      <c r="F670" s="20"/>
      <c r="G670" s="1"/>
      <c r="H670" s="1"/>
      <c r="I670" s="1"/>
      <c r="J670" s="1"/>
      <c r="K670" s="1"/>
      <c r="L670" s="1"/>
      <c r="M670" s="1"/>
      <c r="N670" s="1"/>
      <c r="O670" s="1"/>
      <c r="P670" s="1"/>
      <c r="Q670" s="1"/>
      <c r="R670" s="1"/>
      <c r="S670" s="1"/>
      <c r="T670" s="1"/>
      <c r="U670" s="1"/>
      <c r="V670" s="1"/>
      <c r="W670" s="1"/>
      <c r="X670" s="1"/>
      <c r="Y670" s="1"/>
      <c r="Z670" s="1"/>
    </row>
    <row r="671" spans="1:26" ht="12.75">
      <c r="A671" s="1"/>
      <c r="B671" s="1"/>
      <c r="C671" s="20"/>
      <c r="D671" s="1"/>
      <c r="E671" s="1"/>
      <c r="F671" s="20"/>
      <c r="G671" s="1"/>
      <c r="H671" s="1"/>
      <c r="I671" s="1"/>
      <c r="J671" s="1"/>
      <c r="K671" s="1"/>
      <c r="L671" s="1"/>
      <c r="M671" s="1"/>
      <c r="N671" s="1"/>
      <c r="O671" s="1"/>
      <c r="P671" s="1"/>
      <c r="Q671" s="1"/>
      <c r="R671" s="1"/>
      <c r="S671" s="1"/>
      <c r="T671" s="1"/>
      <c r="U671" s="1"/>
      <c r="V671" s="1"/>
      <c r="W671" s="1"/>
      <c r="X671" s="1"/>
      <c r="Y671" s="1"/>
      <c r="Z671" s="1"/>
    </row>
    <row r="672" spans="1:26" ht="12.75">
      <c r="A672" s="1"/>
      <c r="B672" s="1"/>
      <c r="C672" s="20"/>
      <c r="D672" s="1"/>
      <c r="E672" s="1"/>
      <c r="F672" s="20"/>
      <c r="G672" s="1"/>
      <c r="H672" s="1"/>
      <c r="I672" s="1"/>
      <c r="J672" s="1"/>
      <c r="K672" s="1"/>
      <c r="L672" s="1"/>
      <c r="M672" s="1"/>
      <c r="N672" s="1"/>
      <c r="O672" s="1"/>
      <c r="P672" s="1"/>
      <c r="Q672" s="1"/>
      <c r="R672" s="1"/>
      <c r="S672" s="1"/>
      <c r="T672" s="1"/>
      <c r="U672" s="1"/>
      <c r="V672" s="1"/>
      <c r="W672" s="1"/>
      <c r="X672" s="1"/>
      <c r="Y672" s="1"/>
      <c r="Z672" s="1"/>
    </row>
    <row r="673" spans="1:26" ht="12.75">
      <c r="A673" s="1"/>
      <c r="B673" s="1"/>
      <c r="C673" s="20"/>
      <c r="D673" s="1"/>
      <c r="E673" s="1"/>
      <c r="F673" s="20"/>
      <c r="G673" s="1"/>
      <c r="H673" s="1"/>
      <c r="I673" s="1"/>
      <c r="J673" s="1"/>
      <c r="K673" s="1"/>
      <c r="L673" s="1"/>
      <c r="M673" s="1"/>
      <c r="N673" s="1"/>
      <c r="O673" s="1"/>
      <c r="P673" s="1"/>
      <c r="Q673" s="1"/>
      <c r="R673" s="1"/>
      <c r="S673" s="1"/>
      <c r="T673" s="1"/>
      <c r="U673" s="1"/>
      <c r="V673" s="1"/>
      <c r="W673" s="1"/>
      <c r="X673" s="1"/>
      <c r="Y673" s="1"/>
      <c r="Z673" s="1"/>
    </row>
    <row r="674" spans="1:26" ht="12.75">
      <c r="A674" s="1"/>
      <c r="B674" s="1"/>
      <c r="C674" s="20"/>
      <c r="D674" s="1"/>
      <c r="E674" s="1"/>
      <c r="F674" s="20"/>
      <c r="G674" s="1"/>
      <c r="H674" s="1"/>
      <c r="I674" s="1"/>
      <c r="J674" s="1"/>
      <c r="K674" s="1"/>
      <c r="L674" s="1"/>
      <c r="M674" s="1"/>
      <c r="N674" s="1"/>
      <c r="O674" s="1"/>
      <c r="P674" s="1"/>
      <c r="Q674" s="1"/>
      <c r="R674" s="1"/>
      <c r="S674" s="1"/>
      <c r="T674" s="1"/>
      <c r="U674" s="1"/>
      <c r="V674" s="1"/>
      <c r="W674" s="1"/>
      <c r="X674" s="1"/>
      <c r="Y674" s="1"/>
      <c r="Z674" s="1"/>
    </row>
    <row r="675" spans="1:26" ht="12.75">
      <c r="A675" s="1"/>
      <c r="B675" s="1"/>
      <c r="C675" s="20"/>
      <c r="D675" s="1"/>
      <c r="E675" s="1"/>
      <c r="F675" s="20"/>
      <c r="G675" s="1"/>
      <c r="H675" s="1"/>
      <c r="I675" s="1"/>
      <c r="J675" s="1"/>
      <c r="K675" s="1"/>
      <c r="L675" s="1"/>
      <c r="M675" s="1"/>
      <c r="N675" s="1"/>
      <c r="O675" s="1"/>
      <c r="P675" s="1"/>
      <c r="Q675" s="1"/>
      <c r="R675" s="1"/>
      <c r="S675" s="1"/>
      <c r="T675" s="1"/>
      <c r="U675" s="1"/>
      <c r="V675" s="1"/>
      <c r="W675" s="1"/>
      <c r="X675" s="1"/>
      <c r="Y675" s="1"/>
      <c r="Z675" s="1"/>
    </row>
    <row r="676" spans="1:26" ht="12.75">
      <c r="A676" s="1"/>
      <c r="B676" s="1"/>
      <c r="C676" s="20"/>
      <c r="D676" s="1"/>
      <c r="E676" s="1"/>
      <c r="F676" s="20"/>
      <c r="G676" s="1"/>
      <c r="H676" s="1"/>
      <c r="I676" s="1"/>
      <c r="J676" s="1"/>
      <c r="K676" s="1"/>
      <c r="L676" s="1"/>
      <c r="M676" s="1"/>
      <c r="N676" s="1"/>
      <c r="O676" s="1"/>
      <c r="P676" s="1"/>
      <c r="Q676" s="1"/>
      <c r="R676" s="1"/>
      <c r="S676" s="1"/>
      <c r="T676" s="1"/>
      <c r="U676" s="1"/>
      <c r="V676" s="1"/>
      <c r="W676" s="1"/>
      <c r="X676" s="1"/>
      <c r="Y676" s="1"/>
      <c r="Z676" s="1"/>
    </row>
    <row r="677" spans="1:26" ht="12.75">
      <c r="A677" s="1"/>
      <c r="B677" s="1"/>
      <c r="C677" s="20"/>
      <c r="D677" s="1"/>
      <c r="E677" s="1"/>
      <c r="F677" s="20"/>
      <c r="G677" s="1"/>
      <c r="H677" s="1"/>
      <c r="I677" s="1"/>
      <c r="J677" s="1"/>
      <c r="K677" s="1"/>
      <c r="L677" s="1"/>
      <c r="M677" s="1"/>
      <c r="N677" s="1"/>
      <c r="O677" s="1"/>
      <c r="P677" s="1"/>
      <c r="Q677" s="1"/>
      <c r="R677" s="1"/>
      <c r="S677" s="1"/>
      <c r="T677" s="1"/>
      <c r="U677" s="1"/>
      <c r="V677" s="1"/>
      <c r="W677" s="1"/>
      <c r="X677" s="1"/>
      <c r="Y677" s="1"/>
      <c r="Z677" s="1"/>
    </row>
    <row r="678" spans="1:26" ht="12.75">
      <c r="A678" s="1"/>
      <c r="B678" s="1"/>
      <c r="C678" s="20"/>
      <c r="D678" s="1"/>
      <c r="E678" s="1"/>
      <c r="F678" s="20"/>
      <c r="G678" s="1"/>
      <c r="H678" s="1"/>
      <c r="I678" s="1"/>
      <c r="J678" s="1"/>
      <c r="K678" s="1"/>
      <c r="L678" s="1"/>
      <c r="M678" s="1"/>
      <c r="N678" s="1"/>
      <c r="O678" s="1"/>
      <c r="P678" s="1"/>
      <c r="Q678" s="1"/>
      <c r="R678" s="1"/>
      <c r="S678" s="1"/>
      <c r="T678" s="1"/>
      <c r="U678" s="1"/>
      <c r="V678" s="1"/>
      <c r="W678" s="1"/>
      <c r="X678" s="1"/>
      <c r="Y678" s="1"/>
      <c r="Z678" s="1"/>
    </row>
    <row r="679" spans="1:26" ht="12.75">
      <c r="A679" s="1"/>
      <c r="B679" s="1"/>
      <c r="C679" s="20"/>
      <c r="D679" s="1"/>
      <c r="E679" s="1"/>
      <c r="F679" s="20"/>
      <c r="G679" s="1"/>
      <c r="H679" s="1"/>
      <c r="I679" s="1"/>
      <c r="J679" s="1"/>
      <c r="K679" s="1"/>
      <c r="L679" s="1"/>
      <c r="M679" s="1"/>
      <c r="N679" s="1"/>
      <c r="O679" s="1"/>
      <c r="P679" s="1"/>
      <c r="Q679" s="1"/>
      <c r="R679" s="1"/>
      <c r="S679" s="1"/>
      <c r="T679" s="1"/>
      <c r="U679" s="1"/>
      <c r="V679" s="1"/>
      <c r="W679" s="1"/>
      <c r="X679" s="1"/>
      <c r="Y679" s="1"/>
      <c r="Z679" s="1"/>
    </row>
    <row r="680" spans="1:26" ht="12.75">
      <c r="A680" s="1"/>
      <c r="B680" s="1"/>
      <c r="C680" s="20"/>
      <c r="D680" s="1"/>
      <c r="E680" s="1"/>
      <c r="F680" s="20"/>
      <c r="G680" s="1"/>
      <c r="H680" s="1"/>
      <c r="I680" s="1"/>
      <c r="J680" s="1"/>
      <c r="K680" s="1"/>
      <c r="L680" s="1"/>
      <c r="M680" s="1"/>
      <c r="N680" s="1"/>
      <c r="O680" s="1"/>
      <c r="P680" s="1"/>
      <c r="Q680" s="1"/>
      <c r="R680" s="1"/>
      <c r="S680" s="1"/>
      <c r="T680" s="1"/>
      <c r="U680" s="1"/>
      <c r="V680" s="1"/>
      <c r="W680" s="1"/>
      <c r="X680" s="1"/>
      <c r="Y680" s="1"/>
      <c r="Z680" s="1"/>
    </row>
    <row r="681" spans="1:26" ht="12.75">
      <c r="A681" s="1"/>
      <c r="B681" s="1"/>
      <c r="C681" s="20"/>
      <c r="D681" s="1"/>
      <c r="E681" s="1"/>
      <c r="F681" s="20"/>
      <c r="G681" s="1"/>
      <c r="H681" s="1"/>
      <c r="I681" s="1"/>
      <c r="J681" s="1"/>
      <c r="K681" s="1"/>
      <c r="L681" s="1"/>
      <c r="M681" s="1"/>
      <c r="N681" s="1"/>
      <c r="O681" s="1"/>
      <c r="P681" s="1"/>
      <c r="Q681" s="1"/>
      <c r="R681" s="1"/>
      <c r="S681" s="1"/>
      <c r="T681" s="1"/>
      <c r="U681" s="1"/>
      <c r="V681" s="1"/>
      <c r="W681" s="1"/>
      <c r="X681" s="1"/>
      <c r="Y681" s="1"/>
      <c r="Z681" s="1"/>
    </row>
    <row r="682" spans="1:26" ht="12.75">
      <c r="A682" s="1"/>
      <c r="B682" s="1"/>
      <c r="C682" s="20"/>
      <c r="D682" s="1"/>
      <c r="E682" s="1"/>
      <c r="F682" s="20"/>
      <c r="G682" s="1"/>
      <c r="H682" s="1"/>
      <c r="I682" s="1"/>
      <c r="J682" s="1"/>
      <c r="K682" s="1"/>
      <c r="L682" s="1"/>
      <c r="M682" s="1"/>
      <c r="N682" s="1"/>
      <c r="O682" s="1"/>
      <c r="P682" s="1"/>
      <c r="Q682" s="1"/>
      <c r="R682" s="1"/>
      <c r="S682" s="1"/>
      <c r="T682" s="1"/>
      <c r="U682" s="1"/>
      <c r="V682" s="1"/>
      <c r="W682" s="1"/>
      <c r="X682" s="1"/>
      <c r="Y682" s="1"/>
      <c r="Z682" s="1"/>
    </row>
    <row r="683" spans="1:26" ht="12.75">
      <c r="A683" s="1"/>
      <c r="B683" s="1"/>
      <c r="C683" s="20"/>
      <c r="D683" s="1"/>
      <c r="E683" s="1"/>
      <c r="F683" s="20"/>
      <c r="G683" s="1"/>
      <c r="H683" s="1"/>
      <c r="I683" s="1"/>
      <c r="J683" s="1"/>
      <c r="K683" s="1"/>
      <c r="L683" s="1"/>
      <c r="M683" s="1"/>
      <c r="N683" s="1"/>
      <c r="O683" s="1"/>
      <c r="P683" s="1"/>
      <c r="Q683" s="1"/>
      <c r="R683" s="1"/>
      <c r="S683" s="1"/>
      <c r="T683" s="1"/>
      <c r="U683" s="1"/>
      <c r="V683" s="1"/>
      <c r="W683" s="1"/>
      <c r="X683" s="1"/>
      <c r="Y683" s="1"/>
      <c r="Z683" s="1"/>
    </row>
    <row r="684" spans="1:26" ht="12.75">
      <c r="A684" s="1"/>
      <c r="B684" s="1"/>
      <c r="C684" s="20"/>
      <c r="D684" s="1"/>
      <c r="E684" s="1"/>
      <c r="F684" s="20"/>
      <c r="G684" s="1"/>
      <c r="H684" s="1"/>
      <c r="I684" s="1"/>
      <c r="J684" s="1"/>
      <c r="K684" s="1"/>
      <c r="L684" s="1"/>
      <c r="M684" s="1"/>
      <c r="N684" s="1"/>
      <c r="O684" s="1"/>
      <c r="P684" s="1"/>
      <c r="Q684" s="1"/>
      <c r="R684" s="1"/>
      <c r="S684" s="1"/>
      <c r="T684" s="1"/>
      <c r="U684" s="1"/>
      <c r="V684" s="1"/>
      <c r="W684" s="1"/>
      <c r="X684" s="1"/>
      <c r="Y684" s="1"/>
      <c r="Z684" s="1"/>
    </row>
    <row r="685" spans="1:26" ht="12.75">
      <c r="A685" s="1"/>
      <c r="B685" s="1"/>
      <c r="C685" s="20"/>
      <c r="D685" s="1"/>
      <c r="E685" s="1"/>
      <c r="F685" s="20"/>
      <c r="G685" s="1"/>
      <c r="H685" s="1"/>
      <c r="I685" s="1"/>
      <c r="J685" s="1"/>
      <c r="K685" s="1"/>
      <c r="L685" s="1"/>
      <c r="M685" s="1"/>
      <c r="N685" s="1"/>
      <c r="O685" s="1"/>
      <c r="P685" s="1"/>
      <c r="Q685" s="1"/>
      <c r="R685" s="1"/>
      <c r="S685" s="1"/>
      <c r="T685" s="1"/>
      <c r="U685" s="1"/>
      <c r="V685" s="1"/>
      <c r="W685" s="1"/>
      <c r="X685" s="1"/>
      <c r="Y685" s="1"/>
      <c r="Z685" s="1"/>
    </row>
    <row r="686" spans="1:26" ht="12.75">
      <c r="A686" s="1"/>
      <c r="B686" s="1"/>
      <c r="C686" s="20"/>
      <c r="D686" s="1"/>
      <c r="E686" s="1"/>
      <c r="F686" s="20"/>
      <c r="G686" s="1"/>
      <c r="H686" s="1"/>
      <c r="I686" s="1"/>
      <c r="J686" s="1"/>
      <c r="K686" s="1"/>
      <c r="L686" s="1"/>
      <c r="M686" s="1"/>
      <c r="N686" s="1"/>
      <c r="O686" s="1"/>
      <c r="P686" s="1"/>
      <c r="Q686" s="1"/>
      <c r="R686" s="1"/>
      <c r="S686" s="1"/>
      <c r="T686" s="1"/>
      <c r="U686" s="1"/>
      <c r="V686" s="1"/>
      <c r="W686" s="1"/>
      <c r="X686" s="1"/>
      <c r="Y686" s="1"/>
      <c r="Z686" s="1"/>
    </row>
    <row r="687" spans="1:26" ht="12.75">
      <c r="A687" s="1"/>
      <c r="B687" s="1"/>
      <c r="C687" s="20"/>
      <c r="D687" s="1"/>
      <c r="E687" s="1"/>
      <c r="F687" s="20"/>
      <c r="G687" s="1"/>
      <c r="H687" s="1"/>
      <c r="I687" s="1"/>
      <c r="J687" s="1"/>
      <c r="K687" s="1"/>
      <c r="L687" s="1"/>
      <c r="M687" s="1"/>
      <c r="N687" s="1"/>
      <c r="O687" s="1"/>
      <c r="P687" s="1"/>
      <c r="Q687" s="1"/>
      <c r="R687" s="1"/>
      <c r="S687" s="1"/>
      <c r="T687" s="1"/>
      <c r="U687" s="1"/>
      <c r="V687" s="1"/>
      <c r="W687" s="1"/>
      <c r="X687" s="1"/>
      <c r="Y687" s="1"/>
      <c r="Z687" s="1"/>
    </row>
    <row r="688" spans="1:26" ht="12.75">
      <c r="A688" s="1"/>
      <c r="B688" s="1"/>
      <c r="C688" s="20"/>
      <c r="D688" s="1"/>
      <c r="E688" s="1"/>
      <c r="F688" s="20"/>
      <c r="G688" s="1"/>
      <c r="H688" s="1"/>
      <c r="I688" s="1"/>
      <c r="J688" s="1"/>
      <c r="K688" s="1"/>
      <c r="L688" s="1"/>
      <c r="M688" s="1"/>
      <c r="N688" s="1"/>
      <c r="O688" s="1"/>
      <c r="P688" s="1"/>
      <c r="Q688" s="1"/>
      <c r="R688" s="1"/>
      <c r="S688" s="1"/>
      <c r="T688" s="1"/>
      <c r="U688" s="1"/>
      <c r="V688" s="1"/>
      <c r="W688" s="1"/>
      <c r="X688" s="1"/>
      <c r="Y688" s="1"/>
      <c r="Z688" s="1"/>
    </row>
    <row r="689" spans="1:26" ht="12.75">
      <c r="A689" s="1"/>
      <c r="B689" s="1"/>
      <c r="C689" s="20"/>
      <c r="D689" s="1"/>
      <c r="E689" s="1"/>
      <c r="F689" s="20"/>
      <c r="G689" s="1"/>
      <c r="H689" s="1"/>
      <c r="I689" s="1"/>
      <c r="J689" s="1"/>
      <c r="K689" s="1"/>
      <c r="L689" s="1"/>
      <c r="M689" s="1"/>
      <c r="N689" s="1"/>
      <c r="O689" s="1"/>
      <c r="P689" s="1"/>
      <c r="Q689" s="1"/>
      <c r="R689" s="1"/>
      <c r="S689" s="1"/>
      <c r="T689" s="1"/>
      <c r="U689" s="1"/>
      <c r="V689" s="1"/>
      <c r="W689" s="1"/>
      <c r="X689" s="1"/>
      <c r="Y689" s="1"/>
      <c r="Z689" s="1"/>
    </row>
    <row r="690" spans="1:26" ht="12.75">
      <c r="A690" s="1"/>
      <c r="B690" s="1"/>
      <c r="C690" s="20"/>
      <c r="D690" s="1"/>
      <c r="E690" s="1"/>
      <c r="F690" s="20"/>
      <c r="G690" s="1"/>
      <c r="H690" s="1"/>
      <c r="I690" s="1"/>
      <c r="J690" s="1"/>
      <c r="K690" s="1"/>
      <c r="L690" s="1"/>
      <c r="M690" s="1"/>
      <c r="N690" s="1"/>
      <c r="O690" s="1"/>
      <c r="P690" s="1"/>
      <c r="Q690" s="1"/>
      <c r="R690" s="1"/>
      <c r="S690" s="1"/>
      <c r="T690" s="1"/>
      <c r="U690" s="1"/>
      <c r="V690" s="1"/>
      <c r="W690" s="1"/>
      <c r="X690" s="1"/>
      <c r="Y690" s="1"/>
      <c r="Z690" s="1"/>
    </row>
    <row r="691" spans="1:26" ht="12.75">
      <c r="A691" s="1"/>
      <c r="B691" s="1"/>
      <c r="C691" s="20"/>
      <c r="D691" s="1"/>
      <c r="E691" s="1"/>
      <c r="F691" s="20"/>
      <c r="G691" s="1"/>
      <c r="H691" s="1"/>
      <c r="I691" s="1"/>
      <c r="J691" s="1"/>
      <c r="K691" s="1"/>
      <c r="L691" s="1"/>
      <c r="M691" s="1"/>
      <c r="N691" s="1"/>
      <c r="O691" s="1"/>
      <c r="P691" s="1"/>
      <c r="Q691" s="1"/>
      <c r="R691" s="1"/>
      <c r="S691" s="1"/>
      <c r="T691" s="1"/>
      <c r="U691" s="1"/>
      <c r="V691" s="1"/>
      <c r="W691" s="1"/>
      <c r="X691" s="1"/>
      <c r="Y691" s="1"/>
      <c r="Z691" s="1"/>
    </row>
    <row r="692" spans="1:26" ht="12.75">
      <c r="A692" s="1"/>
      <c r="B692" s="1"/>
      <c r="C692" s="20"/>
      <c r="D692" s="1"/>
      <c r="E692" s="1"/>
      <c r="F692" s="20"/>
      <c r="G692" s="1"/>
      <c r="H692" s="1"/>
      <c r="I692" s="1"/>
      <c r="J692" s="1"/>
      <c r="K692" s="1"/>
      <c r="L692" s="1"/>
      <c r="M692" s="1"/>
      <c r="N692" s="1"/>
      <c r="O692" s="1"/>
      <c r="P692" s="1"/>
      <c r="Q692" s="1"/>
      <c r="R692" s="1"/>
      <c r="S692" s="1"/>
      <c r="T692" s="1"/>
      <c r="U692" s="1"/>
      <c r="V692" s="1"/>
      <c r="W692" s="1"/>
      <c r="X692" s="1"/>
      <c r="Y692" s="1"/>
      <c r="Z692" s="1"/>
    </row>
    <row r="693" spans="1:26" ht="12.75">
      <c r="A693" s="1"/>
      <c r="B693" s="1"/>
      <c r="C693" s="20"/>
      <c r="D693" s="1"/>
      <c r="E693" s="1"/>
      <c r="F693" s="20"/>
      <c r="G693" s="1"/>
      <c r="H693" s="1"/>
      <c r="I693" s="1"/>
      <c r="J693" s="1"/>
      <c r="K693" s="1"/>
      <c r="L693" s="1"/>
      <c r="M693" s="1"/>
      <c r="N693" s="1"/>
      <c r="O693" s="1"/>
      <c r="P693" s="1"/>
      <c r="Q693" s="1"/>
      <c r="R693" s="1"/>
      <c r="S693" s="1"/>
      <c r="T693" s="1"/>
      <c r="U693" s="1"/>
      <c r="V693" s="1"/>
      <c r="W693" s="1"/>
      <c r="X693" s="1"/>
      <c r="Y693" s="1"/>
      <c r="Z693" s="1"/>
    </row>
    <row r="694" spans="1:26" ht="12.75">
      <c r="A694" s="1"/>
      <c r="B694" s="1"/>
      <c r="C694" s="20"/>
      <c r="D694" s="1"/>
      <c r="E694" s="1"/>
      <c r="F694" s="20"/>
      <c r="G694" s="1"/>
      <c r="H694" s="1"/>
      <c r="I694" s="1"/>
      <c r="J694" s="1"/>
      <c r="K694" s="1"/>
      <c r="L694" s="1"/>
      <c r="M694" s="1"/>
      <c r="N694" s="1"/>
      <c r="O694" s="1"/>
      <c r="P694" s="1"/>
      <c r="Q694" s="1"/>
      <c r="R694" s="1"/>
      <c r="S694" s="1"/>
      <c r="T694" s="1"/>
      <c r="U694" s="1"/>
      <c r="V694" s="1"/>
      <c r="W694" s="1"/>
      <c r="X694" s="1"/>
      <c r="Y694" s="1"/>
      <c r="Z694" s="1"/>
    </row>
    <row r="695" spans="1:26" ht="12.75">
      <c r="A695" s="1"/>
      <c r="B695" s="1"/>
      <c r="C695" s="20"/>
      <c r="D695" s="1"/>
      <c r="E695" s="1"/>
      <c r="F695" s="20"/>
      <c r="G695" s="1"/>
      <c r="H695" s="1"/>
      <c r="I695" s="1"/>
      <c r="J695" s="1"/>
      <c r="K695" s="1"/>
      <c r="L695" s="1"/>
      <c r="M695" s="1"/>
      <c r="N695" s="1"/>
      <c r="O695" s="1"/>
      <c r="P695" s="1"/>
      <c r="Q695" s="1"/>
      <c r="R695" s="1"/>
      <c r="S695" s="1"/>
      <c r="T695" s="1"/>
      <c r="U695" s="1"/>
      <c r="V695" s="1"/>
      <c r="W695" s="1"/>
      <c r="X695" s="1"/>
      <c r="Y695" s="1"/>
      <c r="Z695" s="1"/>
    </row>
    <row r="696" spans="1:26" ht="12.75">
      <c r="A696" s="1"/>
      <c r="B696" s="1"/>
      <c r="C696" s="20"/>
      <c r="D696" s="1"/>
      <c r="E696" s="1"/>
      <c r="F696" s="20"/>
      <c r="G696" s="1"/>
      <c r="H696" s="1"/>
      <c r="I696" s="1"/>
      <c r="J696" s="1"/>
      <c r="K696" s="1"/>
      <c r="L696" s="1"/>
      <c r="M696" s="1"/>
      <c r="N696" s="1"/>
      <c r="O696" s="1"/>
      <c r="P696" s="1"/>
      <c r="Q696" s="1"/>
      <c r="R696" s="1"/>
      <c r="S696" s="1"/>
      <c r="T696" s="1"/>
      <c r="U696" s="1"/>
      <c r="V696" s="1"/>
      <c r="W696" s="1"/>
      <c r="X696" s="1"/>
      <c r="Y696" s="1"/>
      <c r="Z696" s="1"/>
    </row>
    <row r="697" spans="1:26" ht="12.75">
      <c r="A697" s="1"/>
      <c r="B697" s="1"/>
      <c r="C697" s="20"/>
      <c r="D697" s="1"/>
      <c r="E697" s="1"/>
      <c r="F697" s="20"/>
      <c r="G697" s="1"/>
      <c r="H697" s="1"/>
      <c r="I697" s="1"/>
      <c r="J697" s="1"/>
      <c r="K697" s="1"/>
      <c r="L697" s="1"/>
      <c r="M697" s="1"/>
      <c r="N697" s="1"/>
      <c r="O697" s="1"/>
      <c r="P697" s="1"/>
      <c r="Q697" s="1"/>
      <c r="R697" s="1"/>
      <c r="S697" s="1"/>
      <c r="T697" s="1"/>
      <c r="U697" s="1"/>
      <c r="V697" s="1"/>
      <c r="W697" s="1"/>
      <c r="X697" s="1"/>
      <c r="Y697" s="1"/>
      <c r="Z697" s="1"/>
    </row>
    <row r="698" spans="1:26" ht="12.75">
      <c r="A698" s="1"/>
      <c r="B698" s="1"/>
      <c r="C698" s="20"/>
      <c r="D698" s="1"/>
      <c r="E698" s="1"/>
      <c r="F698" s="20"/>
      <c r="G698" s="1"/>
      <c r="H698" s="1"/>
      <c r="I698" s="1"/>
      <c r="J698" s="1"/>
      <c r="K698" s="1"/>
      <c r="L698" s="1"/>
      <c r="M698" s="1"/>
      <c r="N698" s="1"/>
      <c r="O698" s="1"/>
      <c r="P698" s="1"/>
      <c r="Q698" s="1"/>
      <c r="R698" s="1"/>
      <c r="S698" s="1"/>
      <c r="T698" s="1"/>
      <c r="U698" s="1"/>
      <c r="V698" s="1"/>
      <c r="W698" s="1"/>
      <c r="X698" s="1"/>
      <c r="Y698" s="1"/>
      <c r="Z698" s="1"/>
    </row>
    <row r="699" spans="1:26" ht="12.75">
      <c r="A699" s="1"/>
      <c r="B699" s="1"/>
      <c r="C699" s="20"/>
      <c r="D699" s="1"/>
      <c r="E699" s="1"/>
      <c r="F699" s="20"/>
      <c r="G699" s="1"/>
      <c r="H699" s="1"/>
      <c r="I699" s="1"/>
      <c r="J699" s="1"/>
      <c r="K699" s="1"/>
      <c r="L699" s="1"/>
      <c r="M699" s="1"/>
      <c r="N699" s="1"/>
      <c r="O699" s="1"/>
      <c r="P699" s="1"/>
      <c r="Q699" s="1"/>
      <c r="R699" s="1"/>
      <c r="S699" s="1"/>
      <c r="T699" s="1"/>
      <c r="U699" s="1"/>
      <c r="V699" s="1"/>
      <c r="W699" s="1"/>
      <c r="X699" s="1"/>
      <c r="Y699" s="1"/>
      <c r="Z699" s="1"/>
    </row>
    <row r="700" spans="1:26" ht="12.75">
      <c r="A700" s="1"/>
      <c r="B700" s="1"/>
      <c r="C700" s="20"/>
      <c r="D700" s="1"/>
      <c r="E700" s="1"/>
      <c r="F700" s="20"/>
      <c r="G700" s="1"/>
      <c r="H700" s="1"/>
      <c r="I700" s="1"/>
      <c r="J700" s="1"/>
      <c r="K700" s="1"/>
      <c r="L700" s="1"/>
      <c r="M700" s="1"/>
      <c r="N700" s="1"/>
      <c r="O700" s="1"/>
      <c r="P700" s="1"/>
      <c r="Q700" s="1"/>
      <c r="R700" s="1"/>
      <c r="S700" s="1"/>
      <c r="T700" s="1"/>
      <c r="U700" s="1"/>
      <c r="V700" s="1"/>
      <c r="W700" s="1"/>
      <c r="X700" s="1"/>
      <c r="Y700" s="1"/>
      <c r="Z700" s="1"/>
    </row>
    <row r="701" spans="1:26" ht="12.75">
      <c r="A701" s="1"/>
      <c r="B701" s="1"/>
      <c r="C701" s="20"/>
      <c r="D701" s="1"/>
      <c r="E701" s="1"/>
      <c r="F701" s="20"/>
      <c r="G701" s="1"/>
      <c r="H701" s="1"/>
      <c r="I701" s="1"/>
      <c r="J701" s="1"/>
      <c r="K701" s="1"/>
      <c r="L701" s="1"/>
      <c r="M701" s="1"/>
      <c r="N701" s="1"/>
      <c r="O701" s="1"/>
      <c r="P701" s="1"/>
      <c r="Q701" s="1"/>
      <c r="R701" s="1"/>
      <c r="S701" s="1"/>
      <c r="T701" s="1"/>
      <c r="U701" s="1"/>
      <c r="V701" s="1"/>
      <c r="W701" s="1"/>
      <c r="X701" s="1"/>
      <c r="Y701" s="1"/>
      <c r="Z701" s="1"/>
    </row>
    <row r="702" spans="1:26" ht="12.75">
      <c r="A702" s="1"/>
      <c r="B702" s="1"/>
      <c r="C702" s="20"/>
      <c r="D702" s="1"/>
      <c r="E702" s="1"/>
      <c r="F702" s="20"/>
      <c r="G702" s="1"/>
      <c r="H702" s="1"/>
      <c r="I702" s="1"/>
      <c r="J702" s="1"/>
      <c r="K702" s="1"/>
      <c r="L702" s="1"/>
      <c r="M702" s="1"/>
      <c r="N702" s="1"/>
      <c r="O702" s="1"/>
      <c r="P702" s="1"/>
      <c r="Q702" s="1"/>
      <c r="R702" s="1"/>
      <c r="S702" s="1"/>
      <c r="T702" s="1"/>
      <c r="U702" s="1"/>
      <c r="V702" s="1"/>
      <c r="W702" s="1"/>
      <c r="X702" s="1"/>
      <c r="Y702" s="1"/>
      <c r="Z702" s="1"/>
    </row>
    <row r="703" spans="1:26" ht="12.75">
      <c r="A703" s="1"/>
      <c r="B703" s="1"/>
      <c r="C703" s="20"/>
      <c r="D703" s="1"/>
      <c r="E703" s="1"/>
      <c r="F703" s="20"/>
      <c r="G703" s="1"/>
      <c r="H703" s="1"/>
      <c r="I703" s="1"/>
      <c r="J703" s="1"/>
      <c r="K703" s="1"/>
      <c r="L703" s="1"/>
      <c r="M703" s="1"/>
      <c r="N703" s="1"/>
      <c r="O703" s="1"/>
      <c r="P703" s="1"/>
      <c r="Q703" s="1"/>
      <c r="R703" s="1"/>
      <c r="S703" s="1"/>
      <c r="T703" s="1"/>
      <c r="U703" s="1"/>
      <c r="V703" s="1"/>
      <c r="W703" s="1"/>
      <c r="X703" s="1"/>
      <c r="Y703" s="1"/>
      <c r="Z703" s="1"/>
    </row>
    <row r="704" spans="1:26" ht="12.75">
      <c r="A704" s="1"/>
      <c r="B704" s="1"/>
      <c r="C704" s="20"/>
      <c r="D704" s="1"/>
      <c r="E704" s="1"/>
      <c r="F704" s="20"/>
      <c r="G704" s="1"/>
      <c r="H704" s="1"/>
      <c r="I704" s="1"/>
      <c r="J704" s="1"/>
      <c r="K704" s="1"/>
      <c r="L704" s="1"/>
      <c r="M704" s="1"/>
      <c r="N704" s="1"/>
      <c r="O704" s="1"/>
      <c r="P704" s="1"/>
      <c r="Q704" s="1"/>
      <c r="R704" s="1"/>
      <c r="S704" s="1"/>
      <c r="T704" s="1"/>
      <c r="U704" s="1"/>
      <c r="V704" s="1"/>
      <c r="W704" s="1"/>
      <c r="X704" s="1"/>
      <c r="Y704" s="1"/>
      <c r="Z704" s="1"/>
    </row>
    <row r="705" spans="1:26" ht="12.75">
      <c r="A705" s="1"/>
      <c r="B705" s="1"/>
      <c r="C705" s="20"/>
      <c r="D705" s="1"/>
      <c r="E705" s="1"/>
      <c r="F705" s="20"/>
      <c r="G705" s="1"/>
      <c r="H705" s="1"/>
      <c r="I705" s="1"/>
      <c r="J705" s="1"/>
      <c r="K705" s="1"/>
      <c r="L705" s="1"/>
      <c r="M705" s="1"/>
      <c r="N705" s="1"/>
      <c r="O705" s="1"/>
      <c r="P705" s="1"/>
      <c r="Q705" s="1"/>
      <c r="R705" s="1"/>
      <c r="S705" s="1"/>
      <c r="T705" s="1"/>
      <c r="U705" s="1"/>
      <c r="V705" s="1"/>
      <c r="W705" s="1"/>
      <c r="X705" s="1"/>
      <c r="Y705" s="1"/>
      <c r="Z705" s="1"/>
    </row>
    <row r="706" spans="1:26" ht="12.75">
      <c r="A706" s="1"/>
      <c r="B706" s="1"/>
      <c r="C706" s="20"/>
      <c r="D706" s="1"/>
      <c r="E706" s="1"/>
      <c r="F706" s="20"/>
      <c r="G706" s="1"/>
      <c r="H706" s="1"/>
      <c r="I706" s="1"/>
      <c r="J706" s="1"/>
      <c r="K706" s="1"/>
      <c r="L706" s="1"/>
      <c r="M706" s="1"/>
      <c r="N706" s="1"/>
      <c r="O706" s="1"/>
      <c r="P706" s="1"/>
      <c r="Q706" s="1"/>
      <c r="R706" s="1"/>
      <c r="S706" s="1"/>
      <c r="T706" s="1"/>
      <c r="U706" s="1"/>
      <c r="V706" s="1"/>
      <c r="W706" s="1"/>
      <c r="X706" s="1"/>
      <c r="Y706" s="1"/>
      <c r="Z706" s="1"/>
    </row>
    <row r="707" spans="1:26" ht="12.75">
      <c r="A707" s="1"/>
      <c r="B707" s="1"/>
      <c r="C707" s="20"/>
      <c r="D707" s="1"/>
      <c r="E707" s="1"/>
      <c r="F707" s="20"/>
      <c r="G707" s="1"/>
      <c r="H707" s="1"/>
      <c r="I707" s="1"/>
      <c r="J707" s="1"/>
      <c r="K707" s="1"/>
      <c r="L707" s="1"/>
      <c r="M707" s="1"/>
      <c r="N707" s="1"/>
      <c r="O707" s="1"/>
      <c r="P707" s="1"/>
      <c r="Q707" s="1"/>
      <c r="R707" s="1"/>
      <c r="S707" s="1"/>
      <c r="T707" s="1"/>
      <c r="U707" s="1"/>
      <c r="V707" s="1"/>
      <c r="W707" s="1"/>
      <c r="X707" s="1"/>
      <c r="Y707" s="1"/>
      <c r="Z707" s="1"/>
    </row>
    <row r="708" spans="1:26" ht="12.75">
      <c r="A708" s="1"/>
      <c r="B708" s="1"/>
      <c r="C708" s="20"/>
      <c r="D708" s="1"/>
      <c r="E708" s="1"/>
      <c r="F708" s="20"/>
      <c r="G708" s="1"/>
      <c r="H708" s="1"/>
      <c r="I708" s="1"/>
      <c r="J708" s="1"/>
      <c r="K708" s="1"/>
      <c r="L708" s="1"/>
      <c r="M708" s="1"/>
      <c r="N708" s="1"/>
      <c r="O708" s="1"/>
      <c r="P708" s="1"/>
      <c r="Q708" s="1"/>
      <c r="R708" s="1"/>
      <c r="S708" s="1"/>
      <c r="T708" s="1"/>
      <c r="U708" s="1"/>
      <c r="V708" s="1"/>
      <c r="W708" s="1"/>
      <c r="X708" s="1"/>
      <c r="Y708" s="1"/>
      <c r="Z708" s="1"/>
    </row>
    <row r="709" spans="1:26" ht="12.75">
      <c r="A709" s="1"/>
      <c r="B709" s="1"/>
      <c r="C709" s="20"/>
      <c r="D709" s="1"/>
      <c r="E709" s="1"/>
      <c r="F709" s="20"/>
      <c r="G709" s="1"/>
      <c r="H709" s="1"/>
      <c r="I709" s="1"/>
      <c r="J709" s="1"/>
      <c r="K709" s="1"/>
      <c r="L709" s="1"/>
      <c r="M709" s="1"/>
      <c r="N709" s="1"/>
      <c r="O709" s="1"/>
      <c r="P709" s="1"/>
      <c r="Q709" s="1"/>
      <c r="R709" s="1"/>
      <c r="S709" s="1"/>
      <c r="T709" s="1"/>
      <c r="U709" s="1"/>
      <c r="V709" s="1"/>
      <c r="W709" s="1"/>
      <c r="X709" s="1"/>
      <c r="Y709" s="1"/>
      <c r="Z709" s="1"/>
    </row>
    <row r="710" spans="1:26" ht="12.75">
      <c r="A710" s="1"/>
      <c r="B710" s="1"/>
      <c r="C710" s="20"/>
      <c r="D710" s="1"/>
      <c r="E710" s="1"/>
      <c r="F710" s="20"/>
      <c r="G710" s="1"/>
      <c r="H710" s="1"/>
      <c r="I710" s="1"/>
      <c r="J710" s="1"/>
      <c r="K710" s="1"/>
      <c r="L710" s="1"/>
      <c r="M710" s="1"/>
      <c r="N710" s="1"/>
      <c r="O710" s="1"/>
      <c r="P710" s="1"/>
      <c r="Q710" s="1"/>
      <c r="R710" s="1"/>
      <c r="S710" s="1"/>
      <c r="T710" s="1"/>
      <c r="U710" s="1"/>
      <c r="V710" s="1"/>
      <c r="W710" s="1"/>
      <c r="X710" s="1"/>
      <c r="Y710" s="1"/>
      <c r="Z710" s="1"/>
    </row>
    <row r="711" spans="1:26" ht="12.75">
      <c r="A711" s="1"/>
      <c r="B711" s="1"/>
      <c r="C711" s="20"/>
      <c r="D711" s="1"/>
      <c r="E711" s="1"/>
      <c r="F711" s="20"/>
      <c r="G711" s="1"/>
      <c r="H711" s="1"/>
      <c r="I711" s="1"/>
      <c r="J711" s="1"/>
      <c r="K711" s="1"/>
      <c r="L711" s="1"/>
      <c r="M711" s="1"/>
      <c r="N711" s="1"/>
      <c r="O711" s="1"/>
      <c r="P711" s="1"/>
      <c r="Q711" s="1"/>
      <c r="R711" s="1"/>
      <c r="S711" s="1"/>
      <c r="T711" s="1"/>
      <c r="U711" s="1"/>
      <c r="V711" s="1"/>
      <c r="W711" s="1"/>
      <c r="X711" s="1"/>
      <c r="Y711" s="1"/>
      <c r="Z711" s="1"/>
    </row>
    <row r="712" spans="1:26" ht="12.75">
      <c r="A712" s="1"/>
      <c r="B712" s="1"/>
      <c r="C712" s="20"/>
      <c r="D712" s="1"/>
      <c r="E712" s="1"/>
      <c r="F712" s="20"/>
      <c r="G712" s="1"/>
      <c r="H712" s="1"/>
      <c r="I712" s="1"/>
      <c r="J712" s="1"/>
      <c r="K712" s="1"/>
      <c r="L712" s="1"/>
      <c r="M712" s="1"/>
      <c r="N712" s="1"/>
      <c r="O712" s="1"/>
      <c r="P712" s="1"/>
      <c r="Q712" s="1"/>
      <c r="R712" s="1"/>
      <c r="S712" s="1"/>
      <c r="T712" s="1"/>
      <c r="U712" s="1"/>
      <c r="V712" s="1"/>
      <c r="W712" s="1"/>
      <c r="X712" s="1"/>
      <c r="Y712" s="1"/>
      <c r="Z712" s="1"/>
    </row>
    <row r="713" spans="1:26" ht="12.75">
      <c r="A713" s="1"/>
      <c r="B713" s="1"/>
      <c r="C713" s="20"/>
      <c r="D713" s="1"/>
      <c r="E713" s="1"/>
      <c r="F713" s="20"/>
      <c r="G713" s="1"/>
      <c r="H713" s="1"/>
      <c r="I713" s="1"/>
      <c r="J713" s="1"/>
      <c r="K713" s="1"/>
      <c r="L713" s="1"/>
      <c r="M713" s="1"/>
      <c r="N713" s="1"/>
      <c r="O713" s="1"/>
      <c r="P713" s="1"/>
      <c r="Q713" s="1"/>
      <c r="R713" s="1"/>
      <c r="S713" s="1"/>
      <c r="T713" s="1"/>
      <c r="U713" s="1"/>
      <c r="V713" s="1"/>
      <c r="W713" s="1"/>
      <c r="X713" s="1"/>
      <c r="Y713" s="1"/>
      <c r="Z713" s="1"/>
    </row>
    <row r="714" spans="1:26" ht="12.75">
      <c r="A714" s="1"/>
      <c r="B714" s="1"/>
      <c r="C714" s="20"/>
      <c r="D714" s="1"/>
      <c r="E714" s="1"/>
      <c r="F714" s="20"/>
      <c r="G714" s="1"/>
      <c r="H714" s="1"/>
      <c r="I714" s="1"/>
      <c r="J714" s="1"/>
      <c r="K714" s="1"/>
      <c r="L714" s="1"/>
      <c r="M714" s="1"/>
      <c r="N714" s="1"/>
      <c r="O714" s="1"/>
      <c r="P714" s="1"/>
      <c r="Q714" s="1"/>
      <c r="R714" s="1"/>
      <c r="S714" s="1"/>
      <c r="T714" s="1"/>
      <c r="U714" s="1"/>
      <c r="V714" s="1"/>
      <c r="W714" s="1"/>
      <c r="X714" s="1"/>
      <c r="Y714" s="1"/>
      <c r="Z714" s="1"/>
    </row>
    <row r="715" spans="1:26" ht="12.75">
      <c r="A715" s="1"/>
      <c r="B715" s="1"/>
      <c r="C715" s="20"/>
      <c r="D715" s="1"/>
      <c r="E715" s="1"/>
      <c r="F715" s="20"/>
      <c r="G715" s="1"/>
      <c r="H715" s="1"/>
      <c r="I715" s="1"/>
      <c r="J715" s="1"/>
      <c r="K715" s="1"/>
      <c r="L715" s="1"/>
      <c r="M715" s="1"/>
      <c r="N715" s="1"/>
      <c r="O715" s="1"/>
      <c r="P715" s="1"/>
      <c r="Q715" s="1"/>
      <c r="R715" s="1"/>
      <c r="S715" s="1"/>
      <c r="T715" s="1"/>
      <c r="U715" s="1"/>
      <c r="V715" s="1"/>
      <c r="W715" s="1"/>
      <c r="X715" s="1"/>
      <c r="Y715" s="1"/>
      <c r="Z715" s="1"/>
    </row>
    <row r="716" spans="1:26" ht="12.75">
      <c r="A716" s="1"/>
      <c r="B716" s="1"/>
      <c r="C716" s="20"/>
      <c r="D716" s="1"/>
      <c r="E716" s="1"/>
      <c r="F716" s="20"/>
      <c r="G716" s="1"/>
      <c r="H716" s="1"/>
      <c r="I716" s="1"/>
      <c r="J716" s="1"/>
      <c r="K716" s="1"/>
      <c r="L716" s="1"/>
      <c r="M716" s="1"/>
      <c r="N716" s="1"/>
      <c r="O716" s="1"/>
      <c r="P716" s="1"/>
      <c r="Q716" s="1"/>
      <c r="R716" s="1"/>
      <c r="S716" s="1"/>
      <c r="T716" s="1"/>
      <c r="U716" s="1"/>
      <c r="V716" s="1"/>
      <c r="W716" s="1"/>
      <c r="X716" s="1"/>
      <c r="Y716" s="1"/>
      <c r="Z716" s="1"/>
    </row>
    <row r="717" spans="1:26" ht="12.75">
      <c r="A717" s="1"/>
      <c r="B717" s="1"/>
      <c r="C717" s="20"/>
      <c r="D717" s="1"/>
      <c r="E717" s="1"/>
      <c r="F717" s="20"/>
      <c r="G717" s="1"/>
      <c r="H717" s="1"/>
      <c r="I717" s="1"/>
      <c r="J717" s="1"/>
      <c r="K717" s="1"/>
      <c r="L717" s="1"/>
      <c r="M717" s="1"/>
      <c r="N717" s="1"/>
      <c r="O717" s="1"/>
      <c r="P717" s="1"/>
      <c r="Q717" s="1"/>
      <c r="R717" s="1"/>
      <c r="S717" s="1"/>
      <c r="T717" s="1"/>
      <c r="U717" s="1"/>
      <c r="V717" s="1"/>
      <c r="W717" s="1"/>
      <c r="X717" s="1"/>
      <c r="Y717" s="1"/>
      <c r="Z717" s="1"/>
    </row>
    <row r="718" spans="1:26" ht="12.75">
      <c r="A718" s="1"/>
      <c r="B718" s="1"/>
      <c r="C718" s="20"/>
      <c r="D718" s="1"/>
      <c r="E718" s="1"/>
      <c r="F718" s="20"/>
      <c r="G718" s="1"/>
      <c r="H718" s="1"/>
      <c r="I718" s="1"/>
      <c r="J718" s="1"/>
      <c r="K718" s="1"/>
      <c r="L718" s="1"/>
      <c r="M718" s="1"/>
      <c r="N718" s="1"/>
      <c r="O718" s="1"/>
      <c r="P718" s="1"/>
      <c r="Q718" s="1"/>
      <c r="R718" s="1"/>
      <c r="S718" s="1"/>
      <c r="T718" s="1"/>
      <c r="U718" s="1"/>
      <c r="V718" s="1"/>
      <c r="W718" s="1"/>
      <c r="X718" s="1"/>
      <c r="Y718" s="1"/>
      <c r="Z718" s="1"/>
    </row>
    <row r="719" spans="1:26" ht="12.75">
      <c r="A719" s="1"/>
      <c r="B719" s="1"/>
      <c r="C719" s="20"/>
      <c r="D719" s="1"/>
      <c r="E719" s="1"/>
      <c r="F719" s="20"/>
      <c r="G719" s="1"/>
      <c r="H719" s="1"/>
      <c r="I719" s="1"/>
      <c r="J719" s="1"/>
      <c r="K719" s="1"/>
      <c r="L719" s="1"/>
      <c r="M719" s="1"/>
      <c r="N719" s="1"/>
      <c r="O719" s="1"/>
      <c r="P719" s="1"/>
      <c r="Q719" s="1"/>
      <c r="R719" s="1"/>
      <c r="S719" s="1"/>
      <c r="T719" s="1"/>
      <c r="U719" s="1"/>
      <c r="V719" s="1"/>
      <c r="W719" s="1"/>
      <c r="X719" s="1"/>
      <c r="Y719" s="1"/>
      <c r="Z719" s="1"/>
    </row>
    <row r="720" spans="1:26" ht="12.75">
      <c r="A720" s="1"/>
      <c r="B720" s="1"/>
      <c r="C720" s="20"/>
      <c r="D720" s="1"/>
      <c r="E720" s="1"/>
      <c r="F720" s="20"/>
      <c r="G720" s="1"/>
      <c r="H720" s="1"/>
      <c r="I720" s="1"/>
      <c r="J720" s="1"/>
      <c r="K720" s="1"/>
      <c r="L720" s="1"/>
      <c r="M720" s="1"/>
      <c r="N720" s="1"/>
      <c r="O720" s="1"/>
      <c r="P720" s="1"/>
      <c r="Q720" s="1"/>
      <c r="R720" s="1"/>
      <c r="S720" s="1"/>
      <c r="T720" s="1"/>
      <c r="U720" s="1"/>
      <c r="V720" s="1"/>
      <c r="W720" s="1"/>
      <c r="X720" s="1"/>
      <c r="Y720" s="1"/>
      <c r="Z720" s="1"/>
    </row>
    <row r="721" spans="1:26" ht="12.75">
      <c r="A721" s="1"/>
      <c r="B721" s="1"/>
      <c r="C721" s="20"/>
      <c r="D721" s="1"/>
      <c r="E721" s="1"/>
      <c r="F721" s="20"/>
      <c r="G721" s="1"/>
      <c r="H721" s="1"/>
      <c r="I721" s="1"/>
      <c r="J721" s="1"/>
      <c r="K721" s="1"/>
      <c r="L721" s="1"/>
      <c r="M721" s="1"/>
      <c r="N721" s="1"/>
      <c r="O721" s="1"/>
      <c r="P721" s="1"/>
      <c r="Q721" s="1"/>
      <c r="R721" s="1"/>
      <c r="S721" s="1"/>
      <c r="T721" s="1"/>
      <c r="U721" s="1"/>
      <c r="V721" s="1"/>
      <c r="W721" s="1"/>
      <c r="X721" s="1"/>
      <c r="Y721" s="1"/>
      <c r="Z721" s="1"/>
    </row>
    <row r="722" spans="1:26" ht="12.75">
      <c r="A722" s="1"/>
      <c r="B722" s="1"/>
      <c r="C722" s="20"/>
      <c r="D722" s="1"/>
      <c r="E722" s="1"/>
      <c r="F722" s="20"/>
      <c r="G722" s="1"/>
      <c r="H722" s="1"/>
      <c r="I722" s="1"/>
      <c r="J722" s="1"/>
      <c r="K722" s="1"/>
      <c r="L722" s="1"/>
      <c r="M722" s="1"/>
      <c r="N722" s="1"/>
      <c r="O722" s="1"/>
      <c r="P722" s="1"/>
      <c r="Q722" s="1"/>
      <c r="R722" s="1"/>
      <c r="S722" s="1"/>
      <c r="T722" s="1"/>
      <c r="U722" s="1"/>
      <c r="V722" s="1"/>
      <c r="W722" s="1"/>
      <c r="X722" s="1"/>
      <c r="Y722" s="1"/>
      <c r="Z722" s="1"/>
    </row>
    <row r="723" spans="1:26" ht="12.75">
      <c r="A723" s="1"/>
      <c r="B723" s="1"/>
      <c r="C723" s="20"/>
      <c r="D723" s="1"/>
      <c r="E723" s="1"/>
      <c r="F723" s="20"/>
      <c r="G723" s="1"/>
      <c r="H723" s="1"/>
      <c r="I723" s="1"/>
      <c r="J723" s="1"/>
      <c r="K723" s="1"/>
      <c r="L723" s="1"/>
      <c r="M723" s="1"/>
      <c r="N723" s="1"/>
      <c r="O723" s="1"/>
      <c r="P723" s="1"/>
      <c r="Q723" s="1"/>
      <c r="R723" s="1"/>
      <c r="S723" s="1"/>
      <c r="T723" s="1"/>
      <c r="U723" s="1"/>
      <c r="V723" s="1"/>
      <c r="W723" s="1"/>
      <c r="X723" s="1"/>
      <c r="Y723" s="1"/>
      <c r="Z723" s="1"/>
    </row>
    <row r="724" spans="1:26" ht="12.75">
      <c r="A724" s="1"/>
      <c r="B724" s="1"/>
      <c r="C724" s="20"/>
      <c r="D724" s="1"/>
      <c r="E724" s="1"/>
      <c r="F724" s="20"/>
      <c r="G724" s="1"/>
      <c r="H724" s="1"/>
      <c r="I724" s="1"/>
      <c r="J724" s="1"/>
      <c r="K724" s="1"/>
      <c r="L724" s="1"/>
      <c r="M724" s="1"/>
      <c r="N724" s="1"/>
      <c r="O724" s="1"/>
      <c r="P724" s="1"/>
      <c r="Q724" s="1"/>
      <c r="R724" s="1"/>
      <c r="S724" s="1"/>
      <c r="T724" s="1"/>
      <c r="U724" s="1"/>
      <c r="V724" s="1"/>
      <c r="W724" s="1"/>
      <c r="X724" s="1"/>
      <c r="Y724" s="1"/>
      <c r="Z724" s="1"/>
    </row>
    <row r="725" spans="1:26" ht="12.75">
      <c r="A725" s="1"/>
      <c r="B725" s="1"/>
      <c r="C725" s="20"/>
      <c r="D725" s="1"/>
      <c r="E725" s="1"/>
      <c r="F725" s="20"/>
      <c r="G725" s="1"/>
      <c r="H725" s="1"/>
      <c r="I725" s="1"/>
      <c r="J725" s="1"/>
      <c r="K725" s="1"/>
      <c r="L725" s="1"/>
      <c r="M725" s="1"/>
      <c r="N725" s="1"/>
      <c r="O725" s="1"/>
      <c r="P725" s="1"/>
      <c r="Q725" s="1"/>
      <c r="R725" s="1"/>
      <c r="S725" s="1"/>
      <c r="T725" s="1"/>
      <c r="U725" s="1"/>
      <c r="V725" s="1"/>
      <c r="W725" s="1"/>
      <c r="X725" s="1"/>
      <c r="Y725" s="1"/>
      <c r="Z725" s="1"/>
    </row>
    <row r="726" spans="1:26" ht="12.75">
      <c r="A726" s="1"/>
      <c r="B726" s="1"/>
      <c r="C726" s="20"/>
      <c r="D726" s="1"/>
      <c r="E726" s="1"/>
      <c r="F726" s="20"/>
      <c r="G726" s="1"/>
      <c r="H726" s="1"/>
      <c r="I726" s="1"/>
      <c r="J726" s="1"/>
      <c r="K726" s="1"/>
      <c r="L726" s="1"/>
      <c r="M726" s="1"/>
      <c r="N726" s="1"/>
      <c r="O726" s="1"/>
      <c r="P726" s="1"/>
      <c r="Q726" s="1"/>
      <c r="R726" s="1"/>
      <c r="S726" s="1"/>
      <c r="T726" s="1"/>
      <c r="U726" s="1"/>
      <c r="V726" s="1"/>
      <c r="W726" s="1"/>
      <c r="X726" s="1"/>
      <c r="Y726" s="1"/>
      <c r="Z726" s="1"/>
    </row>
    <row r="727" spans="1:26" ht="12.75">
      <c r="A727" s="1"/>
      <c r="B727" s="1"/>
      <c r="C727" s="20"/>
      <c r="D727" s="1"/>
      <c r="E727" s="1"/>
      <c r="F727" s="20"/>
      <c r="G727" s="1"/>
      <c r="H727" s="1"/>
      <c r="I727" s="1"/>
      <c r="J727" s="1"/>
      <c r="K727" s="1"/>
      <c r="L727" s="1"/>
      <c r="M727" s="1"/>
      <c r="N727" s="1"/>
      <c r="O727" s="1"/>
      <c r="P727" s="1"/>
      <c r="Q727" s="1"/>
      <c r="R727" s="1"/>
      <c r="S727" s="1"/>
      <c r="T727" s="1"/>
      <c r="U727" s="1"/>
      <c r="V727" s="1"/>
      <c r="W727" s="1"/>
      <c r="X727" s="1"/>
      <c r="Y727" s="1"/>
      <c r="Z727" s="1"/>
    </row>
    <row r="728" spans="1:26" ht="12.75">
      <c r="A728" s="1"/>
      <c r="B728" s="1"/>
      <c r="C728" s="20"/>
      <c r="D728" s="1"/>
      <c r="E728" s="1"/>
      <c r="F728" s="20"/>
      <c r="G728" s="1"/>
      <c r="H728" s="1"/>
      <c r="I728" s="1"/>
      <c r="J728" s="1"/>
      <c r="K728" s="1"/>
      <c r="L728" s="1"/>
      <c r="M728" s="1"/>
      <c r="N728" s="1"/>
      <c r="O728" s="1"/>
      <c r="P728" s="1"/>
      <c r="Q728" s="1"/>
      <c r="R728" s="1"/>
      <c r="S728" s="1"/>
      <c r="T728" s="1"/>
      <c r="U728" s="1"/>
      <c r="V728" s="1"/>
      <c r="W728" s="1"/>
      <c r="X728" s="1"/>
      <c r="Y728" s="1"/>
      <c r="Z728" s="1"/>
    </row>
    <row r="729" spans="1:26" ht="12.75">
      <c r="A729" s="1"/>
      <c r="B729" s="1"/>
      <c r="C729" s="20"/>
      <c r="D729" s="1"/>
      <c r="E729" s="1"/>
      <c r="F729" s="20"/>
      <c r="G729" s="1"/>
      <c r="H729" s="1"/>
      <c r="I729" s="1"/>
      <c r="J729" s="1"/>
      <c r="K729" s="1"/>
      <c r="L729" s="1"/>
      <c r="M729" s="1"/>
      <c r="N729" s="1"/>
      <c r="O729" s="1"/>
      <c r="P729" s="1"/>
      <c r="Q729" s="1"/>
      <c r="R729" s="1"/>
      <c r="S729" s="1"/>
      <c r="T729" s="1"/>
      <c r="U729" s="1"/>
      <c r="V729" s="1"/>
      <c r="W729" s="1"/>
      <c r="X729" s="1"/>
      <c r="Y729" s="1"/>
      <c r="Z729" s="1"/>
    </row>
    <row r="730" spans="1:26" ht="12.75">
      <c r="A730" s="1"/>
      <c r="B730" s="1"/>
      <c r="C730" s="20"/>
      <c r="D730" s="1"/>
      <c r="E730" s="1"/>
      <c r="F730" s="20"/>
      <c r="G730" s="1"/>
      <c r="H730" s="1"/>
      <c r="I730" s="1"/>
      <c r="J730" s="1"/>
      <c r="K730" s="1"/>
      <c r="L730" s="1"/>
      <c r="M730" s="1"/>
      <c r="N730" s="1"/>
      <c r="O730" s="1"/>
      <c r="P730" s="1"/>
      <c r="Q730" s="1"/>
      <c r="R730" s="1"/>
      <c r="S730" s="1"/>
      <c r="T730" s="1"/>
      <c r="U730" s="1"/>
      <c r="V730" s="1"/>
      <c r="W730" s="1"/>
      <c r="X730" s="1"/>
      <c r="Y730" s="1"/>
      <c r="Z730" s="1"/>
    </row>
    <row r="731" spans="1:26" ht="12.75">
      <c r="A731" s="1"/>
      <c r="B731" s="1"/>
      <c r="C731" s="20"/>
      <c r="D731" s="1"/>
      <c r="E731" s="1"/>
      <c r="F731" s="20"/>
      <c r="G731" s="1"/>
      <c r="H731" s="1"/>
      <c r="I731" s="1"/>
      <c r="J731" s="1"/>
      <c r="K731" s="1"/>
      <c r="L731" s="1"/>
      <c r="M731" s="1"/>
      <c r="N731" s="1"/>
      <c r="O731" s="1"/>
      <c r="P731" s="1"/>
      <c r="Q731" s="1"/>
      <c r="R731" s="1"/>
      <c r="S731" s="1"/>
      <c r="T731" s="1"/>
      <c r="U731" s="1"/>
      <c r="V731" s="1"/>
      <c r="W731" s="1"/>
      <c r="X731" s="1"/>
      <c r="Y731" s="1"/>
      <c r="Z731" s="1"/>
    </row>
    <row r="732" spans="1:26" ht="12.75">
      <c r="A732" s="1"/>
      <c r="B732" s="1"/>
      <c r="C732" s="20"/>
      <c r="D732" s="1"/>
      <c r="E732" s="1"/>
      <c r="F732" s="20"/>
      <c r="G732" s="1"/>
      <c r="H732" s="1"/>
      <c r="I732" s="1"/>
      <c r="J732" s="1"/>
      <c r="K732" s="1"/>
      <c r="L732" s="1"/>
      <c r="M732" s="1"/>
      <c r="N732" s="1"/>
      <c r="O732" s="1"/>
      <c r="P732" s="1"/>
      <c r="Q732" s="1"/>
      <c r="R732" s="1"/>
      <c r="S732" s="1"/>
      <c r="T732" s="1"/>
      <c r="U732" s="1"/>
      <c r="V732" s="1"/>
      <c r="W732" s="1"/>
      <c r="X732" s="1"/>
      <c r="Y732" s="1"/>
      <c r="Z732" s="1"/>
    </row>
    <row r="733" spans="1:26" ht="12.75">
      <c r="A733" s="1"/>
      <c r="B733" s="1"/>
      <c r="C733" s="20"/>
      <c r="D733" s="1"/>
      <c r="E733" s="1"/>
      <c r="F733" s="20"/>
      <c r="G733" s="1"/>
      <c r="H733" s="1"/>
      <c r="I733" s="1"/>
      <c r="J733" s="1"/>
      <c r="K733" s="1"/>
      <c r="L733" s="1"/>
      <c r="M733" s="1"/>
      <c r="N733" s="1"/>
      <c r="O733" s="1"/>
      <c r="P733" s="1"/>
      <c r="Q733" s="1"/>
      <c r="R733" s="1"/>
      <c r="S733" s="1"/>
      <c r="T733" s="1"/>
      <c r="U733" s="1"/>
      <c r="V733" s="1"/>
      <c r="W733" s="1"/>
      <c r="X733" s="1"/>
      <c r="Y733" s="1"/>
      <c r="Z733" s="1"/>
    </row>
    <row r="734" spans="1:26" ht="12.75">
      <c r="A734" s="1"/>
      <c r="B734" s="1"/>
      <c r="C734" s="20"/>
      <c r="D734" s="1"/>
      <c r="E734" s="1"/>
      <c r="F734" s="20"/>
      <c r="G734" s="1"/>
      <c r="H734" s="1"/>
      <c r="I734" s="1"/>
      <c r="J734" s="1"/>
      <c r="K734" s="1"/>
      <c r="L734" s="1"/>
      <c r="M734" s="1"/>
      <c r="N734" s="1"/>
      <c r="O734" s="1"/>
      <c r="P734" s="1"/>
      <c r="Q734" s="1"/>
      <c r="R734" s="1"/>
      <c r="S734" s="1"/>
      <c r="T734" s="1"/>
      <c r="U734" s="1"/>
      <c r="V734" s="1"/>
      <c r="W734" s="1"/>
      <c r="X734" s="1"/>
      <c r="Y734" s="1"/>
      <c r="Z734" s="1"/>
    </row>
    <row r="735" spans="1:26" ht="12.75">
      <c r="A735" s="1"/>
      <c r="B735" s="1"/>
      <c r="C735" s="20"/>
      <c r="D735" s="1"/>
      <c r="E735" s="1"/>
      <c r="F735" s="20"/>
      <c r="G735" s="1"/>
      <c r="H735" s="1"/>
      <c r="I735" s="1"/>
      <c r="J735" s="1"/>
      <c r="K735" s="1"/>
      <c r="L735" s="1"/>
      <c r="M735" s="1"/>
      <c r="N735" s="1"/>
      <c r="O735" s="1"/>
      <c r="P735" s="1"/>
      <c r="Q735" s="1"/>
      <c r="R735" s="1"/>
      <c r="S735" s="1"/>
      <c r="T735" s="1"/>
      <c r="U735" s="1"/>
      <c r="V735" s="1"/>
      <c r="W735" s="1"/>
      <c r="X735" s="1"/>
      <c r="Y735" s="1"/>
      <c r="Z735" s="1"/>
    </row>
    <row r="736" spans="1:26" ht="12.75">
      <c r="A736" s="1"/>
      <c r="B736" s="1"/>
      <c r="C736" s="20"/>
      <c r="D736" s="1"/>
      <c r="E736" s="1"/>
      <c r="F736" s="20"/>
      <c r="G736" s="1"/>
      <c r="H736" s="1"/>
      <c r="I736" s="1"/>
      <c r="J736" s="1"/>
      <c r="K736" s="1"/>
      <c r="L736" s="1"/>
      <c r="M736" s="1"/>
      <c r="N736" s="1"/>
      <c r="O736" s="1"/>
      <c r="P736" s="1"/>
      <c r="Q736" s="1"/>
      <c r="R736" s="1"/>
      <c r="S736" s="1"/>
      <c r="T736" s="1"/>
      <c r="U736" s="1"/>
      <c r="V736" s="1"/>
      <c r="W736" s="1"/>
      <c r="X736" s="1"/>
      <c r="Y736" s="1"/>
      <c r="Z736" s="1"/>
    </row>
    <row r="737" spans="1:26" ht="12.75">
      <c r="A737" s="1"/>
      <c r="B737" s="1"/>
      <c r="C737" s="20"/>
      <c r="D737" s="1"/>
      <c r="E737" s="1"/>
      <c r="F737" s="20"/>
      <c r="G737" s="1"/>
      <c r="H737" s="1"/>
      <c r="I737" s="1"/>
      <c r="J737" s="1"/>
      <c r="K737" s="1"/>
      <c r="L737" s="1"/>
      <c r="M737" s="1"/>
      <c r="N737" s="1"/>
      <c r="O737" s="1"/>
      <c r="P737" s="1"/>
      <c r="Q737" s="1"/>
      <c r="R737" s="1"/>
      <c r="S737" s="1"/>
      <c r="T737" s="1"/>
      <c r="U737" s="1"/>
      <c r="V737" s="1"/>
      <c r="W737" s="1"/>
      <c r="X737" s="1"/>
      <c r="Y737" s="1"/>
      <c r="Z737" s="1"/>
    </row>
    <row r="738" spans="1:26" ht="12.75">
      <c r="A738" s="1"/>
      <c r="B738" s="1"/>
      <c r="C738" s="20"/>
      <c r="D738" s="1"/>
      <c r="E738" s="1"/>
      <c r="F738" s="20"/>
      <c r="G738" s="1"/>
      <c r="H738" s="1"/>
      <c r="I738" s="1"/>
      <c r="J738" s="1"/>
      <c r="K738" s="1"/>
      <c r="L738" s="1"/>
      <c r="M738" s="1"/>
      <c r="N738" s="1"/>
      <c r="O738" s="1"/>
      <c r="P738" s="1"/>
      <c r="Q738" s="1"/>
      <c r="R738" s="1"/>
      <c r="S738" s="1"/>
      <c r="T738" s="1"/>
      <c r="U738" s="1"/>
      <c r="V738" s="1"/>
      <c r="W738" s="1"/>
      <c r="X738" s="1"/>
      <c r="Y738" s="1"/>
      <c r="Z738" s="1"/>
    </row>
    <row r="739" spans="1:26" ht="12.75">
      <c r="A739" s="1"/>
      <c r="B739" s="1"/>
      <c r="C739" s="20"/>
      <c r="D739" s="1"/>
      <c r="E739" s="1"/>
      <c r="F739" s="20"/>
      <c r="G739" s="1"/>
      <c r="H739" s="1"/>
      <c r="I739" s="1"/>
      <c r="J739" s="1"/>
      <c r="K739" s="1"/>
      <c r="L739" s="1"/>
      <c r="M739" s="1"/>
      <c r="N739" s="1"/>
      <c r="O739" s="1"/>
      <c r="P739" s="1"/>
      <c r="Q739" s="1"/>
      <c r="R739" s="1"/>
      <c r="S739" s="1"/>
      <c r="T739" s="1"/>
      <c r="U739" s="1"/>
      <c r="V739" s="1"/>
      <c r="W739" s="1"/>
      <c r="X739" s="1"/>
      <c r="Y739" s="1"/>
      <c r="Z739" s="1"/>
    </row>
    <row r="740" spans="1:26" ht="12.75">
      <c r="A740" s="1"/>
      <c r="B740" s="1"/>
      <c r="C740" s="20"/>
      <c r="D740" s="1"/>
      <c r="E740" s="1"/>
      <c r="F740" s="20"/>
      <c r="G740" s="1"/>
      <c r="H740" s="1"/>
      <c r="I740" s="1"/>
      <c r="J740" s="1"/>
      <c r="K740" s="1"/>
      <c r="L740" s="1"/>
      <c r="M740" s="1"/>
      <c r="N740" s="1"/>
      <c r="O740" s="1"/>
      <c r="P740" s="1"/>
      <c r="Q740" s="1"/>
      <c r="R740" s="1"/>
      <c r="S740" s="1"/>
      <c r="T740" s="1"/>
      <c r="U740" s="1"/>
      <c r="V740" s="1"/>
      <c r="W740" s="1"/>
      <c r="X740" s="1"/>
      <c r="Y740" s="1"/>
      <c r="Z740" s="1"/>
    </row>
    <row r="741" spans="1:26" ht="12.75">
      <c r="A741" s="1"/>
      <c r="B741" s="1"/>
      <c r="C741" s="20"/>
      <c r="D741" s="1"/>
      <c r="E741" s="1"/>
      <c r="F741" s="20"/>
      <c r="G741" s="1"/>
      <c r="H741" s="1"/>
      <c r="I741" s="1"/>
      <c r="J741" s="1"/>
      <c r="K741" s="1"/>
      <c r="L741" s="1"/>
      <c r="M741" s="1"/>
      <c r="N741" s="1"/>
      <c r="O741" s="1"/>
      <c r="P741" s="1"/>
      <c r="Q741" s="1"/>
      <c r="R741" s="1"/>
      <c r="S741" s="1"/>
      <c r="T741" s="1"/>
      <c r="U741" s="1"/>
      <c r="V741" s="1"/>
      <c r="W741" s="1"/>
      <c r="X741" s="1"/>
      <c r="Y741" s="1"/>
      <c r="Z741" s="1"/>
    </row>
    <row r="742" spans="1:26" ht="12.75">
      <c r="A742" s="1"/>
      <c r="B742" s="1"/>
      <c r="C742" s="20"/>
      <c r="D742" s="1"/>
      <c r="E742" s="1"/>
      <c r="F742" s="20"/>
      <c r="G742" s="1"/>
      <c r="H742" s="1"/>
      <c r="I742" s="1"/>
      <c r="J742" s="1"/>
      <c r="K742" s="1"/>
      <c r="L742" s="1"/>
      <c r="M742" s="1"/>
      <c r="N742" s="1"/>
      <c r="O742" s="1"/>
      <c r="P742" s="1"/>
      <c r="Q742" s="1"/>
      <c r="R742" s="1"/>
      <c r="S742" s="1"/>
      <c r="T742" s="1"/>
      <c r="U742" s="1"/>
      <c r="V742" s="1"/>
      <c r="W742" s="1"/>
      <c r="X742" s="1"/>
      <c r="Y742" s="1"/>
      <c r="Z742" s="1"/>
    </row>
    <row r="743" spans="1:26" ht="12.75">
      <c r="A743" s="1"/>
      <c r="B743" s="1"/>
      <c r="C743" s="20"/>
      <c r="D743" s="1"/>
      <c r="E743" s="1"/>
      <c r="F743" s="20"/>
      <c r="G743" s="1"/>
      <c r="H743" s="1"/>
      <c r="I743" s="1"/>
      <c r="J743" s="1"/>
      <c r="K743" s="1"/>
      <c r="L743" s="1"/>
      <c r="M743" s="1"/>
      <c r="N743" s="1"/>
      <c r="O743" s="1"/>
      <c r="P743" s="1"/>
      <c r="Q743" s="1"/>
      <c r="R743" s="1"/>
      <c r="S743" s="1"/>
      <c r="T743" s="1"/>
      <c r="U743" s="1"/>
      <c r="V743" s="1"/>
      <c r="W743" s="1"/>
      <c r="X743" s="1"/>
      <c r="Y743" s="1"/>
      <c r="Z743" s="1"/>
    </row>
    <row r="744" spans="1:26" ht="12.75">
      <c r="A744" s="1"/>
      <c r="B744" s="1"/>
      <c r="C744" s="20"/>
      <c r="D744" s="1"/>
      <c r="E744" s="1"/>
      <c r="F744" s="20"/>
      <c r="G744" s="1"/>
      <c r="H744" s="1"/>
      <c r="I744" s="1"/>
      <c r="J744" s="1"/>
      <c r="K744" s="1"/>
      <c r="L744" s="1"/>
      <c r="M744" s="1"/>
      <c r="N744" s="1"/>
      <c r="O744" s="1"/>
      <c r="P744" s="1"/>
      <c r="Q744" s="1"/>
      <c r="R744" s="1"/>
      <c r="S744" s="1"/>
      <c r="T744" s="1"/>
      <c r="U744" s="1"/>
      <c r="V744" s="1"/>
      <c r="W744" s="1"/>
      <c r="X744" s="1"/>
      <c r="Y744" s="1"/>
      <c r="Z744" s="1"/>
    </row>
    <row r="745" spans="1:26" ht="12.75">
      <c r="A745" s="1"/>
      <c r="B745" s="1"/>
      <c r="C745" s="20"/>
      <c r="D745" s="1"/>
      <c r="E745" s="1"/>
      <c r="F745" s="20"/>
      <c r="G745" s="1"/>
      <c r="H745" s="1"/>
      <c r="I745" s="1"/>
      <c r="J745" s="1"/>
      <c r="K745" s="1"/>
      <c r="L745" s="1"/>
      <c r="M745" s="1"/>
      <c r="N745" s="1"/>
      <c r="O745" s="1"/>
      <c r="P745" s="1"/>
      <c r="Q745" s="1"/>
      <c r="R745" s="1"/>
      <c r="S745" s="1"/>
      <c r="T745" s="1"/>
      <c r="U745" s="1"/>
      <c r="V745" s="1"/>
      <c r="W745" s="1"/>
      <c r="X745" s="1"/>
      <c r="Y745" s="1"/>
      <c r="Z745" s="1"/>
    </row>
    <row r="746" spans="1:26" ht="12.75">
      <c r="A746" s="1"/>
      <c r="B746" s="1"/>
      <c r="C746" s="20"/>
      <c r="D746" s="1"/>
      <c r="E746" s="1"/>
      <c r="F746" s="20"/>
      <c r="G746" s="1"/>
      <c r="H746" s="1"/>
      <c r="I746" s="1"/>
      <c r="J746" s="1"/>
      <c r="K746" s="1"/>
      <c r="L746" s="1"/>
      <c r="M746" s="1"/>
      <c r="N746" s="1"/>
      <c r="O746" s="1"/>
      <c r="P746" s="1"/>
      <c r="Q746" s="1"/>
      <c r="R746" s="1"/>
      <c r="S746" s="1"/>
      <c r="T746" s="1"/>
      <c r="U746" s="1"/>
      <c r="V746" s="1"/>
      <c r="W746" s="1"/>
      <c r="X746" s="1"/>
      <c r="Y746" s="1"/>
      <c r="Z746" s="1"/>
    </row>
    <row r="747" spans="1:26" ht="12.75">
      <c r="A747" s="1"/>
      <c r="B747" s="1"/>
      <c r="C747" s="20"/>
      <c r="D747" s="1"/>
      <c r="E747" s="1"/>
      <c r="F747" s="20"/>
      <c r="G747" s="1"/>
      <c r="H747" s="1"/>
      <c r="I747" s="1"/>
      <c r="J747" s="1"/>
      <c r="K747" s="1"/>
      <c r="L747" s="1"/>
      <c r="M747" s="1"/>
      <c r="N747" s="1"/>
      <c r="O747" s="1"/>
      <c r="P747" s="1"/>
      <c r="Q747" s="1"/>
      <c r="R747" s="1"/>
      <c r="S747" s="1"/>
      <c r="T747" s="1"/>
      <c r="U747" s="1"/>
      <c r="V747" s="1"/>
      <c r="W747" s="1"/>
      <c r="X747" s="1"/>
      <c r="Y747" s="1"/>
      <c r="Z747" s="1"/>
    </row>
    <row r="748" spans="1:26" ht="12.75">
      <c r="A748" s="1"/>
      <c r="B748" s="1"/>
      <c r="C748" s="20"/>
      <c r="D748" s="1"/>
      <c r="E748" s="1"/>
      <c r="F748" s="20"/>
      <c r="G748" s="1"/>
      <c r="H748" s="1"/>
      <c r="I748" s="1"/>
      <c r="J748" s="1"/>
      <c r="K748" s="1"/>
      <c r="L748" s="1"/>
      <c r="M748" s="1"/>
      <c r="N748" s="1"/>
      <c r="O748" s="1"/>
      <c r="P748" s="1"/>
      <c r="Q748" s="1"/>
      <c r="R748" s="1"/>
      <c r="S748" s="1"/>
      <c r="T748" s="1"/>
      <c r="U748" s="1"/>
      <c r="V748" s="1"/>
      <c r="W748" s="1"/>
      <c r="X748" s="1"/>
      <c r="Y748" s="1"/>
      <c r="Z748" s="1"/>
    </row>
    <row r="749" spans="1:26" ht="12.75">
      <c r="A749" s="1"/>
      <c r="B749" s="1"/>
      <c r="C749" s="20"/>
      <c r="D749" s="1"/>
      <c r="E749" s="1"/>
      <c r="F749" s="20"/>
      <c r="G749" s="1"/>
      <c r="H749" s="1"/>
      <c r="I749" s="1"/>
      <c r="J749" s="1"/>
      <c r="K749" s="1"/>
      <c r="L749" s="1"/>
      <c r="M749" s="1"/>
      <c r="N749" s="1"/>
      <c r="O749" s="1"/>
      <c r="P749" s="1"/>
      <c r="Q749" s="1"/>
      <c r="R749" s="1"/>
      <c r="S749" s="1"/>
      <c r="T749" s="1"/>
      <c r="U749" s="1"/>
      <c r="V749" s="1"/>
      <c r="W749" s="1"/>
      <c r="X749" s="1"/>
      <c r="Y749" s="1"/>
      <c r="Z749" s="1"/>
    </row>
    <row r="750" spans="1:26" ht="12.75">
      <c r="A750" s="1"/>
      <c r="B750" s="1"/>
      <c r="C750" s="20"/>
      <c r="D750" s="1"/>
      <c r="E750" s="1"/>
      <c r="F750" s="20"/>
      <c r="G750" s="1"/>
      <c r="H750" s="1"/>
      <c r="I750" s="1"/>
      <c r="J750" s="1"/>
      <c r="K750" s="1"/>
      <c r="L750" s="1"/>
      <c r="M750" s="1"/>
      <c r="N750" s="1"/>
      <c r="O750" s="1"/>
      <c r="P750" s="1"/>
      <c r="Q750" s="1"/>
      <c r="R750" s="1"/>
      <c r="S750" s="1"/>
      <c r="T750" s="1"/>
      <c r="U750" s="1"/>
      <c r="V750" s="1"/>
      <c r="W750" s="1"/>
      <c r="X750" s="1"/>
      <c r="Y750" s="1"/>
      <c r="Z750" s="1"/>
    </row>
    <row r="751" spans="1:26" ht="12.75">
      <c r="A751" s="1"/>
      <c r="B751" s="1"/>
      <c r="C751" s="20"/>
      <c r="D751" s="1"/>
      <c r="E751" s="1"/>
      <c r="F751" s="20"/>
      <c r="G751" s="1"/>
      <c r="H751" s="1"/>
      <c r="I751" s="1"/>
      <c r="J751" s="1"/>
      <c r="K751" s="1"/>
      <c r="L751" s="1"/>
      <c r="M751" s="1"/>
      <c r="N751" s="1"/>
      <c r="O751" s="1"/>
      <c r="P751" s="1"/>
      <c r="Q751" s="1"/>
      <c r="R751" s="1"/>
      <c r="S751" s="1"/>
      <c r="T751" s="1"/>
      <c r="U751" s="1"/>
      <c r="V751" s="1"/>
      <c r="W751" s="1"/>
      <c r="X751" s="1"/>
      <c r="Y751" s="1"/>
      <c r="Z751" s="1"/>
    </row>
    <row r="752" spans="1:26" ht="12.75">
      <c r="A752" s="1"/>
      <c r="B752" s="1"/>
      <c r="C752" s="20"/>
      <c r="D752" s="1"/>
      <c r="E752" s="1"/>
      <c r="F752" s="20"/>
      <c r="G752" s="1"/>
      <c r="H752" s="1"/>
      <c r="I752" s="1"/>
      <c r="J752" s="1"/>
      <c r="K752" s="1"/>
      <c r="L752" s="1"/>
      <c r="M752" s="1"/>
      <c r="N752" s="1"/>
      <c r="O752" s="1"/>
      <c r="P752" s="1"/>
      <c r="Q752" s="1"/>
      <c r="R752" s="1"/>
      <c r="S752" s="1"/>
      <c r="T752" s="1"/>
      <c r="U752" s="1"/>
      <c r="V752" s="1"/>
      <c r="W752" s="1"/>
      <c r="X752" s="1"/>
      <c r="Y752" s="1"/>
      <c r="Z752" s="1"/>
    </row>
    <row r="753" spans="1:26" ht="12.75">
      <c r="A753" s="1"/>
      <c r="B753" s="1"/>
      <c r="C753" s="20"/>
      <c r="D753" s="1"/>
      <c r="E753" s="1"/>
      <c r="F753" s="20"/>
      <c r="G753" s="1"/>
      <c r="H753" s="1"/>
      <c r="I753" s="1"/>
      <c r="J753" s="1"/>
      <c r="K753" s="1"/>
      <c r="L753" s="1"/>
      <c r="M753" s="1"/>
      <c r="N753" s="1"/>
      <c r="O753" s="1"/>
      <c r="P753" s="1"/>
      <c r="Q753" s="1"/>
      <c r="R753" s="1"/>
      <c r="S753" s="1"/>
      <c r="T753" s="1"/>
      <c r="U753" s="1"/>
      <c r="V753" s="1"/>
      <c r="W753" s="1"/>
      <c r="X753" s="1"/>
      <c r="Y753" s="1"/>
      <c r="Z753" s="1"/>
    </row>
    <row r="754" spans="1:26" ht="12.75">
      <c r="A754" s="1"/>
      <c r="B754" s="1"/>
      <c r="C754" s="20"/>
      <c r="D754" s="1"/>
      <c r="E754" s="1"/>
      <c r="F754" s="20"/>
      <c r="G754" s="1"/>
      <c r="H754" s="1"/>
      <c r="I754" s="1"/>
      <c r="J754" s="1"/>
      <c r="K754" s="1"/>
      <c r="L754" s="1"/>
      <c r="M754" s="1"/>
      <c r="N754" s="1"/>
      <c r="O754" s="1"/>
      <c r="P754" s="1"/>
      <c r="Q754" s="1"/>
      <c r="R754" s="1"/>
      <c r="S754" s="1"/>
      <c r="T754" s="1"/>
      <c r="U754" s="1"/>
      <c r="V754" s="1"/>
      <c r="W754" s="1"/>
      <c r="X754" s="1"/>
      <c r="Y754" s="1"/>
      <c r="Z754" s="1"/>
    </row>
    <row r="755" spans="1:26" ht="12.75">
      <c r="A755" s="1"/>
      <c r="B755" s="1"/>
      <c r="C755" s="20"/>
      <c r="D755" s="1"/>
      <c r="E755" s="1"/>
      <c r="F755" s="20"/>
      <c r="G755" s="1"/>
      <c r="H755" s="1"/>
      <c r="I755" s="1"/>
      <c r="J755" s="1"/>
      <c r="K755" s="1"/>
      <c r="L755" s="1"/>
      <c r="M755" s="1"/>
      <c r="N755" s="1"/>
      <c r="O755" s="1"/>
      <c r="P755" s="1"/>
      <c r="Q755" s="1"/>
      <c r="R755" s="1"/>
      <c r="S755" s="1"/>
      <c r="T755" s="1"/>
      <c r="U755" s="1"/>
      <c r="V755" s="1"/>
      <c r="W755" s="1"/>
      <c r="X755" s="1"/>
      <c r="Y755" s="1"/>
      <c r="Z755" s="1"/>
    </row>
    <row r="756" spans="1:26" ht="12.75">
      <c r="A756" s="1"/>
      <c r="B756" s="1"/>
      <c r="C756" s="20"/>
      <c r="D756" s="1"/>
      <c r="E756" s="1"/>
      <c r="F756" s="20"/>
      <c r="G756" s="1"/>
      <c r="H756" s="1"/>
      <c r="I756" s="1"/>
      <c r="J756" s="1"/>
      <c r="K756" s="1"/>
      <c r="L756" s="1"/>
      <c r="M756" s="1"/>
      <c r="N756" s="1"/>
      <c r="O756" s="1"/>
      <c r="P756" s="1"/>
      <c r="Q756" s="1"/>
      <c r="R756" s="1"/>
      <c r="S756" s="1"/>
      <c r="T756" s="1"/>
      <c r="U756" s="1"/>
      <c r="V756" s="1"/>
      <c r="W756" s="1"/>
      <c r="X756" s="1"/>
      <c r="Y756" s="1"/>
      <c r="Z756" s="1"/>
    </row>
    <row r="757" spans="1:26" ht="12.75">
      <c r="A757" s="1"/>
      <c r="B757" s="1"/>
      <c r="C757" s="20"/>
      <c r="D757" s="1"/>
      <c r="E757" s="1"/>
      <c r="F757" s="20"/>
      <c r="G757" s="1"/>
      <c r="H757" s="1"/>
      <c r="I757" s="1"/>
      <c r="J757" s="1"/>
      <c r="K757" s="1"/>
      <c r="L757" s="1"/>
      <c r="M757" s="1"/>
      <c r="N757" s="1"/>
      <c r="O757" s="1"/>
      <c r="P757" s="1"/>
      <c r="Q757" s="1"/>
      <c r="R757" s="1"/>
      <c r="S757" s="1"/>
      <c r="T757" s="1"/>
      <c r="U757" s="1"/>
      <c r="V757" s="1"/>
      <c r="W757" s="1"/>
      <c r="X757" s="1"/>
      <c r="Y757" s="1"/>
      <c r="Z757" s="1"/>
    </row>
    <row r="758" spans="1:26" ht="12.75">
      <c r="A758" s="1"/>
      <c r="B758" s="1"/>
      <c r="C758" s="20"/>
      <c r="D758" s="1"/>
      <c r="E758" s="1"/>
      <c r="F758" s="20"/>
      <c r="G758" s="1"/>
      <c r="H758" s="1"/>
      <c r="I758" s="1"/>
      <c r="J758" s="1"/>
      <c r="K758" s="1"/>
      <c r="L758" s="1"/>
      <c r="M758" s="1"/>
      <c r="N758" s="1"/>
      <c r="O758" s="1"/>
      <c r="P758" s="1"/>
      <c r="Q758" s="1"/>
      <c r="R758" s="1"/>
      <c r="S758" s="1"/>
      <c r="T758" s="1"/>
      <c r="U758" s="1"/>
      <c r="V758" s="1"/>
      <c r="W758" s="1"/>
      <c r="X758" s="1"/>
      <c r="Y758" s="1"/>
      <c r="Z758" s="1"/>
    </row>
    <row r="759" spans="1:26" ht="12.75">
      <c r="A759" s="1"/>
      <c r="B759" s="1"/>
      <c r="C759" s="20"/>
      <c r="D759" s="1"/>
      <c r="E759" s="1"/>
      <c r="F759" s="20"/>
      <c r="G759" s="1"/>
      <c r="H759" s="1"/>
      <c r="I759" s="1"/>
      <c r="J759" s="1"/>
      <c r="K759" s="1"/>
      <c r="L759" s="1"/>
      <c r="M759" s="1"/>
      <c r="N759" s="1"/>
      <c r="O759" s="1"/>
      <c r="P759" s="1"/>
      <c r="Q759" s="1"/>
      <c r="R759" s="1"/>
      <c r="S759" s="1"/>
      <c r="T759" s="1"/>
      <c r="U759" s="1"/>
      <c r="V759" s="1"/>
      <c r="W759" s="1"/>
      <c r="X759" s="1"/>
      <c r="Y759" s="1"/>
      <c r="Z759" s="1"/>
    </row>
    <row r="760" spans="1:26" ht="12.75">
      <c r="A760" s="1"/>
      <c r="B760" s="1"/>
      <c r="C760" s="20"/>
      <c r="D760" s="1"/>
      <c r="E760" s="1"/>
      <c r="F760" s="20"/>
      <c r="G760" s="1"/>
      <c r="H760" s="1"/>
      <c r="I760" s="1"/>
      <c r="J760" s="1"/>
      <c r="K760" s="1"/>
      <c r="L760" s="1"/>
      <c r="M760" s="1"/>
      <c r="N760" s="1"/>
      <c r="O760" s="1"/>
      <c r="P760" s="1"/>
      <c r="Q760" s="1"/>
      <c r="R760" s="1"/>
      <c r="S760" s="1"/>
      <c r="T760" s="1"/>
      <c r="U760" s="1"/>
      <c r="V760" s="1"/>
      <c r="W760" s="1"/>
      <c r="X760" s="1"/>
      <c r="Y760" s="1"/>
      <c r="Z760" s="1"/>
    </row>
    <row r="761" spans="1:26" ht="12.75">
      <c r="A761" s="1"/>
      <c r="B761" s="1"/>
      <c r="C761" s="20"/>
      <c r="D761" s="1"/>
      <c r="E761" s="1"/>
      <c r="F761" s="20"/>
      <c r="G761" s="1"/>
      <c r="H761" s="1"/>
      <c r="I761" s="1"/>
      <c r="J761" s="1"/>
      <c r="K761" s="1"/>
      <c r="L761" s="1"/>
      <c r="M761" s="1"/>
      <c r="N761" s="1"/>
      <c r="O761" s="1"/>
      <c r="P761" s="1"/>
      <c r="Q761" s="1"/>
      <c r="R761" s="1"/>
      <c r="S761" s="1"/>
      <c r="T761" s="1"/>
      <c r="U761" s="1"/>
      <c r="V761" s="1"/>
      <c r="W761" s="1"/>
      <c r="X761" s="1"/>
      <c r="Y761" s="1"/>
      <c r="Z761" s="1"/>
    </row>
    <row r="762" spans="1:26" ht="12.75">
      <c r="A762" s="1"/>
      <c r="B762" s="1"/>
      <c r="C762" s="20"/>
      <c r="D762" s="1"/>
      <c r="E762" s="1"/>
      <c r="F762" s="20"/>
      <c r="G762" s="1"/>
      <c r="H762" s="1"/>
      <c r="I762" s="1"/>
      <c r="J762" s="1"/>
      <c r="K762" s="1"/>
      <c r="L762" s="1"/>
      <c r="M762" s="1"/>
      <c r="N762" s="1"/>
      <c r="O762" s="1"/>
      <c r="P762" s="1"/>
      <c r="Q762" s="1"/>
      <c r="R762" s="1"/>
      <c r="S762" s="1"/>
      <c r="T762" s="1"/>
      <c r="U762" s="1"/>
      <c r="V762" s="1"/>
      <c r="W762" s="1"/>
      <c r="X762" s="1"/>
      <c r="Y762" s="1"/>
      <c r="Z762" s="1"/>
    </row>
    <row r="763" spans="1:26" ht="12.75">
      <c r="A763" s="1"/>
      <c r="B763" s="1"/>
      <c r="C763" s="20"/>
      <c r="D763" s="1"/>
      <c r="E763" s="1"/>
      <c r="F763" s="20"/>
      <c r="G763" s="1"/>
      <c r="H763" s="1"/>
      <c r="I763" s="1"/>
      <c r="J763" s="1"/>
      <c r="K763" s="1"/>
      <c r="L763" s="1"/>
      <c r="M763" s="1"/>
      <c r="N763" s="1"/>
      <c r="O763" s="1"/>
      <c r="P763" s="1"/>
      <c r="Q763" s="1"/>
      <c r="R763" s="1"/>
      <c r="S763" s="1"/>
      <c r="T763" s="1"/>
      <c r="U763" s="1"/>
      <c r="V763" s="1"/>
      <c r="W763" s="1"/>
      <c r="X763" s="1"/>
      <c r="Y763" s="1"/>
      <c r="Z763" s="1"/>
    </row>
    <row r="764" spans="1:26" ht="12.75">
      <c r="A764" s="1"/>
      <c r="B764" s="1"/>
      <c r="C764" s="20"/>
      <c r="D764" s="1"/>
      <c r="E764" s="1"/>
      <c r="F764" s="20"/>
      <c r="G764" s="1"/>
      <c r="H764" s="1"/>
      <c r="I764" s="1"/>
      <c r="J764" s="1"/>
      <c r="K764" s="1"/>
      <c r="L764" s="1"/>
      <c r="M764" s="1"/>
      <c r="N764" s="1"/>
      <c r="O764" s="1"/>
      <c r="P764" s="1"/>
      <c r="Q764" s="1"/>
      <c r="R764" s="1"/>
      <c r="S764" s="1"/>
      <c r="T764" s="1"/>
      <c r="U764" s="1"/>
      <c r="V764" s="1"/>
      <c r="W764" s="1"/>
      <c r="X764" s="1"/>
      <c r="Y764" s="1"/>
      <c r="Z764" s="1"/>
    </row>
    <row r="765" spans="1:26" ht="12.75">
      <c r="A765" s="1"/>
      <c r="B765" s="1"/>
      <c r="C765" s="20"/>
      <c r="D765" s="1"/>
      <c r="E765" s="1"/>
      <c r="F765" s="20"/>
      <c r="G765" s="1"/>
      <c r="H765" s="1"/>
      <c r="I765" s="1"/>
      <c r="J765" s="1"/>
      <c r="K765" s="1"/>
      <c r="L765" s="1"/>
      <c r="M765" s="1"/>
      <c r="N765" s="1"/>
      <c r="O765" s="1"/>
      <c r="P765" s="1"/>
      <c r="Q765" s="1"/>
      <c r="R765" s="1"/>
      <c r="S765" s="1"/>
      <c r="T765" s="1"/>
      <c r="U765" s="1"/>
      <c r="V765" s="1"/>
      <c r="W765" s="1"/>
      <c r="X765" s="1"/>
      <c r="Y765" s="1"/>
      <c r="Z765" s="1"/>
    </row>
    <row r="766" spans="1:26" ht="12.75">
      <c r="A766" s="1"/>
      <c r="B766" s="1"/>
      <c r="C766" s="20"/>
      <c r="D766" s="1"/>
      <c r="E766" s="1"/>
      <c r="F766" s="20"/>
      <c r="G766" s="1"/>
      <c r="H766" s="1"/>
      <c r="I766" s="1"/>
      <c r="J766" s="1"/>
      <c r="K766" s="1"/>
      <c r="L766" s="1"/>
      <c r="M766" s="1"/>
      <c r="N766" s="1"/>
      <c r="O766" s="1"/>
      <c r="P766" s="1"/>
      <c r="Q766" s="1"/>
      <c r="R766" s="1"/>
      <c r="S766" s="1"/>
      <c r="T766" s="1"/>
      <c r="U766" s="1"/>
      <c r="V766" s="1"/>
      <c r="W766" s="1"/>
      <c r="X766" s="1"/>
      <c r="Y766" s="1"/>
      <c r="Z766" s="1"/>
    </row>
    <row r="767" spans="1:26" ht="12.75">
      <c r="A767" s="1"/>
      <c r="B767" s="1"/>
      <c r="C767" s="20"/>
      <c r="D767" s="1"/>
      <c r="E767" s="1"/>
      <c r="F767" s="20"/>
      <c r="G767" s="1"/>
      <c r="H767" s="1"/>
      <c r="I767" s="1"/>
      <c r="J767" s="1"/>
      <c r="K767" s="1"/>
      <c r="L767" s="1"/>
      <c r="M767" s="1"/>
      <c r="N767" s="1"/>
      <c r="O767" s="1"/>
      <c r="P767" s="1"/>
      <c r="Q767" s="1"/>
      <c r="R767" s="1"/>
      <c r="S767" s="1"/>
      <c r="T767" s="1"/>
      <c r="U767" s="1"/>
      <c r="V767" s="1"/>
      <c r="W767" s="1"/>
      <c r="X767" s="1"/>
      <c r="Y767" s="1"/>
      <c r="Z767" s="1"/>
    </row>
    <row r="768" spans="1:26" ht="12.75">
      <c r="A768" s="1"/>
      <c r="B768" s="1"/>
      <c r="C768" s="20"/>
      <c r="D768" s="1"/>
      <c r="E768" s="1"/>
      <c r="F768" s="20"/>
      <c r="G768" s="1"/>
      <c r="H768" s="1"/>
      <c r="I768" s="1"/>
      <c r="J768" s="1"/>
      <c r="K768" s="1"/>
      <c r="L768" s="1"/>
      <c r="M768" s="1"/>
      <c r="N768" s="1"/>
      <c r="O768" s="1"/>
      <c r="P768" s="1"/>
      <c r="Q768" s="1"/>
      <c r="R768" s="1"/>
      <c r="S768" s="1"/>
      <c r="T768" s="1"/>
      <c r="U768" s="1"/>
      <c r="V768" s="1"/>
      <c r="W768" s="1"/>
      <c r="X768" s="1"/>
      <c r="Y768" s="1"/>
      <c r="Z768" s="1"/>
    </row>
    <row r="769" spans="1:26" ht="12.75">
      <c r="A769" s="1"/>
      <c r="B769" s="1"/>
      <c r="C769" s="20"/>
      <c r="D769" s="1"/>
      <c r="E769" s="1"/>
      <c r="F769" s="20"/>
      <c r="G769" s="1"/>
      <c r="H769" s="1"/>
      <c r="I769" s="1"/>
      <c r="J769" s="1"/>
      <c r="K769" s="1"/>
      <c r="L769" s="1"/>
      <c r="M769" s="1"/>
      <c r="N769" s="1"/>
      <c r="O769" s="1"/>
      <c r="P769" s="1"/>
      <c r="Q769" s="1"/>
      <c r="R769" s="1"/>
      <c r="S769" s="1"/>
      <c r="T769" s="1"/>
      <c r="U769" s="1"/>
      <c r="V769" s="1"/>
      <c r="W769" s="1"/>
      <c r="X769" s="1"/>
      <c r="Y769" s="1"/>
      <c r="Z769" s="1"/>
    </row>
    <row r="770" spans="1:26" ht="12.75">
      <c r="A770" s="1"/>
      <c r="B770" s="1"/>
      <c r="C770" s="20"/>
      <c r="D770" s="1"/>
      <c r="E770" s="1"/>
      <c r="F770" s="20"/>
      <c r="G770" s="1"/>
      <c r="H770" s="1"/>
      <c r="I770" s="1"/>
      <c r="J770" s="1"/>
      <c r="K770" s="1"/>
      <c r="L770" s="1"/>
      <c r="M770" s="1"/>
      <c r="N770" s="1"/>
      <c r="O770" s="1"/>
      <c r="P770" s="1"/>
      <c r="Q770" s="1"/>
      <c r="R770" s="1"/>
      <c r="S770" s="1"/>
      <c r="T770" s="1"/>
      <c r="U770" s="1"/>
      <c r="V770" s="1"/>
      <c r="W770" s="1"/>
      <c r="X770" s="1"/>
      <c r="Y770" s="1"/>
      <c r="Z770" s="1"/>
    </row>
    <row r="771" spans="1:26" ht="12.75">
      <c r="A771" s="1"/>
      <c r="B771" s="1"/>
      <c r="C771" s="20"/>
      <c r="D771" s="1"/>
      <c r="E771" s="1"/>
      <c r="F771" s="20"/>
      <c r="G771" s="1"/>
      <c r="H771" s="1"/>
      <c r="I771" s="1"/>
      <c r="J771" s="1"/>
      <c r="K771" s="1"/>
      <c r="L771" s="1"/>
      <c r="M771" s="1"/>
      <c r="N771" s="1"/>
      <c r="O771" s="1"/>
      <c r="P771" s="1"/>
      <c r="Q771" s="1"/>
      <c r="R771" s="1"/>
      <c r="S771" s="1"/>
      <c r="T771" s="1"/>
      <c r="U771" s="1"/>
      <c r="V771" s="1"/>
      <c r="W771" s="1"/>
      <c r="X771" s="1"/>
      <c r="Y771" s="1"/>
      <c r="Z771" s="1"/>
    </row>
    <row r="772" spans="1:26" ht="12.75">
      <c r="A772" s="1"/>
      <c r="B772" s="1"/>
      <c r="C772" s="20"/>
      <c r="D772" s="1"/>
      <c r="E772" s="1"/>
      <c r="F772" s="20"/>
      <c r="G772" s="1"/>
      <c r="H772" s="1"/>
      <c r="I772" s="1"/>
      <c r="J772" s="1"/>
      <c r="K772" s="1"/>
      <c r="L772" s="1"/>
      <c r="M772" s="1"/>
      <c r="N772" s="1"/>
      <c r="O772" s="1"/>
      <c r="P772" s="1"/>
      <c r="Q772" s="1"/>
      <c r="R772" s="1"/>
      <c r="S772" s="1"/>
      <c r="T772" s="1"/>
      <c r="U772" s="1"/>
      <c r="V772" s="1"/>
      <c r="W772" s="1"/>
      <c r="X772" s="1"/>
      <c r="Y772" s="1"/>
      <c r="Z772" s="1"/>
    </row>
    <row r="773" spans="1:26" ht="12.75">
      <c r="A773" s="1"/>
      <c r="B773" s="1"/>
      <c r="C773" s="20"/>
      <c r="D773" s="1"/>
      <c r="E773" s="1"/>
      <c r="F773" s="20"/>
      <c r="G773" s="1"/>
      <c r="H773" s="1"/>
      <c r="I773" s="1"/>
      <c r="J773" s="1"/>
      <c r="K773" s="1"/>
      <c r="L773" s="1"/>
      <c r="M773" s="1"/>
      <c r="N773" s="1"/>
      <c r="O773" s="1"/>
      <c r="P773" s="1"/>
      <c r="Q773" s="1"/>
      <c r="R773" s="1"/>
      <c r="S773" s="1"/>
      <c r="T773" s="1"/>
      <c r="U773" s="1"/>
      <c r="V773" s="1"/>
      <c r="W773" s="1"/>
      <c r="X773" s="1"/>
      <c r="Y773" s="1"/>
      <c r="Z773" s="1"/>
    </row>
    <row r="774" spans="1:26" ht="12.75">
      <c r="A774" s="1"/>
      <c r="B774" s="1"/>
      <c r="C774" s="20"/>
      <c r="D774" s="1"/>
      <c r="E774" s="1"/>
      <c r="F774" s="20"/>
      <c r="G774" s="1"/>
      <c r="H774" s="1"/>
      <c r="I774" s="1"/>
      <c r="J774" s="1"/>
      <c r="K774" s="1"/>
      <c r="L774" s="1"/>
      <c r="M774" s="1"/>
      <c r="N774" s="1"/>
      <c r="O774" s="1"/>
      <c r="P774" s="1"/>
      <c r="Q774" s="1"/>
      <c r="R774" s="1"/>
      <c r="S774" s="1"/>
      <c r="T774" s="1"/>
      <c r="U774" s="1"/>
      <c r="V774" s="1"/>
      <c r="W774" s="1"/>
      <c r="X774" s="1"/>
      <c r="Y774" s="1"/>
      <c r="Z774" s="1"/>
    </row>
    <row r="775" spans="1:26" ht="12.75">
      <c r="A775" s="1"/>
      <c r="B775" s="1"/>
      <c r="C775" s="20"/>
      <c r="D775" s="1"/>
      <c r="E775" s="1"/>
      <c r="F775" s="20"/>
      <c r="G775" s="1"/>
      <c r="H775" s="1"/>
      <c r="I775" s="1"/>
      <c r="J775" s="1"/>
      <c r="K775" s="1"/>
      <c r="L775" s="1"/>
      <c r="M775" s="1"/>
      <c r="N775" s="1"/>
      <c r="O775" s="1"/>
      <c r="P775" s="1"/>
      <c r="Q775" s="1"/>
      <c r="R775" s="1"/>
      <c r="S775" s="1"/>
      <c r="T775" s="1"/>
      <c r="U775" s="1"/>
      <c r="V775" s="1"/>
      <c r="W775" s="1"/>
      <c r="X775" s="1"/>
      <c r="Y775" s="1"/>
      <c r="Z775" s="1"/>
    </row>
    <row r="776" spans="1:26" ht="12.75">
      <c r="A776" s="1"/>
      <c r="B776" s="1"/>
      <c r="C776" s="20"/>
      <c r="D776" s="1"/>
      <c r="E776" s="1"/>
      <c r="F776" s="20"/>
      <c r="G776" s="1"/>
      <c r="H776" s="1"/>
      <c r="I776" s="1"/>
      <c r="J776" s="1"/>
      <c r="K776" s="1"/>
      <c r="L776" s="1"/>
      <c r="M776" s="1"/>
      <c r="N776" s="1"/>
      <c r="O776" s="1"/>
      <c r="P776" s="1"/>
      <c r="Q776" s="1"/>
      <c r="R776" s="1"/>
      <c r="S776" s="1"/>
      <c r="T776" s="1"/>
      <c r="U776" s="1"/>
      <c r="V776" s="1"/>
      <c r="W776" s="1"/>
      <c r="X776" s="1"/>
      <c r="Y776" s="1"/>
      <c r="Z776" s="1"/>
    </row>
    <row r="777" spans="1:26" ht="12.75">
      <c r="A777" s="1"/>
      <c r="B777" s="1"/>
      <c r="C777" s="20"/>
      <c r="D777" s="1"/>
      <c r="E777" s="1"/>
      <c r="F777" s="20"/>
      <c r="G777" s="1"/>
      <c r="H777" s="1"/>
      <c r="I777" s="1"/>
      <c r="J777" s="1"/>
      <c r="K777" s="1"/>
      <c r="L777" s="1"/>
      <c r="M777" s="1"/>
      <c r="N777" s="1"/>
      <c r="O777" s="1"/>
      <c r="P777" s="1"/>
      <c r="Q777" s="1"/>
      <c r="R777" s="1"/>
      <c r="S777" s="1"/>
      <c r="T777" s="1"/>
      <c r="U777" s="1"/>
      <c r="V777" s="1"/>
      <c r="W777" s="1"/>
      <c r="X777" s="1"/>
      <c r="Y777" s="1"/>
      <c r="Z777" s="1"/>
    </row>
    <row r="778" spans="1:26" ht="12.75">
      <c r="A778" s="1"/>
      <c r="B778" s="1"/>
      <c r="C778" s="20"/>
      <c r="D778" s="1"/>
      <c r="E778" s="1"/>
      <c r="F778" s="20"/>
      <c r="G778" s="1"/>
      <c r="H778" s="1"/>
      <c r="I778" s="1"/>
      <c r="J778" s="1"/>
      <c r="K778" s="1"/>
      <c r="L778" s="1"/>
      <c r="M778" s="1"/>
      <c r="N778" s="1"/>
      <c r="O778" s="1"/>
      <c r="P778" s="1"/>
      <c r="Q778" s="1"/>
      <c r="R778" s="1"/>
      <c r="S778" s="1"/>
      <c r="T778" s="1"/>
      <c r="U778" s="1"/>
      <c r="V778" s="1"/>
      <c r="W778" s="1"/>
      <c r="X778" s="1"/>
      <c r="Y778" s="1"/>
      <c r="Z778" s="1"/>
    </row>
    <row r="779" spans="1:26" ht="12.75">
      <c r="A779" s="1"/>
      <c r="B779" s="1"/>
      <c r="C779" s="20"/>
      <c r="D779" s="1"/>
      <c r="E779" s="1"/>
      <c r="F779" s="20"/>
      <c r="G779" s="1"/>
      <c r="H779" s="1"/>
      <c r="I779" s="1"/>
      <c r="J779" s="1"/>
      <c r="K779" s="1"/>
      <c r="L779" s="1"/>
      <c r="M779" s="1"/>
      <c r="N779" s="1"/>
      <c r="O779" s="1"/>
      <c r="P779" s="1"/>
      <c r="Q779" s="1"/>
      <c r="R779" s="1"/>
      <c r="S779" s="1"/>
      <c r="T779" s="1"/>
      <c r="U779" s="1"/>
      <c r="V779" s="1"/>
      <c r="W779" s="1"/>
      <c r="X779" s="1"/>
      <c r="Y779" s="1"/>
      <c r="Z779" s="1"/>
    </row>
    <row r="780" spans="1:26" ht="12.75">
      <c r="A780" s="1"/>
      <c r="B780" s="1"/>
      <c r="C780" s="20"/>
      <c r="D780" s="1"/>
      <c r="E780" s="1"/>
      <c r="F780" s="20"/>
      <c r="G780" s="1"/>
      <c r="H780" s="1"/>
      <c r="I780" s="1"/>
      <c r="J780" s="1"/>
      <c r="K780" s="1"/>
      <c r="L780" s="1"/>
      <c r="M780" s="1"/>
      <c r="N780" s="1"/>
      <c r="O780" s="1"/>
      <c r="P780" s="1"/>
      <c r="Q780" s="1"/>
      <c r="R780" s="1"/>
      <c r="S780" s="1"/>
      <c r="T780" s="1"/>
      <c r="U780" s="1"/>
      <c r="V780" s="1"/>
      <c r="W780" s="1"/>
      <c r="X780" s="1"/>
      <c r="Y780" s="1"/>
      <c r="Z780" s="1"/>
    </row>
    <row r="781" spans="1:26" ht="12.75">
      <c r="A781" s="1"/>
      <c r="B781" s="1"/>
      <c r="C781" s="20"/>
      <c r="D781" s="1"/>
      <c r="E781" s="1"/>
      <c r="F781" s="20"/>
      <c r="G781" s="1"/>
      <c r="H781" s="1"/>
      <c r="I781" s="1"/>
      <c r="J781" s="1"/>
      <c r="K781" s="1"/>
      <c r="L781" s="1"/>
      <c r="M781" s="1"/>
      <c r="N781" s="1"/>
      <c r="O781" s="1"/>
      <c r="P781" s="1"/>
      <c r="Q781" s="1"/>
      <c r="R781" s="1"/>
      <c r="S781" s="1"/>
      <c r="T781" s="1"/>
      <c r="U781" s="1"/>
      <c r="V781" s="1"/>
      <c r="W781" s="1"/>
      <c r="X781" s="1"/>
      <c r="Y781" s="1"/>
      <c r="Z781" s="1"/>
    </row>
    <row r="782" spans="1:26" ht="12.75">
      <c r="A782" s="1"/>
      <c r="B782" s="1"/>
      <c r="C782" s="20"/>
      <c r="D782" s="1"/>
      <c r="E782" s="1"/>
      <c r="F782" s="20"/>
      <c r="G782" s="1"/>
      <c r="H782" s="1"/>
      <c r="I782" s="1"/>
      <c r="J782" s="1"/>
      <c r="K782" s="1"/>
      <c r="L782" s="1"/>
      <c r="M782" s="1"/>
      <c r="N782" s="1"/>
      <c r="O782" s="1"/>
      <c r="P782" s="1"/>
      <c r="Q782" s="1"/>
      <c r="R782" s="1"/>
      <c r="S782" s="1"/>
      <c r="T782" s="1"/>
      <c r="U782" s="1"/>
      <c r="V782" s="1"/>
      <c r="W782" s="1"/>
      <c r="X782" s="1"/>
      <c r="Y782" s="1"/>
      <c r="Z782" s="1"/>
    </row>
    <row r="783" spans="1:26" ht="12.75">
      <c r="A783" s="1"/>
      <c r="B783" s="1"/>
      <c r="C783" s="20"/>
      <c r="D783" s="1"/>
      <c r="E783" s="1"/>
      <c r="F783" s="20"/>
      <c r="G783" s="1"/>
      <c r="H783" s="1"/>
      <c r="I783" s="1"/>
      <c r="J783" s="1"/>
      <c r="K783" s="1"/>
      <c r="L783" s="1"/>
      <c r="M783" s="1"/>
      <c r="N783" s="1"/>
      <c r="O783" s="1"/>
      <c r="P783" s="1"/>
      <c r="Q783" s="1"/>
      <c r="R783" s="1"/>
      <c r="S783" s="1"/>
      <c r="T783" s="1"/>
      <c r="U783" s="1"/>
      <c r="V783" s="1"/>
      <c r="W783" s="1"/>
      <c r="X783" s="1"/>
      <c r="Y783" s="1"/>
      <c r="Z783" s="1"/>
    </row>
    <row r="784" spans="1:26" ht="12.75">
      <c r="A784" s="1"/>
      <c r="B784" s="1"/>
      <c r="C784" s="20"/>
      <c r="D784" s="1"/>
      <c r="E784" s="1"/>
      <c r="F784" s="20"/>
      <c r="G784" s="1"/>
      <c r="H784" s="1"/>
      <c r="I784" s="1"/>
      <c r="J784" s="1"/>
      <c r="K784" s="1"/>
      <c r="L784" s="1"/>
      <c r="M784" s="1"/>
      <c r="N784" s="1"/>
      <c r="O784" s="1"/>
      <c r="P784" s="1"/>
      <c r="Q784" s="1"/>
      <c r="R784" s="1"/>
      <c r="S784" s="1"/>
      <c r="T784" s="1"/>
      <c r="U784" s="1"/>
      <c r="V784" s="1"/>
      <c r="W784" s="1"/>
      <c r="X784" s="1"/>
      <c r="Y784" s="1"/>
      <c r="Z784" s="1"/>
    </row>
    <row r="785" spans="1:26" ht="12.75">
      <c r="A785" s="1"/>
      <c r="B785" s="1"/>
      <c r="C785" s="20"/>
      <c r="D785" s="1"/>
      <c r="E785" s="1"/>
      <c r="F785" s="20"/>
      <c r="G785" s="1"/>
      <c r="H785" s="1"/>
      <c r="I785" s="1"/>
      <c r="J785" s="1"/>
      <c r="K785" s="1"/>
      <c r="L785" s="1"/>
      <c r="M785" s="1"/>
      <c r="N785" s="1"/>
      <c r="O785" s="1"/>
      <c r="P785" s="1"/>
      <c r="Q785" s="1"/>
      <c r="R785" s="1"/>
      <c r="S785" s="1"/>
      <c r="T785" s="1"/>
      <c r="U785" s="1"/>
      <c r="V785" s="1"/>
      <c r="W785" s="1"/>
      <c r="X785" s="1"/>
      <c r="Y785" s="1"/>
      <c r="Z785" s="1"/>
    </row>
    <row r="786" spans="1:26" ht="12.75">
      <c r="A786" s="1"/>
      <c r="B786" s="1"/>
      <c r="C786" s="20"/>
      <c r="D786" s="1"/>
      <c r="E786" s="1"/>
      <c r="F786" s="20"/>
      <c r="G786" s="1"/>
      <c r="H786" s="1"/>
      <c r="I786" s="1"/>
      <c r="J786" s="1"/>
      <c r="K786" s="1"/>
      <c r="L786" s="1"/>
      <c r="M786" s="1"/>
      <c r="N786" s="1"/>
      <c r="O786" s="1"/>
      <c r="P786" s="1"/>
      <c r="Q786" s="1"/>
      <c r="R786" s="1"/>
      <c r="S786" s="1"/>
      <c r="T786" s="1"/>
      <c r="U786" s="1"/>
      <c r="V786" s="1"/>
      <c r="W786" s="1"/>
      <c r="X786" s="1"/>
      <c r="Y786" s="1"/>
      <c r="Z786" s="1"/>
    </row>
    <row r="787" spans="1:26" ht="12.75">
      <c r="A787" s="1"/>
      <c r="B787" s="1"/>
      <c r="C787" s="20"/>
      <c r="D787" s="1"/>
      <c r="E787" s="1"/>
      <c r="F787" s="20"/>
      <c r="G787" s="1"/>
      <c r="H787" s="1"/>
      <c r="I787" s="1"/>
      <c r="J787" s="1"/>
      <c r="K787" s="1"/>
      <c r="L787" s="1"/>
      <c r="M787" s="1"/>
      <c r="N787" s="1"/>
      <c r="O787" s="1"/>
      <c r="P787" s="1"/>
      <c r="Q787" s="1"/>
      <c r="R787" s="1"/>
      <c r="S787" s="1"/>
      <c r="T787" s="1"/>
      <c r="U787" s="1"/>
      <c r="V787" s="1"/>
      <c r="W787" s="1"/>
      <c r="X787" s="1"/>
      <c r="Y787" s="1"/>
      <c r="Z787" s="1"/>
    </row>
    <row r="788" spans="1:26" ht="12.75">
      <c r="A788" s="1"/>
      <c r="B788" s="1"/>
      <c r="C788" s="20"/>
      <c r="D788" s="1"/>
      <c r="E788" s="1"/>
      <c r="F788" s="20"/>
      <c r="G788" s="1"/>
      <c r="H788" s="1"/>
      <c r="I788" s="1"/>
      <c r="J788" s="1"/>
      <c r="K788" s="1"/>
      <c r="L788" s="1"/>
      <c r="M788" s="1"/>
      <c r="N788" s="1"/>
      <c r="O788" s="1"/>
      <c r="P788" s="1"/>
      <c r="Q788" s="1"/>
      <c r="R788" s="1"/>
      <c r="S788" s="1"/>
      <c r="T788" s="1"/>
      <c r="U788" s="1"/>
      <c r="V788" s="1"/>
      <c r="W788" s="1"/>
      <c r="X788" s="1"/>
      <c r="Y788" s="1"/>
      <c r="Z788" s="1"/>
    </row>
    <row r="789" spans="1:26" ht="12.75">
      <c r="A789" s="1"/>
      <c r="B789" s="1"/>
      <c r="C789" s="20"/>
      <c r="D789" s="1"/>
      <c r="E789" s="1"/>
      <c r="F789" s="20"/>
      <c r="G789" s="1"/>
      <c r="H789" s="1"/>
      <c r="I789" s="1"/>
      <c r="J789" s="1"/>
      <c r="K789" s="1"/>
      <c r="L789" s="1"/>
      <c r="M789" s="1"/>
      <c r="N789" s="1"/>
      <c r="O789" s="1"/>
      <c r="P789" s="1"/>
      <c r="Q789" s="1"/>
      <c r="R789" s="1"/>
      <c r="S789" s="1"/>
      <c r="T789" s="1"/>
      <c r="U789" s="1"/>
      <c r="V789" s="1"/>
      <c r="W789" s="1"/>
      <c r="X789" s="1"/>
      <c r="Y789" s="1"/>
      <c r="Z789" s="1"/>
    </row>
    <row r="790" spans="1:26" ht="12.75">
      <c r="A790" s="1"/>
      <c r="B790" s="1"/>
      <c r="C790" s="20"/>
      <c r="D790" s="1"/>
      <c r="E790" s="1"/>
      <c r="F790" s="20"/>
      <c r="G790" s="1"/>
      <c r="H790" s="1"/>
      <c r="I790" s="1"/>
      <c r="J790" s="1"/>
      <c r="K790" s="1"/>
      <c r="L790" s="1"/>
      <c r="M790" s="1"/>
      <c r="N790" s="1"/>
      <c r="O790" s="1"/>
      <c r="P790" s="1"/>
      <c r="Q790" s="1"/>
      <c r="R790" s="1"/>
      <c r="S790" s="1"/>
      <c r="T790" s="1"/>
      <c r="U790" s="1"/>
      <c r="V790" s="1"/>
      <c r="W790" s="1"/>
      <c r="X790" s="1"/>
      <c r="Y790" s="1"/>
      <c r="Z790" s="1"/>
    </row>
    <row r="791" spans="1:26" ht="12.75">
      <c r="A791" s="1"/>
      <c r="B791" s="1"/>
      <c r="C791" s="20"/>
      <c r="D791" s="1"/>
      <c r="E791" s="1"/>
      <c r="F791" s="20"/>
      <c r="G791" s="1"/>
      <c r="H791" s="1"/>
      <c r="I791" s="1"/>
      <c r="J791" s="1"/>
      <c r="K791" s="1"/>
      <c r="L791" s="1"/>
      <c r="M791" s="1"/>
      <c r="N791" s="1"/>
      <c r="O791" s="1"/>
      <c r="P791" s="1"/>
      <c r="Q791" s="1"/>
      <c r="R791" s="1"/>
      <c r="S791" s="1"/>
      <c r="T791" s="1"/>
      <c r="U791" s="1"/>
      <c r="V791" s="1"/>
      <c r="W791" s="1"/>
      <c r="X791" s="1"/>
      <c r="Y791" s="1"/>
      <c r="Z791" s="1"/>
    </row>
    <row r="792" spans="1:26" ht="12.75">
      <c r="A792" s="1"/>
      <c r="B792" s="1"/>
      <c r="C792" s="20"/>
      <c r="D792" s="1"/>
      <c r="E792" s="1"/>
      <c r="F792" s="20"/>
      <c r="G792" s="1"/>
      <c r="H792" s="1"/>
      <c r="I792" s="1"/>
      <c r="J792" s="1"/>
      <c r="K792" s="1"/>
      <c r="L792" s="1"/>
      <c r="M792" s="1"/>
      <c r="N792" s="1"/>
      <c r="O792" s="1"/>
      <c r="P792" s="1"/>
      <c r="Q792" s="1"/>
      <c r="R792" s="1"/>
      <c r="S792" s="1"/>
      <c r="T792" s="1"/>
      <c r="U792" s="1"/>
      <c r="V792" s="1"/>
      <c r="W792" s="1"/>
      <c r="X792" s="1"/>
      <c r="Y792" s="1"/>
      <c r="Z792" s="1"/>
    </row>
    <row r="793" spans="1:26" ht="12.75">
      <c r="A793" s="1"/>
      <c r="B793" s="1"/>
      <c r="C793" s="20"/>
      <c r="D793" s="1"/>
      <c r="E793" s="1"/>
      <c r="F793" s="20"/>
      <c r="G793" s="1"/>
      <c r="H793" s="1"/>
      <c r="I793" s="1"/>
      <c r="J793" s="1"/>
      <c r="K793" s="1"/>
      <c r="L793" s="1"/>
      <c r="M793" s="1"/>
      <c r="N793" s="1"/>
      <c r="O793" s="1"/>
      <c r="P793" s="1"/>
      <c r="Q793" s="1"/>
      <c r="R793" s="1"/>
      <c r="S793" s="1"/>
      <c r="T793" s="1"/>
      <c r="U793" s="1"/>
      <c r="V793" s="1"/>
      <c r="W793" s="1"/>
      <c r="X793" s="1"/>
      <c r="Y793" s="1"/>
      <c r="Z793" s="1"/>
    </row>
    <row r="794" spans="1:26" ht="12.75">
      <c r="A794" s="1"/>
      <c r="B794" s="1"/>
      <c r="C794" s="20"/>
      <c r="D794" s="1"/>
      <c r="E794" s="1"/>
      <c r="F794" s="20"/>
      <c r="G794" s="1"/>
      <c r="H794" s="1"/>
      <c r="I794" s="1"/>
      <c r="J794" s="1"/>
      <c r="K794" s="1"/>
      <c r="L794" s="1"/>
      <c r="M794" s="1"/>
      <c r="N794" s="1"/>
      <c r="O794" s="1"/>
      <c r="P794" s="1"/>
      <c r="Q794" s="1"/>
      <c r="R794" s="1"/>
      <c r="S794" s="1"/>
      <c r="T794" s="1"/>
      <c r="U794" s="1"/>
      <c r="V794" s="1"/>
      <c r="W794" s="1"/>
      <c r="X794" s="1"/>
      <c r="Y794" s="1"/>
      <c r="Z794" s="1"/>
    </row>
    <row r="795" spans="1:26" ht="12.75">
      <c r="A795" s="1"/>
      <c r="B795" s="1"/>
      <c r="C795" s="20"/>
      <c r="D795" s="1"/>
      <c r="E795" s="1"/>
      <c r="F795" s="20"/>
      <c r="G795" s="1"/>
      <c r="H795" s="1"/>
      <c r="I795" s="1"/>
      <c r="J795" s="1"/>
      <c r="K795" s="1"/>
      <c r="L795" s="1"/>
      <c r="M795" s="1"/>
      <c r="N795" s="1"/>
      <c r="O795" s="1"/>
      <c r="P795" s="1"/>
      <c r="Q795" s="1"/>
      <c r="R795" s="1"/>
      <c r="S795" s="1"/>
      <c r="T795" s="1"/>
      <c r="U795" s="1"/>
      <c r="V795" s="1"/>
      <c r="W795" s="1"/>
      <c r="X795" s="1"/>
      <c r="Y795" s="1"/>
      <c r="Z795" s="1"/>
    </row>
    <row r="796" spans="1:26" ht="12.75">
      <c r="A796" s="1"/>
      <c r="B796" s="1"/>
      <c r="C796" s="20"/>
      <c r="D796" s="1"/>
      <c r="E796" s="1"/>
      <c r="F796" s="20"/>
      <c r="G796" s="1"/>
      <c r="H796" s="1"/>
      <c r="I796" s="1"/>
      <c r="J796" s="1"/>
      <c r="K796" s="1"/>
      <c r="L796" s="1"/>
      <c r="M796" s="1"/>
      <c r="N796" s="1"/>
      <c r="O796" s="1"/>
      <c r="P796" s="1"/>
      <c r="Q796" s="1"/>
      <c r="R796" s="1"/>
      <c r="S796" s="1"/>
      <c r="T796" s="1"/>
      <c r="U796" s="1"/>
      <c r="V796" s="1"/>
      <c r="W796" s="1"/>
      <c r="X796" s="1"/>
      <c r="Y796" s="1"/>
      <c r="Z796" s="1"/>
    </row>
    <row r="797" spans="1:26" ht="12.75">
      <c r="A797" s="1"/>
      <c r="B797" s="1"/>
      <c r="C797" s="20"/>
      <c r="D797" s="1"/>
      <c r="E797" s="1"/>
      <c r="F797" s="20"/>
      <c r="G797" s="1"/>
      <c r="H797" s="1"/>
      <c r="I797" s="1"/>
      <c r="J797" s="1"/>
      <c r="K797" s="1"/>
      <c r="L797" s="1"/>
      <c r="M797" s="1"/>
      <c r="N797" s="1"/>
      <c r="O797" s="1"/>
      <c r="P797" s="1"/>
      <c r="Q797" s="1"/>
      <c r="R797" s="1"/>
      <c r="S797" s="1"/>
      <c r="T797" s="1"/>
      <c r="U797" s="1"/>
      <c r="V797" s="1"/>
      <c r="W797" s="1"/>
      <c r="X797" s="1"/>
      <c r="Y797" s="1"/>
      <c r="Z797" s="1"/>
    </row>
    <row r="798" spans="1:26" ht="12.75">
      <c r="A798" s="1"/>
      <c r="B798" s="1"/>
      <c r="C798" s="20"/>
      <c r="D798" s="1"/>
      <c r="E798" s="1"/>
      <c r="F798" s="20"/>
      <c r="G798" s="1"/>
      <c r="H798" s="1"/>
      <c r="I798" s="1"/>
      <c r="J798" s="1"/>
      <c r="K798" s="1"/>
      <c r="L798" s="1"/>
      <c r="M798" s="1"/>
      <c r="N798" s="1"/>
      <c r="O798" s="1"/>
      <c r="P798" s="1"/>
      <c r="Q798" s="1"/>
      <c r="R798" s="1"/>
      <c r="S798" s="1"/>
      <c r="T798" s="1"/>
      <c r="U798" s="1"/>
      <c r="V798" s="1"/>
      <c r="W798" s="1"/>
      <c r="X798" s="1"/>
      <c r="Y798" s="1"/>
      <c r="Z798" s="1"/>
    </row>
    <row r="799" spans="1:26" ht="12.75">
      <c r="A799" s="1"/>
      <c r="B799" s="1"/>
      <c r="C799" s="20"/>
      <c r="D799" s="1"/>
      <c r="E799" s="1"/>
      <c r="F799" s="20"/>
      <c r="G799" s="1"/>
      <c r="H799" s="1"/>
      <c r="I799" s="1"/>
      <c r="J799" s="1"/>
      <c r="K799" s="1"/>
      <c r="L799" s="1"/>
      <c r="M799" s="1"/>
      <c r="N799" s="1"/>
      <c r="O799" s="1"/>
      <c r="P799" s="1"/>
      <c r="Q799" s="1"/>
      <c r="R799" s="1"/>
      <c r="S799" s="1"/>
      <c r="T799" s="1"/>
      <c r="U799" s="1"/>
      <c r="V799" s="1"/>
      <c r="W799" s="1"/>
      <c r="X799" s="1"/>
      <c r="Y799" s="1"/>
      <c r="Z799" s="1"/>
    </row>
    <row r="800" spans="1:26" ht="12.75">
      <c r="A800" s="1"/>
      <c r="B800" s="1"/>
      <c r="C800" s="20"/>
      <c r="D800" s="1"/>
      <c r="E800" s="1"/>
      <c r="F800" s="20"/>
      <c r="G800" s="1"/>
      <c r="H800" s="1"/>
      <c r="I800" s="1"/>
      <c r="J800" s="1"/>
      <c r="K800" s="1"/>
      <c r="L800" s="1"/>
      <c r="M800" s="1"/>
      <c r="N800" s="1"/>
      <c r="O800" s="1"/>
      <c r="P800" s="1"/>
      <c r="Q800" s="1"/>
      <c r="R800" s="1"/>
      <c r="S800" s="1"/>
      <c r="T800" s="1"/>
      <c r="U800" s="1"/>
      <c r="V800" s="1"/>
      <c r="W800" s="1"/>
      <c r="X800" s="1"/>
      <c r="Y800" s="1"/>
      <c r="Z800" s="1"/>
    </row>
    <row r="801" spans="1:26" ht="12.75">
      <c r="A801" s="1"/>
      <c r="B801" s="1"/>
      <c r="C801" s="20"/>
      <c r="D801" s="1"/>
      <c r="E801" s="1"/>
      <c r="F801" s="20"/>
      <c r="G801" s="1"/>
      <c r="H801" s="1"/>
      <c r="I801" s="1"/>
      <c r="J801" s="1"/>
      <c r="K801" s="1"/>
      <c r="L801" s="1"/>
      <c r="M801" s="1"/>
      <c r="N801" s="1"/>
      <c r="O801" s="1"/>
      <c r="P801" s="1"/>
      <c r="Q801" s="1"/>
      <c r="R801" s="1"/>
      <c r="S801" s="1"/>
      <c r="T801" s="1"/>
      <c r="U801" s="1"/>
      <c r="V801" s="1"/>
      <c r="W801" s="1"/>
      <c r="X801" s="1"/>
      <c r="Y801" s="1"/>
      <c r="Z801" s="1"/>
    </row>
    <row r="802" spans="1:26" ht="12.75">
      <c r="A802" s="1"/>
      <c r="B802" s="1"/>
      <c r="C802" s="20"/>
      <c r="D802" s="1"/>
      <c r="E802" s="1"/>
      <c r="F802" s="20"/>
      <c r="G802" s="1"/>
      <c r="H802" s="1"/>
      <c r="I802" s="1"/>
      <c r="J802" s="1"/>
      <c r="K802" s="1"/>
      <c r="L802" s="1"/>
      <c r="M802" s="1"/>
      <c r="N802" s="1"/>
      <c r="O802" s="1"/>
      <c r="P802" s="1"/>
      <c r="Q802" s="1"/>
      <c r="R802" s="1"/>
      <c r="S802" s="1"/>
      <c r="T802" s="1"/>
      <c r="U802" s="1"/>
      <c r="V802" s="1"/>
      <c r="W802" s="1"/>
      <c r="X802" s="1"/>
      <c r="Y802" s="1"/>
      <c r="Z802" s="1"/>
    </row>
    <row r="803" spans="1:26" ht="12.75">
      <c r="A803" s="1"/>
      <c r="B803" s="1"/>
      <c r="C803" s="20"/>
      <c r="D803" s="1"/>
      <c r="E803" s="1"/>
      <c r="F803" s="20"/>
      <c r="G803" s="1"/>
      <c r="H803" s="1"/>
      <c r="I803" s="1"/>
      <c r="J803" s="1"/>
      <c r="K803" s="1"/>
      <c r="L803" s="1"/>
      <c r="M803" s="1"/>
      <c r="N803" s="1"/>
      <c r="O803" s="1"/>
      <c r="P803" s="1"/>
      <c r="Q803" s="1"/>
      <c r="R803" s="1"/>
      <c r="S803" s="1"/>
      <c r="T803" s="1"/>
      <c r="U803" s="1"/>
      <c r="V803" s="1"/>
      <c r="W803" s="1"/>
      <c r="X803" s="1"/>
      <c r="Y803" s="1"/>
      <c r="Z803" s="1"/>
    </row>
    <row r="804" spans="1:26" ht="12.75">
      <c r="A804" s="1"/>
      <c r="B804" s="1"/>
      <c r="C804" s="20"/>
      <c r="D804" s="1"/>
      <c r="E804" s="1"/>
      <c r="F804" s="20"/>
      <c r="G804" s="1"/>
      <c r="H804" s="1"/>
      <c r="I804" s="1"/>
      <c r="J804" s="1"/>
      <c r="K804" s="1"/>
      <c r="L804" s="1"/>
      <c r="M804" s="1"/>
      <c r="N804" s="1"/>
      <c r="O804" s="1"/>
      <c r="P804" s="1"/>
      <c r="Q804" s="1"/>
      <c r="R804" s="1"/>
      <c r="S804" s="1"/>
      <c r="T804" s="1"/>
      <c r="U804" s="1"/>
      <c r="V804" s="1"/>
      <c r="W804" s="1"/>
      <c r="X804" s="1"/>
      <c r="Y804" s="1"/>
      <c r="Z804" s="1"/>
    </row>
    <row r="805" spans="1:26" ht="12.75">
      <c r="A805" s="1"/>
      <c r="B805" s="1"/>
      <c r="C805" s="20"/>
      <c r="D805" s="1"/>
      <c r="E805" s="1"/>
      <c r="F805" s="20"/>
      <c r="G805" s="1"/>
      <c r="H805" s="1"/>
      <c r="I805" s="1"/>
      <c r="J805" s="1"/>
      <c r="K805" s="1"/>
      <c r="L805" s="1"/>
      <c r="M805" s="1"/>
      <c r="N805" s="1"/>
      <c r="O805" s="1"/>
      <c r="P805" s="1"/>
      <c r="Q805" s="1"/>
      <c r="R805" s="1"/>
      <c r="S805" s="1"/>
      <c r="T805" s="1"/>
      <c r="U805" s="1"/>
      <c r="V805" s="1"/>
      <c r="W805" s="1"/>
      <c r="X805" s="1"/>
      <c r="Y805" s="1"/>
      <c r="Z805" s="1"/>
    </row>
    <row r="806" spans="1:26" ht="12.75">
      <c r="A806" s="1"/>
      <c r="B806" s="1"/>
      <c r="C806" s="20"/>
      <c r="D806" s="1"/>
      <c r="E806" s="1"/>
      <c r="F806" s="20"/>
      <c r="G806" s="1"/>
      <c r="H806" s="1"/>
      <c r="I806" s="1"/>
      <c r="J806" s="1"/>
      <c r="K806" s="1"/>
      <c r="L806" s="1"/>
      <c r="M806" s="1"/>
      <c r="N806" s="1"/>
      <c r="O806" s="1"/>
      <c r="P806" s="1"/>
      <c r="Q806" s="1"/>
      <c r="R806" s="1"/>
      <c r="S806" s="1"/>
      <c r="T806" s="1"/>
      <c r="U806" s="1"/>
      <c r="V806" s="1"/>
      <c r="W806" s="1"/>
      <c r="X806" s="1"/>
      <c r="Y806" s="1"/>
      <c r="Z806" s="1"/>
    </row>
    <row r="807" spans="1:26" ht="12.75">
      <c r="A807" s="1"/>
      <c r="B807" s="1"/>
      <c r="C807" s="20"/>
      <c r="D807" s="1"/>
      <c r="E807" s="1"/>
      <c r="F807" s="20"/>
      <c r="G807" s="1"/>
      <c r="H807" s="1"/>
      <c r="I807" s="1"/>
      <c r="J807" s="1"/>
      <c r="K807" s="1"/>
      <c r="L807" s="1"/>
      <c r="M807" s="1"/>
      <c r="N807" s="1"/>
      <c r="O807" s="1"/>
      <c r="P807" s="1"/>
      <c r="Q807" s="1"/>
      <c r="R807" s="1"/>
      <c r="S807" s="1"/>
      <c r="T807" s="1"/>
      <c r="U807" s="1"/>
      <c r="V807" s="1"/>
      <c r="W807" s="1"/>
      <c r="X807" s="1"/>
      <c r="Y807" s="1"/>
      <c r="Z807" s="1"/>
    </row>
    <row r="808" spans="1:26" ht="12.75">
      <c r="A808" s="1"/>
      <c r="B808" s="1"/>
      <c r="C808" s="20"/>
      <c r="D808" s="1"/>
      <c r="E808" s="1"/>
      <c r="F808" s="20"/>
      <c r="G808" s="1"/>
      <c r="H808" s="1"/>
      <c r="I808" s="1"/>
      <c r="J808" s="1"/>
      <c r="K808" s="1"/>
      <c r="L808" s="1"/>
      <c r="M808" s="1"/>
      <c r="N808" s="1"/>
      <c r="O808" s="1"/>
      <c r="P808" s="1"/>
      <c r="Q808" s="1"/>
      <c r="R808" s="1"/>
      <c r="S808" s="1"/>
      <c r="T808" s="1"/>
      <c r="U808" s="1"/>
      <c r="V808" s="1"/>
      <c r="W808" s="1"/>
      <c r="X808" s="1"/>
      <c r="Y808" s="1"/>
      <c r="Z808" s="1"/>
    </row>
    <row r="809" spans="1:26" ht="12.75">
      <c r="A809" s="1"/>
      <c r="B809" s="1"/>
      <c r="C809" s="20"/>
      <c r="D809" s="1"/>
      <c r="E809" s="1"/>
      <c r="F809" s="20"/>
      <c r="G809" s="1"/>
      <c r="H809" s="1"/>
      <c r="I809" s="1"/>
      <c r="J809" s="1"/>
      <c r="K809" s="1"/>
      <c r="L809" s="1"/>
      <c r="M809" s="1"/>
      <c r="N809" s="1"/>
      <c r="O809" s="1"/>
      <c r="P809" s="1"/>
      <c r="Q809" s="1"/>
      <c r="R809" s="1"/>
      <c r="S809" s="1"/>
      <c r="T809" s="1"/>
      <c r="U809" s="1"/>
      <c r="V809" s="1"/>
      <c r="W809" s="1"/>
      <c r="X809" s="1"/>
      <c r="Y809" s="1"/>
      <c r="Z809" s="1"/>
    </row>
    <row r="810" spans="1:26" ht="12.75">
      <c r="A810" s="1"/>
      <c r="B810" s="1"/>
      <c r="C810" s="20"/>
      <c r="D810" s="1"/>
      <c r="E810" s="1"/>
      <c r="F810" s="20"/>
      <c r="G810" s="1"/>
      <c r="H810" s="1"/>
      <c r="I810" s="1"/>
      <c r="J810" s="1"/>
      <c r="K810" s="1"/>
      <c r="L810" s="1"/>
      <c r="M810" s="1"/>
      <c r="N810" s="1"/>
      <c r="O810" s="1"/>
      <c r="P810" s="1"/>
      <c r="Q810" s="1"/>
      <c r="R810" s="1"/>
      <c r="S810" s="1"/>
      <c r="T810" s="1"/>
      <c r="U810" s="1"/>
      <c r="V810" s="1"/>
      <c r="W810" s="1"/>
      <c r="X810" s="1"/>
      <c r="Y810" s="1"/>
      <c r="Z810" s="1"/>
    </row>
    <row r="811" spans="1:26" ht="12.75">
      <c r="A811" s="1"/>
      <c r="B811" s="1"/>
      <c r="C811" s="20"/>
      <c r="D811" s="1"/>
      <c r="E811" s="1"/>
      <c r="F811" s="20"/>
      <c r="G811" s="1"/>
      <c r="H811" s="1"/>
      <c r="I811" s="1"/>
      <c r="J811" s="1"/>
      <c r="K811" s="1"/>
      <c r="L811" s="1"/>
      <c r="M811" s="1"/>
      <c r="N811" s="1"/>
      <c r="O811" s="1"/>
      <c r="P811" s="1"/>
      <c r="Q811" s="1"/>
      <c r="R811" s="1"/>
      <c r="S811" s="1"/>
      <c r="T811" s="1"/>
      <c r="U811" s="1"/>
      <c r="V811" s="1"/>
      <c r="W811" s="1"/>
      <c r="X811" s="1"/>
      <c r="Y811" s="1"/>
      <c r="Z811" s="1"/>
    </row>
    <row r="812" spans="1:26" ht="12.75">
      <c r="A812" s="1"/>
      <c r="B812" s="1"/>
      <c r="C812" s="20"/>
      <c r="D812" s="1"/>
      <c r="E812" s="1"/>
      <c r="F812" s="20"/>
      <c r="G812" s="1"/>
      <c r="H812" s="1"/>
      <c r="I812" s="1"/>
      <c r="J812" s="1"/>
      <c r="K812" s="1"/>
      <c r="L812" s="1"/>
      <c r="M812" s="1"/>
      <c r="N812" s="1"/>
      <c r="O812" s="1"/>
      <c r="P812" s="1"/>
      <c r="Q812" s="1"/>
      <c r="R812" s="1"/>
      <c r="S812" s="1"/>
      <c r="T812" s="1"/>
      <c r="U812" s="1"/>
      <c r="V812" s="1"/>
      <c r="W812" s="1"/>
      <c r="X812" s="1"/>
      <c r="Y812" s="1"/>
      <c r="Z812" s="1"/>
    </row>
    <row r="813" spans="1:26" ht="12.75">
      <c r="A813" s="1"/>
      <c r="B813" s="1"/>
      <c r="C813" s="20"/>
      <c r="D813" s="1"/>
      <c r="E813" s="1"/>
      <c r="F813" s="20"/>
      <c r="G813" s="1"/>
      <c r="H813" s="1"/>
      <c r="I813" s="1"/>
      <c r="J813" s="1"/>
      <c r="K813" s="1"/>
      <c r="L813" s="1"/>
      <c r="M813" s="1"/>
      <c r="N813" s="1"/>
      <c r="O813" s="1"/>
      <c r="P813" s="1"/>
      <c r="Q813" s="1"/>
      <c r="R813" s="1"/>
      <c r="S813" s="1"/>
      <c r="T813" s="1"/>
      <c r="U813" s="1"/>
      <c r="V813" s="1"/>
      <c r="W813" s="1"/>
      <c r="X813" s="1"/>
      <c r="Y813" s="1"/>
      <c r="Z813" s="1"/>
    </row>
    <row r="814" spans="1:26" ht="12.75">
      <c r="A814" s="1"/>
      <c r="B814" s="1"/>
      <c r="C814" s="20"/>
      <c r="D814" s="1"/>
      <c r="E814" s="1"/>
      <c r="F814" s="20"/>
      <c r="G814" s="1"/>
      <c r="H814" s="1"/>
      <c r="I814" s="1"/>
      <c r="J814" s="1"/>
      <c r="K814" s="1"/>
      <c r="L814" s="1"/>
      <c r="M814" s="1"/>
      <c r="N814" s="1"/>
      <c r="O814" s="1"/>
      <c r="P814" s="1"/>
      <c r="Q814" s="1"/>
      <c r="R814" s="1"/>
      <c r="S814" s="1"/>
      <c r="T814" s="1"/>
      <c r="U814" s="1"/>
      <c r="V814" s="1"/>
      <c r="W814" s="1"/>
      <c r="X814" s="1"/>
      <c r="Y814" s="1"/>
      <c r="Z814" s="1"/>
    </row>
    <row r="815" spans="1:26" ht="12.75">
      <c r="A815" s="1"/>
      <c r="B815" s="1"/>
      <c r="C815" s="20"/>
      <c r="D815" s="1"/>
      <c r="E815" s="1"/>
      <c r="F815" s="20"/>
      <c r="G815" s="1"/>
      <c r="H815" s="1"/>
      <c r="I815" s="1"/>
      <c r="J815" s="1"/>
      <c r="K815" s="1"/>
      <c r="L815" s="1"/>
      <c r="M815" s="1"/>
      <c r="N815" s="1"/>
      <c r="O815" s="1"/>
      <c r="P815" s="1"/>
      <c r="Q815" s="1"/>
      <c r="R815" s="1"/>
      <c r="S815" s="1"/>
      <c r="T815" s="1"/>
      <c r="U815" s="1"/>
      <c r="V815" s="1"/>
      <c r="W815" s="1"/>
      <c r="X815" s="1"/>
      <c r="Y815" s="1"/>
      <c r="Z815" s="1"/>
    </row>
    <row r="816" spans="1:26" ht="12.75">
      <c r="A816" s="1"/>
      <c r="B816" s="1"/>
      <c r="C816" s="20"/>
      <c r="D816" s="1"/>
      <c r="E816" s="1"/>
      <c r="F816" s="20"/>
      <c r="G816" s="1"/>
      <c r="H816" s="1"/>
      <c r="I816" s="1"/>
      <c r="J816" s="1"/>
      <c r="K816" s="1"/>
      <c r="L816" s="1"/>
      <c r="M816" s="1"/>
      <c r="N816" s="1"/>
      <c r="O816" s="1"/>
      <c r="P816" s="1"/>
      <c r="Q816" s="1"/>
      <c r="R816" s="1"/>
      <c r="S816" s="1"/>
      <c r="T816" s="1"/>
      <c r="U816" s="1"/>
      <c r="V816" s="1"/>
      <c r="W816" s="1"/>
      <c r="X816" s="1"/>
      <c r="Y816" s="1"/>
      <c r="Z816" s="1"/>
    </row>
    <row r="817" spans="1:26" ht="12.75">
      <c r="A817" s="1"/>
      <c r="B817" s="1"/>
      <c r="C817" s="20"/>
      <c r="D817" s="1"/>
      <c r="E817" s="1"/>
      <c r="F817" s="20"/>
      <c r="G817" s="1"/>
      <c r="H817" s="1"/>
      <c r="I817" s="1"/>
      <c r="J817" s="1"/>
      <c r="K817" s="1"/>
      <c r="L817" s="1"/>
      <c r="M817" s="1"/>
      <c r="N817" s="1"/>
      <c r="O817" s="1"/>
      <c r="P817" s="1"/>
      <c r="Q817" s="1"/>
      <c r="R817" s="1"/>
      <c r="S817" s="1"/>
      <c r="T817" s="1"/>
      <c r="U817" s="1"/>
      <c r="V817" s="1"/>
      <c r="W817" s="1"/>
      <c r="X817" s="1"/>
      <c r="Y817" s="1"/>
      <c r="Z817" s="1"/>
    </row>
    <row r="818" spans="1:26" ht="12.75">
      <c r="A818" s="1"/>
      <c r="B818" s="1"/>
      <c r="C818" s="20"/>
      <c r="D818" s="1"/>
      <c r="E818" s="1"/>
      <c r="F818" s="20"/>
      <c r="G818" s="1"/>
      <c r="H818" s="1"/>
      <c r="I818" s="1"/>
      <c r="J818" s="1"/>
      <c r="K818" s="1"/>
      <c r="L818" s="1"/>
      <c r="M818" s="1"/>
      <c r="N818" s="1"/>
      <c r="O818" s="1"/>
      <c r="P818" s="1"/>
      <c r="Q818" s="1"/>
      <c r="R818" s="1"/>
      <c r="S818" s="1"/>
      <c r="T818" s="1"/>
      <c r="U818" s="1"/>
      <c r="V818" s="1"/>
      <c r="W818" s="1"/>
      <c r="X818" s="1"/>
      <c r="Y818" s="1"/>
      <c r="Z818" s="1"/>
    </row>
    <row r="819" spans="1:26" ht="12.75">
      <c r="A819" s="1"/>
      <c r="B819" s="1"/>
      <c r="C819" s="20"/>
      <c r="D819" s="1"/>
      <c r="E819" s="1"/>
      <c r="F819" s="20"/>
      <c r="G819" s="1"/>
      <c r="H819" s="1"/>
      <c r="I819" s="1"/>
      <c r="J819" s="1"/>
      <c r="K819" s="1"/>
      <c r="L819" s="1"/>
      <c r="M819" s="1"/>
      <c r="N819" s="1"/>
      <c r="O819" s="1"/>
      <c r="P819" s="1"/>
      <c r="Q819" s="1"/>
      <c r="R819" s="1"/>
      <c r="S819" s="1"/>
      <c r="T819" s="1"/>
      <c r="U819" s="1"/>
      <c r="V819" s="1"/>
      <c r="W819" s="1"/>
      <c r="X819" s="1"/>
      <c r="Y819" s="1"/>
      <c r="Z819" s="1"/>
    </row>
    <row r="820" spans="1:26" ht="12.75">
      <c r="A820" s="1"/>
      <c r="B820" s="1"/>
      <c r="C820" s="20"/>
      <c r="D820" s="1"/>
      <c r="E820" s="1"/>
      <c r="F820" s="20"/>
      <c r="G820" s="1"/>
      <c r="H820" s="1"/>
      <c r="I820" s="1"/>
      <c r="J820" s="1"/>
      <c r="K820" s="1"/>
      <c r="L820" s="1"/>
      <c r="M820" s="1"/>
      <c r="N820" s="1"/>
      <c r="O820" s="1"/>
      <c r="P820" s="1"/>
      <c r="Q820" s="1"/>
      <c r="R820" s="1"/>
      <c r="S820" s="1"/>
      <c r="T820" s="1"/>
      <c r="U820" s="1"/>
      <c r="V820" s="1"/>
      <c r="W820" s="1"/>
      <c r="X820" s="1"/>
      <c r="Y820" s="1"/>
      <c r="Z820" s="1"/>
    </row>
    <row r="821" spans="1:26" ht="12.75">
      <c r="A821" s="1"/>
      <c r="B821" s="1"/>
      <c r="C821" s="20"/>
      <c r="D821" s="1"/>
      <c r="E821" s="1"/>
      <c r="F821" s="20"/>
      <c r="G821" s="1"/>
      <c r="H821" s="1"/>
      <c r="I821" s="1"/>
      <c r="J821" s="1"/>
      <c r="K821" s="1"/>
      <c r="L821" s="1"/>
      <c r="M821" s="1"/>
      <c r="N821" s="1"/>
      <c r="O821" s="1"/>
      <c r="P821" s="1"/>
      <c r="Q821" s="1"/>
      <c r="R821" s="1"/>
      <c r="S821" s="1"/>
      <c r="T821" s="1"/>
      <c r="U821" s="1"/>
      <c r="V821" s="1"/>
      <c r="W821" s="1"/>
      <c r="X821" s="1"/>
      <c r="Y821" s="1"/>
      <c r="Z821" s="1"/>
    </row>
    <row r="822" spans="1:26" ht="12.75">
      <c r="A822" s="1"/>
      <c r="B822" s="1"/>
      <c r="C822" s="20"/>
      <c r="D822" s="1"/>
      <c r="E822" s="1"/>
      <c r="F822" s="20"/>
      <c r="G822" s="1"/>
      <c r="H822" s="1"/>
      <c r="I822" s="1"/>
      <c r="J822" s="1"/>
      <c r="K822" s="1"/>
      <c r="L822" s="1"/>
      <c r="M822" s="1"/>
      <c r="N822" s="1"/>
      <c r="O822" s="1"/>
      <c r="P822" s="1"/>
      <c r="Q822" s="1"/>
      <c r="R822" s="1"/>
      <c r="S822" s="1"/>
      <c r="T822" s="1"/>
      <c r="U822" s="1"/>
      <c r="V822" s="1"/>
      <c r="W822" s="1"/>
      <c r="X822" s="1"/>
      <c r="Y822" s="1"/>
      <c r="Z822" s="1"/>
    </row>
    <row r="823" spans="1:26" ht="12.75">
      <c r="A823" s="1"/>
      <c r="B823" s="1"/>
      <c r="C823" s="20"/>
      <c r="D823" s="1"/>
      <c r="E823" s="1"/>
      <c r="F823" s="20"/>
      <c r="G823" s="1"/>
      <c r="H823" s="1"/>
      <c r="I823" s="1"/>
      <c r="J823" s="1"/>
      <c r="K823" s="1"/>
      <c r="L823" s="1"/>
      <c r="M823" s="1"/>
      <c r="N823" s="1"/>
      <c r="O823" s="1"/>
      <c r="P823" s="1"/>
      <c r="Q823" s="1"/>
      <c r="R823" s="1"/>
      <c r="S823" s="1"/>
      <c r="T823" s="1"/>
      <c r="U823" s="1"/>
      <c r="V823" s="1"/>
      <c r="W823" s="1"/>
      <c r="X823" s="1"/>
      <c r="Y823" s="1"/>
      <c r="Z823" s="1"/>
    </row>
    <row r="824" spans="1:26" ht="12.75">
      <c r="A824" s="1"/>
      <c r="B824" s="1"/>
      <c r="C824" s="20"/>
      <c r="D824" s="1"/>
      <c r="E824" s="1"/>
      <c r="F824" s="20"/>
      <c r="G824" s="1"/>
      <c r="H824" s="1"/>
      <c r="I824" s="1"/>
      <c r="J824" s="1"/>
      <c r="K824" s="1"/>
      <c r="L824" s="1"/>
      <c r="M824" s="1"/>
      <c r="N824" s="1"/>
      <c r="O824" s="1"/>
      <c r="P824" s="1"/>
      <c r="Q824" s="1"/>
      <c r="R824" s="1"/>
      <c r="S824" s="1"/>
      <c r="T824" s="1"/>
      <c r="U824" s="1"/>
      <c r="V824" s="1"/>
      <c r="W824" s="1"/>
      <c r="X824" s="1"/>
      <c r="Y824" s="1"/>
      <c r="Z824" s="1"/>
    </row>
    <row r="825" spans="1:26" ht="12.75">
      <c r="A825" s="1"/>
      <c r="B825" s="1"/>
      <c r="C825" s="20"/>
      <c r="D825" s="1"/>
      <c r="E825" s="1"/>
      <c r="F825" s="20"/>
      <c r="G825" s="1"/>
      <c r="H825" s="1"/>
      <c r="I825" s="1"/>
      <c r="J825" s="1"/>
      <c r="K825" s="1"/>
      <c r="L825" s="1"/>
      <c r="M825" s="1"/>
      <c r="N825" s="1"/>
      <c r="O825" s="1"/>
      <c r="P825" s="1"/>
      <c r="Q825" s="1"/>
      <c r="R825" s="1"/>
      <c r="S825" s="1"/>
      <c r="T825" s="1"/>
      <c r="U825" s="1"/>
      <c r="V825" s="1"/>
      <c r="W825" s="1"/>
      <c r="X825" s="1"/>
      <c r="Y825" s="1"/>
      <c r="Z825" s="1"/>
    </row>
    <row r="826" spans="1:26" ht="12.75">
      <c r="A826" s="1"/>
      <c r="B826" s="1"/>
      <c r="C826" s="20"/>
      <c r="D826" s="1"/>
      <c r="E826" s="1"/>
      <c r="F826" s="20"/>
      <c r="G826" s="1"/>
      <c r="H826" s="1"/>
      <c r="I826" s="1"/>
      <c r="J826" s="1"/>
      <c r="K826" s="1"/>
      <c r="L826" s="1"/>
      <c r="M826" s="1"/>
      <c r="N826" s="1"/>
      <c r="O826" s="1"/>
      <c r="P826" s="1"/>
      <c r="Q826" s="1"/>
      <c r="R826" s="1"/>
      <c r="S826" s="1"/>
      <c r="T826" s="1"/>
      <c r="U826" s="1"/>
      <c r="V826" s="1"/>
      <c r="W826" s="1"/>
      <c r="X826" s="1"/>
      <c r="Y826" s="1"/>
      <c r="Z826" s="1"/>
    </row>
    <row r="827" spans="1:26" ht="12.75">
      <c r="A827" s="1"/>
      <c r="B827" s="1"/>
      <c r="C827" s="20"/>
      <c r="D827" s="1"/>
      <c r="E827" s="1"/>
      <c r="F827" s="20"/>
      <c r="G827" s="1"/>
      <c r="H827" s="1"/>
      <c r="I827" s="1"/>
      <c r="J827" s="1"/>
      <c r="K827" s="1"/>
      <c r="L827" s="1"/>
      <c r="M827" s="1"/>
      <c r="N827" s="1"/>
      <c r="O827" s="1"/>
      <c r="P827" s="1"/>
      <c r="Q827" s="1"/>
      <c r="R827" s="1"/>
      <c r="S827" s="1"/>
      <c r="T827" s="1"/>
      <c r="U827" s="1"/>
      <c r="V827" s="1"/>
      <c r="W827" s="1"/>
      <c r="X827" s="1"/>
      <c r="Y827" s="1"/>
      <c r="Z827" s="1"/>
    </row>
    <row r="828" spans="1:26" ht="12.75">
      <c r="A828" s="1"/>
      <c r="B828" s="1"/>
      <c r="C828" s="20"/>
      <c r="D828" s="1"/>
      <c r="E828" s="1"/>
      <c r="F828" s="20"/>
      <c r="G828" s="1"/>
      <c r="H828" s="1"/>
      <c r="I828" s="1"/>
      <c r="J828" s="1"/>
      <c r="K828" s="1"/>
      <c r="L828" s="1"/>
      <c r="M828" s="1"/>
      <c r="N828" s="1"/>
      <c r="O828" s="1"/>
      <c r="P828" s="1"/>
      <c r="Q828" s="1"/>
      <c r="R828" s="1"/>
      <c r="S828" s="1"/>
      <c r="T828" s="1"/>
      <c r="U828" s="1"/>
      <c r="V828" s="1"/>
      <c r="W828" s="1"/>
      <c r="X828" s="1"/>
      <c r="Y828" s="1"/>
      <c r="Z828" s="1"/>
    </row>
    <row r="829" spans="1:26" ht="12.75">
      <c r="A829" s="1"/>
      <c r="B829" s="1"/>
      <c r="C829" s="20"/>
      <c r="D829" s="1"/>
      <c r="E829" s="1"/>
      <c r="F829" s="20"/>
      <c r="G829" s="1"/>
      <c r="H829" s="1"/>
      <c r="I829" s="1"/>
      <c r="J829" s="1"/>
      <c r="K829" s="1"/>
      <c r="L829" s="1"/>
      <c r="M829" s="1"/>
      <c r="N829" s="1"/>
      <c r="O829" s="1"/>
      <c r="P829" s="1"/>
      <c r="Q829" s="1"/>
      <c r="R829" s="1"/>
      <c r="S829" s="1"/>
      <c r="T829" s="1"/>
      <c r="U829" s="1"/>
      <c r="V829" s="1"/>
      <c r="W829" s="1"/>
      <c r="X829" s="1"/>
      <c r="Y829" s="1"/>
      <c r="Z829" s="1"/>
    </row>
    <row r="830" spans="1:26" ht="12.75">
      <c r="A830" s="1"/>
      <c r="B830" s="1"/>
      <c r="C830" s="20"/>
      <c r="D830" s="1"/>
      <c r="E830" s="1"/>
      <c r="F830" s="20"/>
      <c r="G830" s="1"/>
      <c r="H830" s="1"/>
      <c r="I830" s="1"/>
      <c r="J830" s="1"/>
      <c r="K830" s="1"/>
      <c r="L830" s="1"/>
      <c r="M830" s="1"/>
      <c r="N830" s="1"/>
      <c r="O830" s="1"/>
      <c r="P830" s="1"/>
      <c r="Q830" s="1"/>
      <c r="R830" s="1"/>
      <c r="S830" s="1"/>
      <c r="T830" s="1"/>
      <c r="U830" s="1"/>
      <c r="V830" s="1"/>
      <c r="W830" s="1"/>
      <c r="X830" s="1"/>
      <c r="Y830" s="1"/>
      <c r="Z830" s="1"/>
    </row>
    <row r="831" spans="1:26" ht="12.75">
      <c r="A831" s="1"/>
      <c r="B831" s="1"/>
      <c r="C831" s="20"/>
      <c r="D831" s="1"/>
      <c r="E831" s="1"/>
      <c r="F831" s="20"/>
      <c r="G831" s="1"/>
      <c r="H831" s="1"/>
      <c r="I831" s="1"/>
      <c r="J831" s="1"/>
      <c r="K831" s="1"/>
      <c r="L831" s="1"/>
      <c r="M831" s="1"/>
      <c r="N831" s="1"/>
      <c r="O831" s="1"/>
      <c r="P831" s="1"/>
      <c r="Q831" s="1"/>
      <c r="R831" s="1"/>
      <c r="S831" s="1"/>
      <c r="T831" s="1"/>
      <c r="U831" s="1"/>
      <c r="V831" s="1"/>
      <c r="W831" s="1"/>
      <c r="X831" s="1"/>
      <c r="Y831" s="1"/>
      <c r="Z831" s="1"/>
    </row>
    <row r="832" spans="1:26" ht="12.75">
      <c r="A832" s="1"/>
      <c r="B832" s="1"/>
      <c r="C832" s="20"/>
      <c r="D832" s="1"/>
      <c r="E832" s="1"/>
      <c r="F832" s="20"/>
      <c r="G832" s="1"/>
      <c r="H832" s="1"/>
      <c r="I832" s="1"/>
      <c r="J832" s="1"/>
      <c r="K832" s="1"/>
      <c r="L832" s="1"/>
      <c r="M832" s="1"/>
      <c r="N832" s="1"/>
      <c r="O832" s="1"/>
      <c r="P832" s="1"/>
      <c r="Q832" s="1"/>
      <c r="R832" s="1"/>
      <c r="S832" s="1"/>
      <c r="T832" s="1"/>
      <c r="U832" s="1"/>
      <c r="V832" s="1"/>
      <c r="W832" s="1"/>
      <c r="X832" s="1"/>
      <c r="Y832" s="1"/>
      <c r="Z832" s="1"/>
    </row>
    <row r="833" spans="1:26" ht="12.75">
      <c r="A833" s="1"/>
      <c r="B833" s="1"/>
      <c r="C833" s="20"/>
      <c r="D833" s="1"/>
      <c r="E833" s="1"/>
      <c r="F833" s="20"/>
      <c r="G833" s="1"/>
      <c r="H833" s="1"/>
      <c r="I833" s="1"/>
      <c r="J833" s="1"/>
      <c r="K833" s="1"/>
      <c r="L833" s="1"/>
      <c r="M833" s="1"/>
      <c r="N833" s="1"/>
      <c r="O833" s="1"/>
      <c r="P833" s="1"/>
      <c r="Q833" s="1"/>
      <c r="R833" s="1"/>
      <c r="S833" s="1"/>
      <c r="T833" s="1"/>
      <c r="U833" s="1"/>
      <c r="V833" s="1"/>
      <c r="W833" s="1"/>
      <c r="X833" s="1"/>
      <c r="Y833" s="1"/>
      <c r="Z833" s="1"/>
    </row>
    <row r="834" spans="1:26" ht="12.75">
      <c r="A834" s="1"/>
      <c r="B834" s="1"/>
      <c r="C834" s="20"/>
      <c r="D834" s="1"/>
      <c r="E834" s="1"/>
      <c r="F834" s="20"/>
      <c r="G834" s="1"/>
      <c r="H834" s="1"/>
      <c r="I834" s="1"/>
      <c r="J834" s="1"/>
      <c r="K834" s="1"/>
      <c r="L834" s="1"/>
      <c r="M834" s="1"/>
      <c r="N834" s="1"/>
      <c r="O834" s="1"/>
      <c r="P834" s="1"/>
      <c r="Q834" s="1"/>
      <c r="R834" s="1"/>
      <c r="S834" s="1"/>
      <c r="T834" s="1"/>
      <c r="U834" s="1"/>
      <c r="V834" s="1"/>
      <c r="W834" s="1"/>
      <c r="X834" s="1"/>
      <c r="Y834" s="1"/>
      <c r="Z834" s="1"/>
    </row>
    <row r="835" spans="1:26" ht="12.75">
      <c r="A835" s="1"/>
      <c r="B835" s="1"/>
      <c r="C835" s="20"/>
      <c r="D835" s="1"/>
      <c r="E835" s="1"/>
      <c r="F835" s="20"/>
      <c r="G835" s="1"/>
      <c r="H835" s="1"/>
      <c r="I835" s="1"/>
      <c r="J835" s="1"/>
      <c r="K835" s="1"/>
      <c r="L835" s="1"/>
      <c r="M835" s="1"/>
      <c r="N835" s="1"/>
      <c r="O835" s="1"/>
      <c r="P835" s="1"/>
      <c r="Q835" s="1"/>
      <c r="R835" s="1"/>
      <c r="S835" s="1"/>
      <c r="T835" s="1"/>
      <c r="U835" s="1"/>
      <c r="V835" s="1"/>
      <c r="W835" s="1"/>
      <c r="X835" s="1"/>
      <c r="Y835" s="1"/>
      <c r="Z835" s="1"/>
    </row>
    <row r="836" spans="1:26" ht="12.75">
      <c r="A836" s="1"/>
      <c r="B836" s="1"/>
      <c r="C836" s="20"/>
      <c r="D836" s="1"/>
      <c r="E836" s="1"/>
      <c r="F836" s="20"/>
      <c r="G836" s="1"/>
      <c r="H836" s="1"/>
      <c r="I836" s="1"/>
      <c r="J836" s="1"/>
      <c r="K836" s="1"/>
      <c r="L836" s="1"/>
      <c r="M836" s="1"/>
      <c r="N836" s="1"/>
      <c r="O836" s="1"/>
      <c r="P836" s="1"/>
      <c r="Q836" s="1"/>
      <c r="R836" s="1"/>
      <c r="S836" s="1"/>
      <c r="T836" s="1"/>
      <c r="U836" s="1"/>
      <c r="V836" s="1"/>
      <c r="W836" s="1"/>
      <c r="X836" s="1"/>
      <c r="Y836" s="1"/>
      <c r="Z836" s="1"/>
    </row>
    <row r="837" spans="1:26" ht="12.75">
      <c r="A837" s="1"/>
      <c r="B837" s="1"/>
      <c r="C837" s="20"/>
      <c r="D837" s="1"/>
      <c r="E837" s="1"/>
      <c r="F837" s="20"/>
      <c r="G837" s="1"/>
      <c r="H837" s="1"/>
      <c r="I837" s="1"/>
      <c r="J837" s="1"/>
      <c r="K837" s="1"/>
      <c r="L837" s="1"/>
      <c r="M837" s="1"/>
      <c r="N837" s="1"/>
      <c r="O837" s="1"/>
      <c r="P837" s="1"/>
      <c r="Q837" s="1"/>
      <c r="R837" s="1"/>
      <c r="S837" s="1"/>
      <c r="T837" s="1"/>
      <c r="U837" s="1"/>
      <c r="V837" s="1"/>
      <c r="W837" s="1"/>
      <c r="X837" s="1"/>
      <c r="Y837" s="1"/>
      <c r="Z837" s="1"/>
    </row>
    <row r="838" spans="1:26" ht="12.75">
      <c r="A838" s="1"/>
      <c r="B838" s="1"/>
      <c r="C838" s="20"/>
      <c r="D838" s="1"/>
      <c r="E838" s="1"/>
      <c r="F838" s="20"/>
      <c r="G838" s="1"/>
      <c r="H838" s="1"/>
      <c r="I838" s="1"/>
      <c r="J838" s="1"/>
      <c r="K838" s="1"/>
      <c r="L838" s="1"/>
      <c r="M838" s="1"/>
      <c r="N838" s="1"/>
      <c r="O838" s="1"/>
      <c r="P838" s="1"/>
      <c r="Q838" s="1"/>
      <c r="R838" s="1"/>
      <c r="S838" s="1"/>
      <c r="T838" s="1"/>
      <c r="U838" s="1"/>
      <c r="V838" s="1"/>
      <c r="W838" s="1"/>
      <c r="X838" s="1"/>
      <c r="Y838" s="1"/>
      <c r="Z838" s="1"/>
    </row>
    <row r="839" spans="1:26" ht="12.75">
      <c r="A839" s="1"/>
      <c r="B839" s="1"/>
      <c r="C839" s="20"/>
      <c r="D839" s="1"/>
      <c r="E839" s="1"/>
      <c r="F839" s="20"/>
      <c r="G839" s="1"/>
      <c r="H839" s="1"/>
      <c r="I839" s="1"/>
      <c r="J839" s="1"/>
      <c r="K839" s="1"/>
      <c r="L839" s="1"/>
      <c r="M839" s="1"/>
      <c r="N839" s="1"/>
      <c r="O839" s="1"/>
      <c r="P839" s="1"/>
      <c r="Q839" s="1"/>
      <c r="R839" s="1"/>
      <c r="S839" s="1"/>
      <c r="T839" s="1"/>
      <c r="U839" s="1"/>
      <c r="V839" s="1"/>
      <c r="W839" s="1"/>
      <c r="X839" s="1"/>
      <c r="Y839" s="1"/>
      <c r="Z839" s="1"/>
    </row>
    <row r="840" spans="1:26" ht="12.75">
      <c r="A840" s="1"/>
      <c r="B840" s="1"/>
      <c r="C840" s="20"/>
      <c r="D840" s="1"/>
      <c r="E840" s="1"/>
      <c r="F840" s="20"/>
      <c r="G840" s="1"/>
      <c r="H840" s="1"/>
      <c r="I840" s="1"/>
      <c r="J840" s="1"/>
      <c r="K840" s="1"/>
      <c r="L840" s="1"/>
      <c r="M840" s="1"/>
      <c r="N840" s="1"/>
      <c r="O840" s="1"/>
      <c r="P840" s="1"/>
      <c r="Q840" s="1"/>
      <c r="R840" s="1"/>
      <c r="S840" s="1"/>
      <c r="T840" s="1"/>
      <c r="U840" s="1"/>
      <c r="V840" s="1"/>
      <c r="W840" s="1"/>
      <c r="X840" s="1"/>
      <c r="Y840" s="1"/>
      <c r="Z840" s="1"/>
    </row>
    <row r="841" spans="1:26" ht="12.75">
      <c r="A841" s="1"/>
      <c r="B841" s="1"/>
      <c r="C841" s="20"/>
      <c r="D841" s="1"/>
      <c r="E841" s="1"/>
      <c r="F841" s="20"/>
      <c r="G841" s="1"/>
      <c r="H841" s="1"/>
      <c r="I841" s="1"/>
      <c r="J841" s="1"/>
      <c r="K841" s="1"/>
      <c r="L841" s="1"/>
      <c r="M841" s="1"/>
      <c r="N841" s="1"/>
      <c r="O841" s="1"/>
      <c r="P841" s="1"/>
      <c r="Q841" s="1"/>
      <c r="R841" s="1"/>
      <c r="S841" s="1"/>
      <c r="T841" s="1"/>
      <c r="U841" s="1"/>
      <c r="V841" s="1"/>
      <c r="W841" s="1"/>
      <c r="X841" s="1"/>
      <c r="Y841" s="1"/>
      <c r="Z841" s="1"/>
    </row>
    <row r="842" spans="1:26" ht="12.75">
      <c r="A842" s="1"/>
      <c r="B842" s="1"/>
      <c r="C842" s="20"/>
      <c r="D842" s="1"/>
      <c r="E842" s="1"/>
      <c r="F842" s="20"/>
      <c r="G842" s="1"/>
      <c r="H842" s="1"/>
      <c r="I842" s="1"/>
      <c r="J842" s="1"/>
      <c r="K842" s="1"/>
      <c r="L842" s="1"/>
      <c r="M842" s="1"/>
      <c r="N842" s="1"/>
      <c r="O842" s="1"/>
      <c r="P842" s="1"/>
      <c r="Q842" s="1"/>
      <c r="R842" s="1"/>
      <c r="S842" s="1"/>
      <c r="T842" s="1"/>
      <c r="U842" s="1"/>
      <c r="V842" s="1"/>
      <c r="W842" s="1"/>
      <c r="X842" s="1"/>
      <c r="Y842" s="1"/>
      <c r="Z842" s="1"/>
    </row>
    <row r="843" spans="1:26" ht="12.75">
      <c r="A843" s="1"/>
      <c r="B843" s="1"/>
      <c r="C843" s="20"/>
      <c r="D843" s="1"/>
      <c r="E843" s="1"/>
      <c r="F843" s="20"/>
      <c r="G843" s="1"/>
      <c r="H843" s="1"/>
      <c r="I843" s="1"/>
      <c r="J843" s="1"/>
      <c r="K843" s="1"/>
      <c r="L843" s="1"/>
      <c r="M843" s="1"/>
      <c r="N843" s="1"/>
      <c r="O843" s="1"/>
      <c r="P843" s="1"/>
      <c r="Q843" s="1"/>
      <c r="R843" s="1"/>
      <c r="S843" s="1"/>
      <c r="T843" s="1"/>
      <c r="U843" s="1"/>
      <c r="V843" s="1"/>
      <c r="W843" s="1"/>
      <c r="X843" s="1"/>
      <c r="Y843" s="1"/>
      <c r="Z843" s="1"/>
    </row>
    <row r="844" spans="1:26" ht="12.75">
      <c r="A844" s="1"/>
      <c r="B844" s="1"/>
      <c r="C844" s="20"/>
      <c r="D844" s="1"/>
      <c r="E844" s="1"/>
      <c r="F844" s="20"/>
      <c r="G844" s="1"/>
      <c r="H844" s="1"/>
      <c r="I844" s="1"/>
      <c r="J844" s="1"/>
      <c r="K844" s="1"/>
      <c r="L844" s="1"/>
      <c r="M844" s="1"/>
      <c r="N844" s="1"/>
      <c r="O844" s="1"/>
      <c r="P844" s="1"/>
      <c r="Q844" s="1"/>
      <c r="R844" s="1"/>
      <c r="S844" s="1"/>
      <c r="T844" s="1"/>
      <c r="U844" s="1"/>
      <c r="V844" s="1"/>
      <c r="W844" s="1"/>
      <c r="X844" s="1"/>
      <c r="Y844" s="1"/>
      <c r="Z844" s="1"/>
    </row>
    <row r="845" spans="1:26" ht="12.75">
      <c r="A845" s="1"/>
      <c r="B845" s="1"/>
      <c r="C845" s="20"/>
      <c r="D845" s="1"/>
      <c r="E845" s="1"/>
      <c r="F845" s="20"/>
      <c r="G845" s="1"/>
      <c r="H845" s="1"/>
      <c r="I845" s="1"/>
      <c r="J845" s="1"/>
      <c r="K845" s="1"/>
      <c r="L845" s="1"/>
      <c r="M845" s="1"/>
      <c r="N845" s="1"/>
      <c r="O845" s="1"/>
      <c r="P845" s="1"/>
      <c r="Q845" s="1"/>
      <c r="R845" s="1"/>
      <c r="S845" s="1"/>
      <c r="T845" s="1"/>
      <c r="U845" s="1"/>
      <c r="V845" s="1"/>
      <c r="W845" s="1"/>
      <c r="X845" s="1"/>
      <c r="Y845" s="1"/>
      <c r="Z845" s="1"/>
    </row>
    <row r="846" spans="1:26" ht="12.75">
      <c r="A846" s="1"/>
      <c r="B846" s="1"/>
      <c r="C846" s="20"/>
      <c r="D846" s="1"/>
      <c r="E846" s="1"/>
      <c r="F846" s="20"/>
      <c r="G846" s="1"/>
      <c r="H846" s="1"/>
      <c r="I846" s="1"/>
      <c r="J846" s="1"/>
      <c r="K846" s="1"/>
      <c r="L846" s="1"/>
      <c r="M846" s="1"/>
      <c r="N846" s="1"/>
      <c r="O846" s="1"/>
      <c r="P846" s="1"/>
      <c r="Q846" s="1"/>
      <c r="R846" s="1"/>
      <c r="S846" s="1"/>
      <c r="T846" s="1"/>
      <c r="U846" s="1"/>
      <c r="V846" s="1"/>
      <c r="W846" s="1"/>
      <c r="X846" s="1"/>
      <c r="Y846" s="1"/>
      <c r="Z846" s="1"/>
    </row>
    <row r="847" spans="1:26" ht="12.75">
      <c r="A847" s="1"/>
      <c r="B847" s="1"/>
      <c r="C847" s="20"/>
      <c r="D847" s="1"/>
      <c r="E847" s="1"/>
      <c r="F847" s="20"/>
      <c r="G847" s="1"/>
      <c r="H847" s="1"/>
      <c r="I847" s="1"/>
      <c r="J847" s="1"/>
      <c r="K847" s="1"/>
      <c r="L847" s="1"/>
      <c r="M847" s="1"/>
      <c r="N847" s="1"/>
      <c r="O847" s="1"/>
      <c r="P847" s="1"/>
      <c r="Q847" s="1"/>
      <c r="R847" s="1"/>
      <c r="S847" s="1"/>
      <c r="T847" s="1"/>
      <c r="U847" s="1"/>
      <c r="V847" s="1"/>
      <c r="W847" s="1"/>
      <c r="X847" s="1"/>
      <c r="Y847" s="1"/>
      <c r="Z847" s="1"/>
    </row>
    <row r="848" spans="1:26" ht="12.75">
      <c r="A848" s="1"/>
      <c r="B848" s="1"/>
      <c r="C848" s="20"/>
      <c r="D848" s="1"/>
      <c r="E848" s="1"/>
      <c r="F848" s="20"/>
      <c r="G848" s="1"/>
      <c r="H848" s="1"/>
      <c r="I848" s="1"/>
      <c r="J848" s="1"/>
      <c r="K848" s="1"/>
      <c r="L848" s="1"/>
      <c r="M848" s="1"/>
      <c r="N848" s="1"/>
      <c r="O848" s="1"/>
      <c r="P848" s="1"/>
      <c r="Q848" s="1"/>
      <c r="R848" s="1"/>
      <c r="S848" s="1"/>
      <c r="T848" s="1"/>
      <c r="U848" s="1"/>
      <c r="V848" s="1"/>
      <c r="W848" s="1"/>
      <c r="X848" s="1"/>
      <c r="Y848" s="1"/>
      <c r="Z848" s="1"/>
    </row>
    <row r="849" spans="1:26" ht="12.75">
      <c r="A849" s="1"/>
      <c r="B849" s="1"/>
      <c r="C849" s="20"/>
      <c r="D849" s="1"/>
      <c r="E849" s="1"/>
      <c r="F849" s="20"/>
      <c r="G849" s="1"/>
      <c r="H849" s="1"/>
      <c r="I849" s="1"/>
      <c r="J849" s="1"/>
      <c r="K849" s="1"/>
      <c r="L849" s="1"/>
      <c r="M849" s="1"/>
      <c r="N849" s="1"/>
      <c r="O849" s="1"/>
      <c r="P849" s="1"/>
      <c r="Q849" s="1"/>
      <c r="R849" s="1"/>
      <c r="S849" s="1"/>
      <c r="T849" s="1"/>
      <c r="U849" s="1"/>
      <c r="V849" s="1"/>
      <c r="W849" s="1"/>
      <c r="X849" s="1"/>
      <c r="Y849" s="1"/>
      <c r="Z849" s="1"/>
    </row>
    <row r="850" spans="1:26" ht="12.75">
      <c r="A850" s="1"/>
      <c r="B850" s="1"/>
      <c r="C850" s="20"/>
      <c r="D850" s="1"/>
      <c r="E850" s="1"/>
      <c r="F850" s="20"/>
      <c r="G850" s="1"/>
      <c r="H850" s="1"/>
      <c r="I850" s="1"/>
      <c r="J850" s="1"/>
      <c r="K850" s="1"/>
      <c r="L850" s="1"/>
      <c r="M850" s="1"/>
      <c r="N850" s="1"/>
      <c r="O850" s="1"/>
      <c r="P850" s="1"/>
      <c r="Q850" s="1"/>
      <c r="R850" s="1"/>
      <c r="S850" s="1"/>
      <c r="T850" s="1"/>
      <c r="U850" s="1"/>
      <c r="V850" s="1"/>
      <c r="W850" s="1"/>
      <c r="X850" s="1"/>
      <c r="Y850" s="1"/>
      <c r="Z850" s="1"/>
    </row>
    <row r="851" spans="1:26" ht="12.75">
      <c r="A851" s="1"/>
      <c r="B851" s="1"/>
      <c r="C851" s="20"/>
      <c r="D851" s="1"/>
      <c r="E851" s="1"/>
      <c r="F851" s="20"/>
      <c r="G851" s="1"/>
      <c r="H851" s="1"/>
      <c r="I851" s="1"/>
      <c r="J851" s="1"/>
      <c r="K851" s="1"/>
      <c r="L851" s="1"/>
      <c r="M851" s="1"/>
      <c r="N851" s="1"/>
      <c r="O851" s="1"/>
      <c r="P851" s="1"/>
      <c r="Q851" s="1"/>
      <c r="R851" s="1"/>
      <c r="S851" s="1"/>
      <c r="T851" s="1"/>
      <c r="U851" s="1"/>
      <c r="V851" s="1"/>
      <c r="W851" s="1"/>
      <c r="X851" s="1"/>
      <c r="Y851" s="1"/>
      <c r="Z851" s="1"/>
    </row>
    <row r="852" spans="1:26" ht="12.75">
      <c r="A852" s="1"/>
      <c r="B852" s="1"/>
      <c r="C852" s="20"/>
      <c r="D852" s="1"/>
      <c r="E852" s="1"/>
      <c r="F852" s="20"/>
      <c r="G852" s="1"/>
      <c r="H852" s="1"/>
      <c r="I852" s="1"/>
      <c r="J852" s="1"/>
      <c r="K852" s="1"/>
      <c r="L852" s="1"/>
      <c r="M852" s="1"/>
      <c r="N852" s="1"/>
      <c r="O852" s="1"/>
      <c r="P852" s="1"/>
      <c r="Q852" s="1"/>
      <c r="R852" s="1"/>
      <c r="S852" s="1"/>
      <c r="T852" s="1"/>
      <c r="U852" s="1"/>
      <c r="V852" s="1"/>
      <c r="W852" s="1"/>
      <c r="X852" s="1"/>
      <c r="Y852" s="1"/>
      <c r="Z852" s="1"/>
    </row>
    <row r="853" spans="1:26" ht="12.75">
      <c r="A853" s="1"/>
      <c r="B853" s="1"/>
      <c r="C853" s="20"/>
      <c r="D853" s="1"/>
      <c r="E853" s="1"/>
      <c r="F853" s="20"/>
      <c r="G853" s="1"/>
      <c r="H853" s="1"/>
      <c r="I853" s="1"/>
      <c r="J853" s="1"/>
      <c r="K853" s="1"/>
      <c r="L853" s="1"/>
      <c r="M853" s="1"/>
      <c r="N853" s="1"/>
      <c r="O853" s="1"/>
      <c r="P853" s="1"/>
      <c r="Q853" s="1"/>
      <c r="R853" s="1"/>
      <c r="S853" s="1"/>
      <c r="T853" s="1"/>
      <c r="U853" s="1"/>
      <c r="V853" s="1"/>
      <c r="W853" s="1"/>
      <c r="X853" s="1"/>
      <c r="Y853" s="1"/>
      <c r="Z853" s="1"/>
    </row>
    <row r="854" spans="1:26" ht="12.75">
      <c r="A854" s="1"/>
      <c r="B854" s="1"/>
      <c r="C854" s="20"/>
      <c r="D854" s="1"/>
      <c r="E854" s="1"/>
      <c r="F854" s="20"/>
      <c r="G854" s="1"/>
      <c r="H854" s="1"/>
      <c r="I854" s="1"/>
      <c r="J854" s="1"/>
      <c r="K854" s="1"/>
      <c r="L854" s="1"/>
      <c r="M854" s="1"/>
      <c r="N854" s="1"/>
      <c r="O854" s="1"/>
      <c r="P854" s="1"/>
      <c r="Q854" s="1"/>
      <c r="R854" s="1"/>
      <c r="S854" s="1"/>
      <c r="T854" s="1"/>
      <c r="U854" s="1"/>
      <c r="V854" s="1"/>
      <c r="W854" s="1"/>
      <c r="X854" s="1"/>
      <c r="Y854" s="1"/>
      <c r="Z854" s="1"/>
    </row>
    <row r="855" spans="1:26" ht="12.75">
      <c r="A855" s="1"/>
      <c r="B855" s="1"/>
      <c r="C855" s="20"/>
      <c r="D855" s="1"/>
      <c r="E855" s="1"/>
      <c r="F855" s="20"/>
      <c r="G855" s="1"/>
      <c r="H855" s="1"/>
      <c r="I855" s="1"/>
      <c r="J855" s="1"/>
      <c r="K855" s="1"/>
      <c r="L855" s="1"/>
      <c r="M855" s="1"/>
      <c r="N855" s="1"/>
      <c r="O855" s="1"/>
      <c r="P855" s="1"/>
      <c r="Q855" s="1"/>
      <c r="R855" s="1"/>
      <c r="S855" s="1"/>
      <c r="T855" s="1"/>
      <c r="U855" s="1"/>
      <c r="V855" s="1"/>
      <c r="W855" s="1"/>
      <c r="X855" s="1"/>
      <c r="Y855" s="1"/>
      <c r="Z855" s="1"/>
    </row>
    <row r="856" spans="1:26" ht="12.75">
      <c r="A856" s="1"/>
      <c r="B856" s="1"/>
      <c r="C856" s="20"/>
      <c r="D856" s="1"/>
      <c r="E856" s="1"/>
      <c r="F856" s="20"/>
      <c r="G856" s="1"/>
      <c r="H856" s="1"/>
      <c r="I856" s="1"/>
      <c r="J856" s="1"/>
      <c r="K856" s="1"/>
      <c r="L856" s="1"/>
      <c r="M856" s="1"/>
      <c r="N856" s="1"/>
      <c r="O856" s="1"/>
      <c r="P856" s="1"/>
      <c r="Q856" s="1"/>
      <c r="R856" s="1"/>
      <c r="S856" s="1"/>
      <c r="T856" s="1"/>
      <c r="U856" s="1"/>
      <c r="V856" s="1"/>
      <c r="W856" s="1"/>
      <c r="X856" s="1"/>
      <c r="Y856" s="1"/>
      <c r="Z856" s="1"/>
    </row>
    <row r="857" spans="1:26" ht="12.75">
      <c r="A857" s="1"/>
      <c r="B857" s="1"/>
      <c r="C857" s="20"/>
      <c r="D857" s="1"/>
      <c r="E857" s="1"/>
      <c r="F857" s="20"/>
      <c r="G857" s="1"/>
      <c r="H857" s="1"/>
      <c r="I857" s="1"/>
      <c r="J857" s="1"/>
      <c r="K857" s="1"/>
      <c r="L857" s="1"/>
      <c r="M857" s="1"/>
      <c r="N857" s="1"/>
      <c r="O857" s="1"/>
      <c r="P857" s="1"/>
      <c r="Q857" s="1"/>
      <c r="R857" s="1"/>
      <c r="S857" s="1"/>
      <c r="T857" s="1"/>
      <c r="U857" s="1"/>
      <c r="V857" s="1"/>
      <c r="W857" s="1"/>
      <c r="X857" s="1"/>
      <c r="Y857" s="1"/>
      <c r="Z857" s="1"/>
    </row>
    <row r="858" spans="1:26" ht="12.75">
      <c r="A858" s="1"/>
      <c r="B858" s="1"/>
      <c r="C858" s="20"/>
      <c r="D858" s="1"/>
      <c r="E858" s="1"/>
      <c r="F858" s="20"/>
      <c r="G858" s="1"/>
      <c r="H858" s="1"/>
      <c r="I858" s="1"/>
      <c r="J858" s="1"/>
      <c r="K858" s="1"/>
      <c r="L858" s="1"/>
      <c r="M858" s="1"/>
      <c r="N858" s="1"/>
      <c r="O858" s="1"/>
      <c r="P858" s="1"/>
      <c r="Q858" s="1"/>
      <c r="R858" s="1"/>
      <c r="S858" s="1"/>
      <c r="T858" s="1"/>
      <c r="U858" s="1"/>
      <c r="V858" s="1"/>
      <c r="W858" s="1"/>
      <c r="X858" s="1"/>
      <c r="Y858" s="1"/>
      <c r="Z858" s="1"/>
    </row>
    <row r="859" spans="1:26" ht="12.75">
      <c r="A859" s="1"/>
      <c r="B859" s="1"/>
      <c r="C859" s="20"/>
      <c r="D859" s="1"/>
      <c r="E859" s="1"/>
      <c r="F859" s="20"/>
      <c r="G859" s="1"/>
      <c r="H859" s="1"/>
      <c r="I859" s="1"/>
      <c r="J859" s="1"/>
      <c r="K859" s="1"/>
      <c r="L859" s="1"/>
      <c r="M859" s="1"/>
      <c r="N859" s="1"/>
      <c r="O859" s="1"/>
      <c r="P859" s="1"/>
      <c r="Q859" s="1"/>
      <c r="R859" s="1"/>
      <c r="S859" s="1"/>
      <c r="T859" s="1"/>
      <c r="U859" s="1"/>
      <c r="V859" s="1"/>
      <c r="W859" s="1"/>
      <c r="X859" s="1"/>
      <c r="Y859" s="1"/>
      <c r="Z859" s="1"/>
    </row>
    <row r="860" spans="1:26" ht="12.75">
      <c r="A860" s="1"/>
      <c r="B860" s="1"/>
      <c r="C860" s="20"/>
      <c r="D860" s="1"/>
      <c r="E860" s="1"/>
      <c r="F860" s="20"/>
      <c r="G860" s="1"/>
      <c r="H860" s="1"/>
      <c r="I860" s="1"/>
      <c r="J860" s="1"/>
      <c r="K860" s="1"/>
      <c r="L860" s="1"/>
      <c r="M860" s="1"/>
      <c r="N860" s="1"/>
      <c r="O860" s="1"/>
      <c r="P860" s="1"/>
      <c r="Q860" s="1"/>
      <c r="R860" s="1"/>
      <c r="S860" s="1"/>
      <c r="T860" s="1"/>
      <c r="U860" s="1"/>
      <c r="V860" s="1"/>
      <c r="W860" s="1"/>
      <c r="X860" s="1"/>
      <c r="Y860" s="1"/>
      <c r="Z860" s="1"/>
    </row>
    <row r="861" spans="1:26" ht="12.75">
      <c r="A861" s="1"/>
      <c r="B861" s="1"/>
      <c r="C861" s="20"/>
      <c r="D861" s="1"/>
      <c r="E861" s="1"/>
      <c r="F861" s="20"/>
      <c r="G861" s="1"/>
      <c r="H861" s="1"/>
      <c r="I861" s="1"/>
      <c r="J861" s="1"/>
      <c r="K861" s="1"/>
      <c r="L861" s="1"/>
      <c r="M861" s="1"/>
      <c r="N861" s="1"/>
      <c r="O861" s="1"/>
      <c r="P861" s="1"/>
      <c r="Q861" s="1"/>
      <c r="R861" s="1"/>
      <c r="S861" s="1"/>
      <c r="T861" s="1"/>
      <c r="U861" s="1"/>
      <c r="V861" s="1"/>
      <c r="W861" s="1"/>
      <c r="X861" s="1"/>
      <c r="Y861" s="1"/>
      <c r="Z861" s="1"/>
    </row>
    <row r="862" spans="1:26" ht="12.75">
      <c r="A862" s="1"/>
      <c r="B862" s="1"/>
      <c r="C862" s="20"/>
      <c r="D862" s="1"/>
      <c r="E862" s="1"/>
      <c r="F862" s="20"/>
      <c r="G862" s="1"/>
      <c r="H862" s="1"/>
      <c r="I862" s="1"/>
      <c r="J862" s="1"/>
      <c r="K862" s="1"/>
      <c r="L862" s="1"/>
      <c r="M862" s="1"/>
      <c r="N862" s="1"/>
      <c r="O862" s="1"/>
      <c r="P862" s="1"/>
      <c r="Q862" s="1"/>
      <c r="R862" s="1"/>
      <c r="S862" s="1"/>
      <c r="T862" s="1"/>
      <c r="U862" s="1"/>
      <c r="V862" s="1"/>
      <c r="W862" s="1"/>
      <c r="X862" s="1"/>
      <c r="Y862" s="1"/>
      <c r="Z862" s="1"/>
    </row>
    <row r="863" spans="1:26" ht="12.75">
      <c r="A863" s="1"/>
      <c r="B863" s="1"/>
      <c r="C863" s="20"/>
      <c r="D863" s="1"/>
      <c r="E863" s="1"/>
      <c r="F863" s="20"/>
      <c r="G863" s="1"/>
      <c r="H863" s="1"/>
      <c r="I863" s="1"/>
      <c r="J863" s="1"/>
      <c r="K863" s="1"/>
      <c r="L863" s="1"/>
      <c r="M863" s="1"/>
      <c r="N863" s="1"/>
      <c r="O863" s="1"/>
      <c r="P863" s="1"/>
      <c r="Q863" s="1"/>
      <c r="R863" s="1"/>
      <c r="S863" s="1"/>
      <c r="T863" s="1"/>
      <c r="U863" s="1"/>
      <c r="V863" s="1"/>
      <c r="W863" s="1"/>
      <c r="X863" s="1"/>
      <c r="Y863" s="1"/>
      <c r="Z863" s="1"/>
    </row>
    <row r="864" spans="1:26" ht="12.75">
      <c r="A864" s="1"/>
      <c r="B864" s="1"/>
      <c r="C864" s="20"/>
      <c r="D864" s="1"/>
      <c r="E864" s="1"/>
      <c r="F864" s="20"/>
      <c r="G864" s="1"/>
      <c r="H864" s="1"/>
      <c r="I864" s="1"/>
      <c r="J864" s="1"/>
      <c r="K864" s="1"/>
      <c r="L864" s="1"/>
      <c r="M864" s="1"/>
      <c r="N864" s="1"/>
      <c r="O864" s="1"/>
      <c r="P864" s="1"/>
      <c r="Q864" s="1"/>
      <c r="R864" s="1"/>
      <c r="S864" s="1"/>
      <c r="T864" s="1"/>
      <c r="U864" s="1"/>
      <c r="V864" s="1"/>
      <c r="W864" s="1"/>
      <c r="X864" s="1"/>
      <c r="Y864" s="1"/>
      <c r="Z864" s="1"/>
    </row>
    <row r="865" spans="1:26" ht="12.75">
      <c r="A865" s="1"/>
      <c r="B865" s="1"/>
      <c r="C865" s="20"/>
      <c r="D865" s="1"/>
      <c r="E865" s="1"/>
      <c r="F865" s="20"/>
      <c r="G865" s="1"/>
      <c r="H865" s="1"/>
      <c r="I865" s="1"/>
      <c r="J865" s="1"/>
      <c r="K865" s="1"/>
      <c r="L865" s="1"/>
      <c r="M865" s="1"/>
      <c r="N865" s="1"/>
      <c r="O865" s="1"/>
      <c r="P865" s="1"/>
      <c r="Q865" s="1"/>
      <c r="R865" s="1"/>
      <c r="S865" s="1"/>
      <c r="T865" s="1"/>
      <c r="U865" s="1"/>
      <c r="V865" s="1"/>
      <c r="W865" s="1"/>
      <c r="X865" s="1"/>
      <c r="Y865" s="1"/>
      <c r="Z865" s="1"/>
    </row>
    <row r="866" spans="1:26" ht="12.75">
      <c r="A866" s="1"/>
      <c r="B866" s="1"/>
      <c r="C866" s="20"/>
      <c r="D866" s="1"/>
      <c r="E866" s="1"/>
      <c r="F866" s="20"/>
      <c r="G866" s="1"/>
      <c r="H866" s="1"/>
      <c r="I866" s="1"/>
      <c r="J866" s="1"/>
      <c r="K866" s="1"/>
      <c r="L866" s="1"/>
      <c r="M866" s="1"/>
      <c r="N866" s="1"/>
      <c r="O866" s="1"/>
      <c r="P866" s="1"/>
      <c r="Q866" s="1"/>
      <c r="R866" s="1"/>
      <c r="S866" s="1"/>
      <c r="T866" s="1"/>
      <c r="U866" s="1"/>
      <c r="V866" s="1"/>
      <c r="W866" s="1"/>
      <c r="X866" s="1"/>
      <c r="Y866" s="1"/>
      <c r="Z866" s="1"/>
    </row>
    <row r="867" spans="1:26" ht="12.75">
      <c r="A867" s="1"/>
      <c r="B867" s="1"/>
      <c r="C867" s="20"/>
      <c r="D867" s="1"/>
      <c r="E867" s="1"/>
      <c r="F867" s="20"/>
      <c r="G867" s="1"/>
      <c r="H867" s="1"/>
      <c r="I867" s="1"/>
      <c r="J867" s="1"/>
      <c r="K867" s="1"/>
      <c r="L867" s="1"/>
      <c r="M867" s="1"/>
      <c r="N867" s="1"/>
      <c r="O867" s="1"/>
      <c r="P867" s="1"/>
      <c r="Q867" s="1"/>
      <c r="R867" s="1"/>
      <c r="S867" s="1"/>
      <c r="T867" s="1"/>
      <c r="U867" s="1"/>
      <c r="V867" s="1"/>
      <c r="W867" s="1"/>
      <c r="X867" s="1"/>
      <c r="Y867" s="1"/>
      <c r="Z867" s="1"/>
    </row>
    <row r="868" spans="1:26" ht="12.75">
      <c r="A868" s="1"/>
      <c r="B868" s="1"/>
      <c r="C868" s="20"/>
      <c r="D868" s="1"/>
      <c r="E868" s="1"/>
      <c r="F868" s="20"/>
      <c r="G868" s="1"/>
      <c r="H868" s="1"/>
      <c r="I868" s="1"/>
      <c r="J868" s="1"/>
      <c r="K868" s="1"/>
      <c r="L868" s="1"/>
      <c r="M868" s="1"/>
      <c r="N868" s="1"/>
      <c r="O868" s="1"/>
      <c r="P868" s="1"/>
      <c r="Q868" s="1"/>
      <c r="R868" s="1"/>
      <c r="S868" s="1"/>
      <c r="T868" s="1"/>
      <c r="U868" s="1"/>
      <c r="V868" s="1"/>
      <c r="W868" s="1"/>
      <c r="X868" s="1"/>
      <c r="Y868" s="1"/>
      <c r="Z868" s="1"/>
    </row>
    <row r="869" spans="1:26" ht="12.75">
      <c r="A869" s="1"/>
      <c r="B869" s="1"/>
      <c r="C869" s="20"/>
      <c r="D869" s="1"/>
      <c r="E869" s="1"/>
      <c r="F869" s="20"/>
      <c r="G869" s="1"/>
      <c r="H869" s="1"/>
      <c r="I869" s="1"/>
      <c r="J869" s="1"/>
      <c r="K869" s="1"/>
      <c r="L869" s="1"/>
      <c r="M869" s="1"/>
      <c r="N869" s="1"/>
      <c r="O869" s="1"/>
      <c r="P869" s="1"/>
      <c r="Q869" s="1"/>
      <c r="R869" s="1"/>
      <c r="S869" s="1"/>
      <c r="T869" s="1"/>
      <c r="U869" s="1"/>
      <c r="V869" s="1"/>
      <c r="W869" s="1"/>
      <c r="X869" s="1"/>
      <c r="Y869" s="1"/>
      <c r="Z869" s="1"/>
    </row>
    <row r="870" spans="1:26" ht="12.75">
      <c r="A870" s="1"/>
      <c r="B870" s="1"/>
      <c r="C870" s="20"/>
      <c r="D870" s="1"/>
      <c r="E870" s="1"/>
      <c r="F870" s="20"/>
      <c r="G870" s="1"/>
      <c r="H870" s="1"/>
      <c r="I870" s="1"/>
      <c r="J870" s="1"/>
      <c r="K870" s="1"/>
      <c r="L870" s="1"/>
      <c r="M870" s="1"/>
      <c r="N870" s="1"/>
      <c r="O870" s="1"/>
      <c r="P870" s="1"/>
      <c r="Q870" s="1"/>
      <c r="R870" s="1"/>
      <c r="S870" s="1"/>
      <c r="T870" s="1"/>
      <c r="U870" s="1"/>
      <c r="V870" s="1"/>
      <c r="W870" s="1"/>
      <c r="X870" s="1"/>
      <c r="Y870" s="1"/>
      <c r="Z870" s="1"/>
    </row>
    <row r="871" spans="1:26" ht="12.75">
      <c r="A871" s="1"/>
      <c r="B871" s="1"/>
      <c r="C871" s="20"/>
      <c r="D871" s="1"/>
      <c r="E871" s="1"/>
      <c r="F871" s="20"/>
      <c r="G871" s="1"/>
      <c r="H871" s="1"/>
      <c r="I871" s="1"/>
      <c r="J871" s="1"/>
      <c r="K871" s="1"/>
      <c r="L871" s="1"/>
      <c r="M871" s="1"/>
      <c r="N871" s="1"/>
      <c r="O871" s="1"/>
      <c r="P871" s="1"/>
      <c r="Q871" s="1"/>
      <c r="R871" s="1"/>
      <c r="S871" s="1"/>
      <c r="T871" s="1"/>
      <c r="U871" s="1"/>
      <c r="V871" s="1"/>
      <c r="W871" s="1"/>
      <c r="X871" s="1"/>
      <c r="Y871" s="1"/>
      <c r="Z871" s="1"/>
    </row>
    <row r="872" spans="1:26" ht="12.75">
      <c r="A872" s="1"/>
      <c r="B872" s="1"/>
      <c r="C872" s="20"/>
      <c r="D872" s="1"/>
      <c r="E872" s="1"/>
      <c r="F872" s="20"/>
      <c r="G872" s="1"/>
      <c r="H872" s="1"/>
      <c r="I872" s="1"/>
      <c r="J872" s="1"/>
      <c r="K872" s="1"/>
      <c r="L872" s="1"/>
      <c r="M872" s="1"/>
      <c r="N872" s="1"/>
      <c r="O872" s="1"/>
      <c r="P872" s="1"/>
      <c r="Q872" s="1"/>
      <c r="R872" s="1"/>
      <c r="S872" s="1"/>
      <c r="T872" s="1"/>
      <c r="U872" s="1"/>
      <c r="V872" s="1"/>
      <c r="W872" s="1"/>
      <c r="X872" s="1"/>
      <c r="Y872" s="1"/>
      <c r="Z872" s="1"/>
    </row>
    <row r="873" spans="1:26" ht="12.75">
      <c r="A873" s="1"/>
      <c r="B873" s="1"/>
      <c r="C873" s="20"/>
      <c r="D873" s="1"/>
      <c r="E873" s="1"/>
      <c r="F873" s="20"/>
      <c r="G873" s="1"/>
      <c r="H873" s="1"/>
      <c r="I873" s="1"/>
      <c r="J873" s="1"/>
      <c r="K873" s="1"/>
      <c r="L873" s="1"/>
      <c r="M873" s="1"/>
      <c r="N873" s="1"/>
      <c r="O873" s="1"/>
      <c r="P873" s="1"/>
      <c r="Q873" s="1"/>
      <c r="R873" s="1"/>
      <c r="S873" s="1"/>
      <c r="T873" s="1"/>
      <c r="U873" s="1"/>
      <c r="V873" s="1"/>
      <c r="W873" s="1"/>
      <c r="X873" s="1"/>
      <c r="Y873" s="1"/>
      <c r="Z873" s="1"/>
    </row>
    <row r="874" spans="1:26" ht="12.75">
      <c r="A874" s="1"/>
      <c r="B874" s="1"/>
      <c r="C874" s="20"/>
      <c r="D874" s="1"/>
      <c r="E874" s="1"/>
      <c r="F874" s="20"/>
      <c r="G874" s="1"/>
      <c r="H874" s="1"/>
      <c r="I874" s="1"/>
      <c r="J874" s="1"/>
      <c r="K874" s="1"/>
      <c r="L874" s="1"/>
      <c r="M874" s="1"/>
      <c r="N874" s="1"/>
      <c r="O874" s="1"/>
      <c r="P874" s="1"/>
      <c r="Q874" s="1"/>
      <c r="R874" s="1"/>
      <c r="S874" s="1"/>
      <c r="T874" s="1"/>
      <c r="U874" s="1"/>
      <c r="V874" s="1"/>
      <c r="W874" s="1"/>
      <c r="X874" s="1"/>
      <c r="Y874" s="1"/>
      <c r="Z874" s="1"/>
    </row>
    <row r="875" spans="1:26" ht="12.75">
      <c r="A875" s="1"/>
      <c r="B875" s="1"/>
      <c r="C875" s="20"/>
      <c r="D875" s="1"/>
      <c r="E875" s="1"/>
      <c r="F875" s="20"/>
      <c r="G875" s="1"/>
      <c r="H875" s="1"/>
      <c r="I875" s="1"/>
      <c r="J875" s="1"/>
      <c r="K875" s="1"/>
      <c r="L875" s="1"/>
      <c r="M875" s="1"/>
      <c r="N875" s="1"/>
      <c r="O875" s="1"/>
      <c r="P875" s="1"/>
      <c r="Q875" s="1"/>
      <c r="R875" s="1"/>
      <c r="S875" s="1"/>
      <c r="T875" s="1"/>
      <c r="U875" s="1"/>
      <c r="V875" s="1"/>
      <c r="W875" s="1"/>
      <c r="X875" s="1"/>
      <c r="Y875" s="1"/>
      <c r="Z875" s="1"/>
    </row>
    <row r="876" spans="1:26" ht="12.75">
      <c r="A876" s="1"/>
      <c r="B876" s="1"/>
      <c r="C876" s="20"/>
      <c r="D876" s="1"/>
      <c r="E876" s="1"/>
      <c r="F876" s="20"/>
      <c r="G876" s="1"/>
      <c r="H876" s="1"/>
      <c r="I876" s="1"/>
      <c r="J876" s="1"/>
      <c r="K876" s="1"/>
      <c r="L876" s="1"/>
      <c r="M876" s="1"/>
      <c r="N876" s="1"/>
      <c r="O876" s="1"/>
      <c r="P876" s="1"/>
      <c r="Q876" s="1"/>
      <c r="R876" s="1"/>
      <c r="S876" s="1"/>
      <c r="T876" s="1"/>
      <c r="U876" s="1"/>
      <c r="V876" s="1"/>
      <c r="W876" s="1"/>
      <c r="X876" s="1"/>
      <c r="Y876" s="1"/>
      <c r="Z876" s="1"/>
    </row>
    <row r="877" spans="1:26" ht="12.75">
      <c r="A877" s="1"/>
      <c r="B877" s="1"/>
      <c r="C877" s="20"/>
      <c r="D877" s="1"/>
      <c r="E877" s="1"/>
      <c r="F877" s="20"/>
      <c r="G877" s="1"/>
      <c r="H877" s="1"/>
      <c r="I877" s="1"/>
      <c r="J877" s="1"/>
      <c r="K877" s="1"/>
      <c r="L877" s="1"/>
      <c r="M877" s="1"/>
      <c r="N877" s="1"/>
      <c r="O877" s="1"/>
      <c r="P877" s="1"/>
      <c r="Q877" s="1"/>
      <c r="R877" s="1"/>
      <c r="S877" s="1"/>
      <c r="T877" s="1"/>
      <c r="U877" s="1"/>
      <c r="V877" s="1"/>
      <c r="W877" s="1"/>
      <c r="X877" s="1"/>
      <c r="Y877" s="1"/>
      <c r="Z877" s="1"/>
    </row>
    <row r="878" spans="1:26" ht="12.75">
      <c r="A878" s="1"/>
      <c r="B878" s="1"/>
      <c r="C878" s="20"/>
      <c r="D878" s="1"/>
      <c r="E878" s="1"/>
      <c r="F878" s="20"/>
      <c r="G878" s="1"/>
      <c r="H878" s="1"/>
      <c r="I878" s="1"/>
      <c r="J878" s="1"/>
      <c r="K878" s="1"/>
      <c r="L878" s="1"/>
      <c r="M878" s="1"/>
      <c r="N878" s="1"/>
      <c r="O878" s="1"/>
      <c r="P878" s="1"/>
      <c r="Q878" s="1"/>
      <c r="R878" s="1"/>
      <c r="S878" s="1"/>
      <c r="T878" s="1"/>
      <c r="U878" s="1"/>
      <c r="V878" s="1"/>
      <c r="W878" s="1"/>
      <c r="X878" s="1"/>
      <c r="Y878" s="1"/>
      <c r="Z878" s="1"/>
    </row>
    <row r="879" spans="1:26" ht="12.75">
      <c r="A879" s="1"/>
      <c r="B879" s="1"/>
      <c r="C879" s="20"/>
      <c r="D879" s="1"/>
      <c r="E879" s="1"/>
      <c r="F879" s="20"/>
      <c r="G879" s="1"/>
      <c r="H879" s="1"/>
      <c r="I879" s="1"/>
      <c r="J879" s="1"/>
      <c r="K879" s="1"/>
      <c r="L879" s="1"/>
      <c r="M879" s="1"/>
      <c r="N879" s="1"/>
      <c r="O879" s="1"/>
      <c r="P879" s="1"/>
      <c r="Q879" s="1"/>
      <c r="R879" s="1"/>
      <c r="S879" s="1"/>
      <c r="T879" s="1"/>
      <c r="U879" s="1"/>
      <c r="V879" s="1"/>
      <c r="W879" s="1"/>
      <c r="X879" s="1"/>
      <c r="Y879" s="1"/>
      <c r="Z879" s="1"/>
    </row>
    <row r="880" spans="1:26" ht="12.75">
      <c r="A880" s="1"/>
      <c r="B880" s="1"/>
      <c r="C880" s="20"/>
      <c r="D880" s="1"/>
      <c r="E880" s="1"/>
      <c r="F880" s="20"/>
      <c r="G880" s="1"/>
      <c r="H880" s="1"/>
      <c r="I880" s="1"/>
      <c r="J880" s="1"/>
      <c r="K880" s="1"/>
      <c r="L880" s="1"/>
      <c r="M880" s="1"/>
      <c r="N880" s="1"/>
      <c r="O880" s="1"/>
      <c r="P880" s="1"/>
      <c r="Q880" s="1"/>
      <c r="R880" s="1"/>
      <c r="S880" s="1"/>
      <c r="T880" s="1"/>
      <c r="U880" s="1"/>
      <c r="V880" s="1"/>
      <c r="W880" s="1"/>
      <c r="X880" s="1"/>
      <c r="Y880" s="1"/>
      <c r="Z880" s="1"/>
    </row>
    <row r="881" spans="1:26" ht="12.75">
      <c r="A881" s="1"/>
      <c r="B881" s="1"/>
      <c r="C881" s="20"/>
      <c r="D881" s="1"/>
      <c r="E881" s="1"/>
      <c r="F881" s="20"/>
      <c r="G881" s="1"/>
      <c r="H881" s="1"/>
      <c r="I881" s="1"/>
      <c r="J881" s="1"/>
      <c r="K881" s="1"/>
      <c r="L881" s="1"/>
      <c r="M881" s="1"/>
      <c r="N881" s="1"/>
      <c r="O881" s="1"/>
      <c r="P881" s="1"/>
      <c r="Q881" s="1"/>
      <c r="R881" s="1"/>
      <c r="S881" s="1"/>
      <c r="T881" s="1"/>
      <c r="U881" s="1"/>
      <c r="V881" s="1"/>
      <c r="W881" s="1"/>
      <c r="X881" s="1"/>
      <c r="Y881" s="1"/>
      <c r="Z881" s="1"/>
    </row>
    <row r="882" spans="1:26" ht="12.75">
      <c r="A882" s="1"/>
      <c r="B882" s="1"/>
      <c r="C882" s="20"/>
      <c r="D882" s="1"/>
      <c r="E882" s="1"/>
      <c r="F882" s="20"/>
      <c r="G882" s="1"/>
      <c r="H882" s="1"/>
      <c r="I882" s="1"/>
      <c r="J882" s="1"/>
      <c r="K882" s="1"/>
      <c r="L882" s="1"/>
      <c r="M882" s="1"/>
      <c r="N882" s="1"/>
      <c r="O882" s="1"/>
      <c r="P882" s="1"/>
      <c r="Q882" s="1"/>
      <c r="R882" s="1"/>
      <c r="S882" s="1"/>
      <c r="T882" s="1"/>
      <c r="U882" s="1"/>
      <c r="V882" s="1"/>
      <c r="W882" s="1"/>
      <c r="X882" s="1"/>
      <c r="Y882" s="1"/>
      <c r="Z882" s="1"/>
    </row>
    <row r="883" spans="1:26" ht="12.75">
      <c r="A883" s="1"/>
      <c r="B883" s="1"/>
      <c r="C883" s="20"/>
      <c r="D883" s="1"/>
      <c r="E883" s="1"/>
      <c r="F883" s="20"/>
      <c r="G883" s="1"/>
      <c r="H883" s="1"/>
      <c r="I883" s="1"/>
      <c r="J883" s="1"/>
      <c r="K883" s="1"/>
      <c r="L883" s="1"/>
      <c r="M883" s="1"/>
      <c r="N883" s="1"/>
      <c r="O883" s="1"/>
      <c r="P883" s="1"/>
      <c r="Q883" s="1"/>
      <c r="R883" s="1"/>
      <c r="S883" s="1"/>
      <c r="T883" s="1"/>
      <c r="U883" s="1"/>
      <c r="V883" s="1"/>
      <c r="W883" s="1"/>
      <c r="X883" s="1"/>
      <c r="Y883" s="1"/>
      <c r="Z883" s="1"/>
    </row>
    <row r="884" spans="1:26" ht="12.75">
      <c r="A884" s="1"/>
      <c r="B884" s="1"/>
      <c r="C884" s="20"/>
      <c r="D884" s="1"/>
      <c r="E884" s="1"/>
      <c r="F884" s="20"/>
      <c r="G884" s="1"/>
      <c r="H884" s="1"/>
      <c r="I884" s="1"/>
      <c r="J884" s="1"/>
      <c r="K884" s="1"/>
      <c r="L884" s="1"/>
      <c r="M884" s="1"/>
      <c r="N884" s="1"/>
      <c r="O884" s="1"/>
      <c r="P884" s="1"/>
      <c r="Q884" s="1"/>
      <c r="R884" s="1"/>
      <c r="S884" s="1"/>
      <c r="T884" s="1"/>
      <c r="U884" s="1"/>
      <c r="V884" s="1"/>
      <c r="W884" s="1"/>
      <c r="X884" s="1"/>
      <c r="Y884" s="1"/>
      <c r="Z884" s="1"/>
    </row>
    <row r="885" spans="1:26" ht="12.75">
      <c r="A885" s="1"/>
      <c r="B885" s="1"/>
      <c r="C885" s="20"/>
      <c r="D885" s="1"/>
      <c r="E885" s="1"/>
      <c r="F885" s="20"/>
      <c r="G885" s="1"/>
      <c r="H885" s="1"/>
      <c r="I885" s="1"/>
      <c r="J885" s="1"/>
      <c r="K885" s="1"/>
      <c r="L885" s="1"/>
      <c r="M885" s="1"/>
      <c r="N885" s="1"/>
      <c r="O885" s="1"/>
      <c r="P885" s="1"/>
      <c r="Q885" s="1"/>
      <c r="R885" s="1"/>
      <c r="S885" s="1"/>
      <c r="T885" s="1"/>
      <c r="U885" s="1"/>
      <c r="V885" s="1"/>
      <c r="W885" s="1"/>
      <c r="X885" s="1"/>
      <c r="Y885" s="1"/>
      <c r="Z885" s="1"/>
    </row>
    <row r="886" spans="1:26" ht="12.75">
      <c r="A886" s="1"/>
      <c r="B886" s="1"/>
      <c r="C886" s="20"/>
      <c r="D886" s="1"/>
      <c r="E886" s="1"/>
      <c r="F886" s="20"/>
      <c r="G886" s="1"/>
      <c r="H886" s="1"/>
      <c r="I886" s="1"/>
      <c r="J886" s="1"/>
      <c r="K886" s="1"/>
      <c r="L886" s="1"/>
      <c r="M886" s="1"/>
      <c r="N886" s="1"/>
      <c r="O886" s="1"/>
      <c r="P886" s="1"/>
      <c r="Q886" s="1"/>
      <c r="R886" s="1"/>
      <c r="S886" s="1"/>
      <c r="T886" s="1"/>
      <c r="U886" s="1"/>
      <c r="V886" s="1"/>
      <c r="W886" s="1"/>
      <c r="X886" s="1"/>
      <c r="Y886" s="1"/>
      <c r="Z886" s="1"/>
    </row>
    <row r="887" spans="1:26" ht="12.75">
      <c r="A887" s="1"/>
      <c r="B887" s="1"/>
      <c r="C887" s="20"/>
      <c r="D887" s="1"/>
      <c r="E887" s="1"/>
      <c r="F887" s="20"/>
      <c r="G887" s="1"/>
      <c r="H887" s="1"/>
      <c r="I887" s="1"/>
      <c r="J887" s="1"/>
      <c r="K887" s="1"/>
      <c r="L887" s="1"/>
      <c r="M887" s="1"/>
      <c r="N887" s="1"/>
      <c r="O887" s="1"/>
      <c r="P887" s="1"/>
      <c r="Q887" s="1"/>
      <c r="R887" s="1"/>
      <c r="S887" s="1"/>
      <c r="T887" s="1"/>
      <c r="U887" s="1"/>
      <c r="V887" s="1"/>
      <c r="W887" s="1"/>
      <c r="X887" s="1"/>
      <c r="Y887" s="1"/>
      <c r="Z887" s="1"/>
    </row>
    <row r="888" spans="1:26" ht="12.75">
      <c r="A888" s="1"/>
      <c r="B888" s="1"/>
      <c r="C888" s="20"/>
      <c r="D888" s="1"/>
      <c r="E888" s="1"/>
      <c r="F888" s="20"/>
      <c r="G888" s="1"/>
      <c r="H888" s="1"/>
      <c r="I888" s="1"/>
      <c r="J888" s="1"/>
      <c r="K888" s="1"/>
      <c r="L888" s="1"/>
      <c r="M888" s="1"/>
      <c r="N888" s="1"/>
      <c r="O888" s="1"/>
      <c r="P888" s="1"/>
      <c r="Q888" s="1"/>
      <c r="R888" s="1"/>
      <c r="S888" s="1"/>
      <c r="T888" s="1"/>
      <c r="U888" s="1"/>
      <c r="V888" s="1"/>
      <c r="W888" s="1"/>
      <c r="X888" s="1"/>
      <c r="Y888" s="1"/>
      <c r="Z888" s="1"/>
    </row>
    <row r="889" spans="1:26" ht="12.75">
      <c r="A889" s="1"/>
      <c r="B889" s="1"/>
      <c r="C889" s="20"/>
      <c r="D889" s="1"/>
      <c r="E889" s="1"/>
      <c r="F889" s="20"/>
      <c r="G889" s="1"/>
      <c r="H889" s="1"/>
      <c r="I889" s="1"/>
      <c r="J889" s="1"/>
      <c r="K889" s="1"/>
      <c r="L889" s="1"/>
      <c r="M889" s="1"/>
      <c r="N889" s="1"/>
      <c r="O889" s="1"/>
      <c r="P889" s="1"/>
      <c r="Q889" s="1"/>
      <c r="R889" s="1"/>
      <c r="S889" s="1"/>
      <c r="T889" s="1"/>
      <c r="U889" s="1"/>
      <c r="V889" s="1"/>
      <c r="W889" s="1"/>
      <c r="X889" s="1"/>
      <c r="Y889" s="1"/>
      <c r="Z889" s="1"/>
    </row>
    <row r="890" spans="1:26" ht="12.75">
      <c r="A890" s="1"/>
      <c r="B890" s="1"/>
      <c r="C890" s="20"/>
      <c r="D890" s="1"/>
      <c r="E890" s="1"/>
      <c r="F890" s="20"/>
      <c r="G890" s="1"/>
      <c r="H890" s="1"/>
      <c r="I890" s="1"/>
      <c r="J890" s="1"/>
      <c r="K890" s="1"/>
      <c r="L890" s="1"/>
      <c r="M890" s="1"/>
      <c r="N890" s="1"/>
      <c r="O890" s="1"/>
      <c r="P890" s="1"/>
      <c r="Q890" s="1"/>
      <c r="R890" s="1"/>
      <c r="S890" s="1"/>
      <c r="T890" s="1"/>
      <c r="U890" s="1"/>
      <c r="V890" s="1"/>
      <c r="W890" s="1"/>
      <c r="X890" s="1"/>
      <c r="Y890" s="1"/>
      <c r="Z890" s="1"/>
    </row>
    <row r="891" spans="1:26" ht="12.75">
      <c r="A891" s="1"/>
      <c r="B891" s="1"/>
      <c r="C891" s="20"/>
      <c r="D891" s="1"/>
      <c r="E891" s="1"/>
      <c r="F891" s="20"/>
      <c r="G891" s="1"/>
      <c r="H891" s="1"/>
      <c r="I891" s="1"/>
      <c r="J891" s="1"/>
      <c r="K891" s="1"/>
      <c r="L891" s="1"/>
      <c r="M891" s="1"/>
      <c r="N891" s="1"/>
      <c r="O891" s="1"/>
      <c r="P891" s="1"/>
      <c r="Q891" s="1"/>
      <c r="R891" s="1"/>
      <c r="S891" s="1"/>
      <c r="T891" s="1"/>
      <c r="U891" s="1"/>
      <c r="V891" s="1"/>
      <c r="W891" s="1"/>
      <c r="X891" s="1"/>
      <c r="Y891" s="1"/>
      <c r="Z891" s="1"/>
    </row>
    <row r="892" spans="1:26" ht="12.75">
      <c r="A892" s="1"/>
      <c r="B892" s="1"/>
      <c r="C892" s="20"/>
      <c r="D892" s="1"/>
      <c r="E892" s="1"/>
      <c r="F892" s="20"/>
      <c r="G892" s="1"/>
      <c r="H892" s="1"/>
      <c r="I892" s="1"/>
      <c r="J892" s="1"/>
      <c r="K892" s="1"/>
      <c r="L892" s="1"/>
      <c r="M892" s="1"/>
      <c r="N892" s="1"/>
      <c r="O892" s="1"/>
      <c r="P892" s="1"/>
      <c r="Q892" s="1"/>
      <c r="R892" s="1"/>
      <c r="S892" s="1"/>
      <c r="T892" s="1"/>
      <c r="U892" s="1"/>
      <c r="V892" s="1"/>
      <c r="W892" s="1"/>
      <c r="X892" s="1"/>
      <c r="Y892" s="1"/>
      <c r="Z892" s="1"/>
    </row>
    <row r="893" spans="1:26" ht="12.75">
      <c r="A893" s="1"/>
      <c r="B893" s="1"/>
      <c r="C893" s="20"/>
      <c r="D893" s="1"/>
      <c r="E893" s="1"/>
      <c r="F893" s="20"/>
      <c r="G893" s="1"/>
      <c r="H893" s="1"/>
      <c r="I893" s="1"/>
      <c r="J893" s="1"/>
      <c r="K893" s="1"/>
      <c r="L893" s="1"/>
      <c r="M893" s="1"/>
      <c r="N893" s="1"/>
      <c r="O893" s="1"/>
      <c r="P893" s="1"/>
      <c r="Q893" s="1"/>
      <c r="R893" s="1"/>
      <c r="S893" s="1"/>
      <c r="T893" s="1"/>
      <c r="U893" s="1"/>
      <c r="V893" s="1"/>
      <c r="W893" s="1"/>
      <c r="X893" s="1"/>
      <c r="Y893" s="1"/>
      <c r="Z893" s="1"/>
    </row>
    <row r="894" spans="1:26" ht="12.75">
      <c r="A894" s="1"/>
      <c r="B894" s="1"/>
      <c r="C894" s="20"/>
      <c r="D894" s="1"/>
      <c r="E894" s="1"/>
      <c r="F894" s="20"/>
      <c r="G894" s="1"/>
      <c r="H894" s="1"/>
      <c r="I894" s="1"/>
      <c r="J894" s="1"/>
      <c r="K894" s="1"/>
      <c r="L894" s="1"/>
      <c r="M894" s="1"/>
      <c r="N894" s="1"/>
      <c r="O894" s="1"/>
      <c r="P894" s="1"/>
      <c r="Q894" s="1"/>
      <c r="R894" s="1"/>
      <c r="S894" s="1"/>
      <c r="T894" s="1"/>
      <c r="U894" s="1"/>
      <c r="V894" s="1"/>
      <c r="W894" s="1"/>
      <c r="X894" s="1"/>
      <c r="Y894" s="1"/>
      <c r="Z894" s="1"/>
    </row>
    <row r="895" spans="1:26" ht="12.75">
      <c r="A895" s="1"/>
      <c r="B895" s="1"/>
      <c r="C895" s="20"/>
      <c r="D895" s="1"/>
      <c r="E895" s="1"/>
      <c r="F895" s="20"/>
      <c r="G895" s="1"/>
      <c r="H895" s="1"/>
      <c r="I895" s="1"/>
      <c r="J895" s="1"/>
      <c r="K895" s="1"/>
      <c r="L895" s="1"/>
      <c r="M895" s="1"/>
      <c r="N895" s="1"/>
      <c r="O895" s="1"/>
      <c r="P895" s="1"/>
      <c r="Q895" s="1"/>
      <c r="R895" s="1"/>
      <c r="S895" s="1"/>
      <c r="T895" s="1"/>
      <c r="U895" s="1"/>
      <c r="V895" s="1"/>
      <c r="W895" s="1"/>
      <c r="X895" s="1"/>
      <c r="Y895" s="1"/>
      <c r="Z895" s="1"/>
    </row>
    <row r="896" spans="1:26" ht="12.75">
      <c r="A896" s="1"/>
      <c r="B896" s="1"/>
      <c r="C896" s="20"/>
      <c r="D896" s="1"/>
      <c r="E896" s="1"/>
      <c r="F896" s="20"/>
      <c r="G896" s="1"/>
      <c r="H896" s="1"/>
      <c r="I896" s="1"/>
      <c r="J896" s="1"/>
      <c r="K896" s="1"/>
      <c r="L896" s="1"/>
      <c r="M896" s="1"/>
      <c r="N896" s="1"/>
      <c r="O896" s="1"/>
      <c r="P896" s="1"/>
      <c r="Q896" s="1"/>
      <c r="R896" s="1"/>
      <c r="S896" s="1"/>
      <c r="T896" s="1"/>
      <c r="U896" s="1"/>
      <c r="V896" s="1"/>
      <c r="W896" s="1"/>
      <c r="X896" s="1"/>
      <c r="Y896" s="1"/>
      <c r="Z896" s="1"/>
    </row>
    <row r="897" spans="1:26" ht="12.75">
      <c r="A897" s="1"/>
      <c r="B897" s="1"/>
      <c r="C897" s="20"/>
      <c r="D897" s="1"/>
      <c r="E897" s="1"/>
      <c r="F897" s="20"/>
      <c r="G897" s="1"/>
      <c r="H897" s="1"/>
      <c r="I897" s="1"/>
      <c r="J897" s="1"/>
      <c r="K897" s="1"/>
      <c r="L897" s="1"/>
      <c r="M897" s="1"/>
      <c r="N897" s="1"/>
      <c r="O897" s="1"/>
      <c r="P897" s="1"/>
      <c r="Q897" s="1"/>
      <c r="R897" s="1"/>
      <c r="S897" s="1"/>
      <c r="T897" s="1"/>
      <c r="U897" s="1"/>
      <c r="V897" s="1"/>
      <c r="W897" s="1"/>
      <c r="X897" s="1"/>
      <c r="Y897" s="1"/>
      <c r="Z897" s="1"/>
    </row>
    <row r="898" spans="1:26" ht="12.75">
      <c r="A898" s="1"/>
      <c r="B898" s="1"/>
      <c r="C898" s="20"/>
      <c r="D898" s="1"/>
      <c r="E898" s="1"/>
      <c r="F898" s="20"/>
      <c r="G898" s="1"/>
      <c r="H898" s="1"/>
      <c r="I898" s="1"/>
      <c r="J898" s="1"/>
      <c r="K898" s="1"/>
      <c r="L898" s="1"/>
      <c r="M898" s="1"/>
      <c r="N898" s="1"/>
      <c r="O898" s="1"/>
      <c r="P898" s="1"/>
      <c r="Q898" s="1"/>
      <c r="R898" s="1"/>
      <c r="S898" s="1"/>
      <c r="T898" s="1"/>
      <c r="U898" s="1"/>
      <c r="V898" s="1"/>
      <c r="W898" s="1"/>
      <c r="X898" s="1"/>
      <c r="Y898" s="1"/>
      <c r="Z898" s="1"/>
    </row>
    <row r="899" spans="1:26" ht="12.75">
      <c r="A899" s="1"/>
      <c r="B899" s="1"/>
      <c r="C899" s="20"/>
      <c r="D899" s="1"/>
      <c r="E899" s="1"/>
      <c r="F899" s="20"/>
      <c r="G899" s="1"/>
      <c r="H899" s="1"/>
      <c r="I899" s="1"/>
      <c r="J899" s="1"/>
      <c r="K899" s="1"/>
      <c r="L899" s="1"/>
      <c r="M899" s="1"/>
      <c r="N899" s="1"/>
      <c r="O899" s="1"/>
      <c r="P899" s="1"/>
      <c r="Q899" s="1"/>
      <c r="R899" s="1"/>
      <c r="S899" s="1"/>
      <c r="T899" s="1"/>
      <c r="U899" s="1"/>
      <c r="V899" s="1"/>
      <c r="W899" s="1"/>
      <c r="X899" s="1"/>
      <c r="Y899" s="1"/>
      <c r="Z899" s="1"/>
    </row>
    <row r="900" spans="1:26" ht="12.75">
      <c r="A900" s="1"/>
      <c r="B900" s="1"/>
      <c r="C900" s="20"/>
      <c r="D900" s="1"/>
      <c r="E900" s="1"/>
      <c r="F900" s="20"/>
      <c r="G900" s="1"/>
      <c r="H900" s="1"/>
      <c r="I900" s="1"/>
      <c r="J900" s="1"/>
      <c r="K900" s="1"/>
      <c r="L900" s="1"/>
      <c r="M900" s="1"/>
      <c r="N900" s="1"/>
      <c r="O900" s="1"/>
      <c r="P900" s="1"/>
      <c r="Q900" s="1"/>
      <c r="R900" s="1"/>
      <c r="S900" s="1"/>
      <c r="T900" s="1"/>
      <c r="U900" s="1"/>
      <c r="V900" s="1"/>
      <c r="W900" s="1"/>
      <c r="X900" s="1"/>
      <c r="Y900" s="1"/>
      <c r="Z900" s="1"/>
    </row>
    <row r="901" spans="1:26" ht="12.75">
      <c r="A901" s="1"/>
      <c r="B901" s="1"/>
      <c r="C901" s="20"/>
      <c r="D901" s="1"/>
      <c r="E901" s="1"/>
      <c r="F901" s="20"/>
      <c r="G901" s="1"/>
      <c r="H901" s="1"/>
      <c r="I901" s="1"/>
      <c r="J901" s="1"/>
      <c r="K901" s="1"/>
      <c r="L901" s="1"/>
      <c r="M901" s="1"/>
      <c r="N901" s="1"/>
      <c r="O901" s="1"/>
      <c r="P901" s="1"/>
      <c r="Q901" s="1"/>
      <c r="R901" s="1"/>
      <c r="S901" s="1"/>
      <c r="T901" s="1"/>
      <c r="U901" s="1"/>
      <c r="V901" s="1"/>
      <c r="W901" s="1"/>
      <c r="X901" s="1"/>
      <c r="Y901" s="1"/>
      <c r="Z901" s="1"/>
    </row>
    <row r="902" spans="1:26" ht="12.75">
      <c r="A902" s="1"/>
      <c r="B902" s="1"/>
      <c r="C902" s="20"/>
      <c r="D902" s="1"/>
      <c r="E902" s="1"/>
      <c r="F902" s="20"/>
      <c r="G902" s="1"/>
      <c r="H902" s="1"/>
      <c r="I902" s="1"/>
      <c r="J902" s="1"/>
      <c r="K902" s="1"/>
      <c r="L902" s="1"/>
      <c r="M902" s="1"/>
      <c r="N902" s="1"/>
      <c r="O902" s="1"/>
      <c r="P902" s="1"/>
      <c r="Q902" s="1"/>
      <c r="R902" s="1"/>
      <c r="S902" s="1"/>
      <c r="T902" s="1"/>
      <c r="U902" s="1"/>
      <c r="V902" s="1"/>
      <c r="W902" s="1"/>
      <c r="X902" s="1"/>
      <c r="Y902" s="1"/>
      <c r="Z902" s="1"/>
    </row>
    <row r="903" spans="1:26" ht="12.75">
      <c r="A903" s="1"/>
      <c r="B903" s="1"/>
      <c r="C903" s="20"/>
      <c r="D903" s="1"/>
      <c r="E903" s="1"/>
      <c r="F903" s="20"/>
      <c r="G903" s="1"/>
      <c r="H903" s="1"/>
      <c r="I903" s="1"/>
      <c r="J903" s="1"/>
      <c r="K903" s="1"/>
      <c r="L903" s="1"/>
      <c r="M903" s="1"/>
      <c r="N903" s="1"/>
      <c r="O903" s="1"/>
      <c r="P903" s="1"/>
      <c r="Q903" s="1"/>
      <c r="R903" s="1"/>
      <c r="S903" s="1"/>
      <c r="T903" s="1"/>
      <c r="U903" s="1"/>
      <c r="V903" s="1"/>
      <c r="W903" s="1"/>
      <c r="X903" s="1"/>
      <c r="Y903" s="1"/>
      <c r="Z903" s="1"/>
    </row>
    <row r="904" spans="1:26" ht="12.75">
      <c r="A904" s="1"/>
      <c r="B904" s="1"/>
      <c r="C904" s="20"/>
      <c r="D904" s="1"/>
      <c r="E904" s="1"/>
      <c r="F904" s="20"/>
      <c r="G904" s="1"/>
      <c r="H904" s="1"/>
      <c r="I904" s="1"/>
      <c r="J904" s="1"/>
      <c r="K904" s="1"/>
      <c r="L904" s="1"/>
      <c r="M904" s="1"/>
      <c r="N904" s="1"/>
      <c r="O904" s="1"/>
      <c r="P904" s="1"/>
      <c r="Q904" s="1"/>
      <c r="R904" s="1"/>
      <c r="S904" s="1"/>
      <c r="T904" s="1"/>
      <c r="U904" s="1"/>
      <c r="V904" s="1"/>
      <c r="W904" s="1"/>
      <c r="X904" s="1"/>
      <c r="Y904" s="1"/>
      <c r="Z904" s="1"/>
    </row>
    <row r="905" spans="1:26" ht="12.75">
      <c r="A905" s="1"/>
      <c r="B905" s="1"/>
      <c r="C905" s="20"/>
      <c r="D905" s="1"/>
      <c r="E905" s="1"/>
      <c r="F905" s="20"/>
      <c r="G905" s="1"/>
      <c r="H905" s="1"/>
      <c r="I905" s="1"/>
      <c r="J905" s="1"/>
      <c r="K905" s="1"/>
      <c r="L905" s="1"/>
      <c r="M905" s="1"/>
      <c r="N905" s="1"/>
      <c r="O905" s="1"/>
      <c r="P905" s="1"/>
      <c r="Q905" s="1"/>
      <c r="R905" s="1"/>
      <c r="S905" s="1"/>
      <c r="T905" s="1"/>
      <c r="U905" s="1"/>
      <c r="V905" s="1"/>
      <c r="W905" s="1"/>
      <c r="X905" s="1"/>
      <c r="Y905" s="1"/>
      <c r="Z905" s="1"/>
    </row>
    <row r="906" spans="1:26" ht="12.75">
      <c r="A906" s="1"/>
      <c r="B906" s="1"/>
      <c r="C906" s="20"/>
      <c r="D906" s="1"/>
      <c r="E906" s="1"/>
      <c r="F906" s="20"/>
      <c r="G906" s="1"/>
      <c r="H906" s="1"/>
      <c r="I906" s="1"/>
      <c r="J906" s="1"/>
      <c r="K906" s="1"/>
      <c r="L906" s="1"/>
      <c r="M906" s="1"/>
      <c r="N906" s="1"/>
      <c r="O906" s="1"/>
      <c r="P906" s="1"/>
      <c r="Q906" s="1"/>
      <c r="R906" s="1"/>
      <c r="S906" s="1"/>
      <c r="T906" s="1"/>
      <c r="U906" s="1"/>
      <c r="V906" s="1"/>
      <c r="W906" s="1"/>
      <c r="X906" s="1"/>
      <c r="Y906" s="1"/>
      <c r="Z906" s="1"/>
    </row>
    <row r="907" spans="1:26" ht="12.75">
      <c r="A907" s="1"/>
      <c r="B907" s="1"/>
      <c r="C907" s="20"/>
      <c r="D907" s="1"/>
      <c r="E907" s="1"/>
      <c r="F907" s="20"/>
      <c r="G907" s="1"/>
      <c r="H907" s="1"/>
      <c r="I907" s="1"/>
      <c r="J907" s="1"/>
      <c r="K907" s="1"/>
      <c r="L907" s="1"/>
      <c r="M907" s="1"/>
      <c r="N907" s="1"/>
      <c r="O907" s="1"/>
      <c r="P907" s="1"/>
      <c r="Q907" s="1"/>
      <c r="R907" s="1"/>
      <c r="S907" s="1"/>
      <c r="T907" s="1"/>
      <c r="U907" s="1"/>
      <c r="V907" s="1"/>
      <c r="W907" s="1"/>
      <c r="X907" s="1"/>
      <c r="Y907" s="1"/>
      <c r="Z907" s="1"/>
    </row>
    <row r="908" spans="1:26" ht="12.75">
      <c r="A908" s="1"/>
      <c r="B908" s="1"/>
      <c r="C908" s="20"/>
      <c r="D908" s="1"/>
      <c r="E908" s="1"/>
      <c r="F908" s="20"/>
      <c r="G908" s="1"/>
      <c r="H908" s="1"/>
      <c r="I908" s="1"/>
      <c r="J908" s="1"/>
      <c r="K908" s="1"/>
      <c r="L908" s="1"/>
      <c r="M908" s="1"/>
      <c r="N908" s="1"/>
      <c r="O908" s="1"/>
      <c r="P908" s="1"/>
      <c r="Q908" s="1"/>
      <c r="R908" s="1"/>
      <c r="S908" s="1"/>
      <c r="T908" s="1"/>
      <c r="U908" s="1"/>
      <c r="V908" s="1"/>
      <c r="W908" s="1"/>
      <c r="X908" s="1"/>
      <c r="Y908" s="1"/>
      <c r="Z908" s="1"/>
    </row>
    <row r="909" spans="1:26" ht="12.75">
      <c r="A909" s="1"/>
      <c r="B909" s="1"/>
      <c r="C909" s="20"/>
      <c r="D909" s="1"/>
      <c r="E909" s="1"/>
      <c r="F909" s="20"/>
      <c r="G909" s="1"/>
      <c r="H909" s="1"/>
      <c r="I909" s="1"/>
      <c r="J909" s="1"/>
      <c r="K909" s="1"/>
      <c r="L909" s="1"/>
      <c r="M909" s="1"/>
      <c r="N909" s="1"/>
      <c r="O909" s="1"/>
      <c r="P909" s="1"/>
      <c r="Q909" s="1"/>
      <c r="R909" s="1"/>
      <c r="S909" s="1"/>
      <c r="T909" s="1"/>
      <c r="U909" s="1"/>
      <c r="V909" s="1"/>
      <c r="W909" s="1"/>
      <c r="X909" s="1"/>
      <c r="Y909" s="1"/>
      <c r="Z909" s="1"/>
    </row>
    <row r="910" spans="1:26" ht="12.75">
      <c r="A910" s="1"/>
      <c r="B910" s="1"/>
      <c r="C910" s="20"/>
      <c r="D910" s="1"/>
      <c r="E910" s="1"/>
      <c r="F910" s="20"/>
      <c r="G910" s="1"/>
      <c r="H910" s="1"/>
      <c r="I910" s="1"/>
      <c r="J910" s="1"/>
      <c r="K910" s="1"/>
      <c r="L910" s="1"/>
      <c r="M910" s="1"/>
      <c r="N910" s="1"/>
      <c r="O910" s="1"/>
      <c r="P910" s="1"/>
      <c r="Q910" s="1"/>
      <c r="R910" s="1"/>
      <c r="S910" s="1"/>
      <c r="T910" s="1"/>
      <c r="U910" s="1"/>
      <c r="V910" s="1"/>
      <c r="W910" s="1"/>
      <c r="X910" s="1"/>
      <c r="Y910" s="1"/>
      <c r="Z910" s="1"/>
    </row>
    <row r="911" spans="1:26" ht="12.75">
      <c r="A911" s="1"/>
      <c r="B911" s="1"/>
      <c r="C911" s="20"/>
      <c r="D911" s="1"/>
      <c r="E911" s="1"/>
      <c r="F911" s="20"/>
      <c r="G911" s="1"/>
      <c r="H911" s="1"/>
      <c r="I911" s="1"/>
      <c r="J911" s="1"/>
      <c r="K911" s="1"/>
      <c r="L911" s="1"/>
      <c r="M911" s="1"/>
      <c r="N911" s="1"/>
      <c r="O911" s="1"/>
      <c r="P911" s="1"/>
      <c r="Q911" s="1"/>
      <c r="R911" s="1"/>
      <c r="S911" s="1"/>
      <c r="T911" s="1"/>
      <c r="U911" s="1"/>
      <c r="V911" s="1"/>
      <c r="W911" s="1"/>
      <c r="X911" s="1"/>
      <c r="Y911" s="1"/>
      <c r="Z911" s="1"/>
    </row>
    <row r="912" spans="1:26" ht="12.75">
      <c r="A912" s="1"/>
      <c r="B912" s="1"/>
      <c r="C912" s="20"/>
      <c r="D912" s="1"/>
      <c r="E912" s="1"/>
      <c r="F912" s="20"/>
      <c r="G912" s="1"/>
      <c r="H912" s="1"/>
      <c r="I912" s="1"/>
      <c r="J912" s="1"/>
      <c r="K912" s="1"/>
      <c r="L912" s="1"/>
      <c r="M912" s="1"/>
      <c r="N912" s="1"/>
      <c r="O912" s="1"/>
      <c r="P912" s="1"/>
      <c r="Q912" s="1"/>
      <c r="R912" s="1"/>
      <c r="S912" s="1"/>
      <c r="T912" s="1"/>
      <c r="U912" s="1"/>
      <c r="V912" s="1"/>
      <c r="W912" s="1"/>
      <c r="X912" s="1"/>
      <c r="Y912" s="1"/>
      <c r="Z912" s="1"/>
    </row>
    <row r="913" spans="1:26" ht="12.75">
      <c r="A913" s="1"/>
      <c r="B913" s="1"/>
      <c r="C913" s="20"/>
      <c r="D913" s="1"/>
      <c r="E913" s="1"/>
      <c r="F913" s="20"/>
      <c r="G913" s="1"/>
      <c r="H913" s="1"/>
      <c r="I913" s="1"/>
      <c r="J913" s="1"/>
      <c r="K913" s="1"/>
      <c r="L913" s="1"/>
      <c r="M913" s="1"/>
      <c r="N913" s="1"/>
      <c r="O913" s="1"/>
      <c r="P913" s="1"/>
      <c r="Q913" s="1"/>
      <c r="R913" s="1"/>
      <c r="S913" s="1"/>
      <c r="T913" s="1"/>
      <c r="U913" s="1"/>
      <c r="V913" s="1"/>
      <c r="W913" s="1"/>
      <c r="X913" s="1"/>
      <c r="Y913" s="1"/>
      <c r="Z913" s="1"/>
    </row>
    <row r="914" spans="1:26" ht="12.75">
      <c r="A914" s="1"/>
      <c r="B914" s="1"/>
      <c r="C914" s="20"/>
      <c r="D914" s="1"/>
      <c r="E914" s="1"/>
      <c r="F914" s="20"/>
      <c r="G914" s="1"/>
      <c r="H914" s="1"/>
      <c r="I914" s="1"/>
      <c r="J914" s="1"/>
      <c r="K914" s="1"/>
      <c r="L914" s="1"/>
      <c r="M914" s="1"/>
      <c r="N914" s="1"/>
      <c r="O914" s="1"/>
      <c r="P914" s="1"/>
      <c r="Q914" s="1"/>
      <c r="R914" s="1"/>
      <c r="S914" s="1"/>
      <c r="T914" s="1"/>
      <c r="U914" s="1"/>
      <c r="V914" s="1"/>
      <c r="W914" s="1"/>
      <c r="X914" s="1"/>
      <c r="Y914" s="1"/>
      <c r="Z914" s="1"/>
    </row>
    <row r="915" spans="1:26" ht="12.75">
      <c r="A915" s="1"/>
      <c r="B915" s="1"/>
      <c r="C915" s="20"/>
      <c r="D915" s="1"/>
      <c r="E915" s="1"/>
      <c r="F915" s="20"/>
      <c r="G915" s="1"/>
      <c r="H915" s="1"/>
      <c r="I915" s="1"/>
      <c r="J915" s="1"/>
      <c r="K915" s="1"/>
      <c r="L915" s="1"/>
      <c r="M915" s="1"/>
      <c r="N915" s="1"/>
      <c r="O915" s="1"/>
      <c r="P915" s="1"/>
      <c r="Q915" s="1"/>
      <c r="R915" s="1"/>
      <c r="S915" s="1"/>
      <c r="T915" s="1"/>
      <c r="U915" s="1"/>
      <c r="V915" s="1"/>
      <c r="W915" s="1"/>
      <c r="X915" s="1"/>
      <c r="Y915" s="1"/>
      <c r="Z915" s="1"/>
    </row>
    <row r="916" spans="1:26" ht="12.75">
      <c r="A916" s="1"/>
      <c r="B916" s="1"/>
      <c r="C916" s="20"/>
      <c r="D916" s="1"/>
      <c r="E916" s="1"/>
      <c r="F916" s="20"/>
      <c r="G916" s="1"/>
      <c r="H916" s="1"/>
      <c r="I916" s="1"/>
      <c r="J916" s="1"/>
      <c r="K916" s="1"/>
      <c r="L916" s="1"/>
      <c r="M916" s="1"/>
      <c r="N916" s="1"/>
      <c r="O916" s="1"/>
      <c r="P916" s="1"/>
      <c r="Q916" s="1"/>
      <c r="R916" s="1"/>
      <c r="S916" s="1"/>
      <c r="T916" s="1"/>
      <c r="U916" s="1"/>
      <c r="V916" s="1"/>
      <c r="W916" s="1"/>
      <c r="X916" s="1"/>
      <c r="Y916" s="1"/>
      <c r="Z916" s="1"/>
    </row>
    <row r="917" spans="1:26" ht="12.75">
      <c r="A917" s="1"/>
      <c r="B917" s="1"/>
      <c r="C917" s="20"/>
      <c r="D917" s="1"/>
      <c r="E917" s="1"/>
      <c r="F917" s="20"/>
      <c r="G917" s="1"/>
      <c r="H917" s="1"/>
      <c r="I917" s="1"/>
      <c r="J917" s="1"/>
      <c r="K917" s="1"/>
      <c r="L917" s="1"/>
      <c r="M917" s="1"/>
      <c r="N917" s="1"/>
      <c r="O917" s="1"/>
      <c r="P917" s="1"/>
      <c r="Q917" s="1"/>
      <c r="R917" s="1"/>
      <c r="S917" s="1"/>
      <c r="T917" s="1"/>
      <c r="U917" s="1"/>
      <c r="V917" s="1"/>
      <c r="W917" s="1"/>
      <c r="X917" s="1"/>
      <c r="Y917" s="1"/>
      <c r="Z917" s="1"/>
    </row>
    <row r="918" spans="1:26" ht="12.75">
      <c r="A918" s="1"/>
      <c r="B918" s="1"/>
      <c r="C918" s="20"/>
      <c r="D918" s="1"/>
      <c r="E918" s="1"/>
      <c r="F918" s="20"/>
      <c r="G918" s="1"/>
      <c r="H918" s="1"/>
      <c r="I918" s="1"/>
      <c r="J918" s="1"/>
      <c r="K918" s="1"/>
      <c r="L918" s="1"/>
      <c r="M918" s="1"/>
      <c r="N918" s="1"/>
      <c r="O918" s="1"/>
      <c r="P918" s="1"/>
      <c r="Q918" s="1"/>
      <c r="R918" s="1"/>
      <c r="S918" s="1"/>
      <c r="T918" s="1"/>
      <c r="U918" s="1"/>
      <c r="V918" s="1"/>
      <c r="W918" s="1"/>
      <c r="X918" s="1"/>
      <c r="Y918" s="1"/>
      <c r="Z918" s="1"/>
    </row>
    <row r="919" spans="1:26" ht="12.75">
      <c r="A919" s="1"/>
      <c r="B919" s="1"/>
      <c r="C919" s="20"/>
      <c r="D919" s="1"/>
      <c r="E919" s="1"/>
      <c r="F919" s="20"/>
      <c r="G919" s="1"/>
      <c r="H919" s="1"/>
      <c r="I919" s="1"/>
      <c r="J919" s="1"/>
      <c r="K919" s="1"/>
      <c r="L919" s="1"/>
      <c r="M919" s="1"/>
      <c r="N919" s="1"/>
      <c r="O919" s="1"/>
      <c r="P919" s="1"/>
      <c r="Q919" s="1"/>
      <c r="R919" s="1"/>
      <c r="S919" s="1"/>
      <c r="T919" s="1"/>
      <c r="U919" s="1"/>
      <c r="V919" s="1"/>
      <c r="W919" s="1"/>
      <c r="X919" s="1"/>
      <c r="Y919" s="1"/>
      <c r="Z919" s="1"/>
    </row>
    <row r="920" spans="1:26" ht="12.75">
      <c r="A920" s="1"/>
      <c r="B920" s="1"/>
      <c r="C920" s="20"/>
      <c r="D920" s="1"/>
      <c r="E920" s="1"/>
      <c r="F920" s="20"/>
      <c r="G920" s="1"/>
      <c r="H920" s="1"/>
      <c r="I920" s="1"/>
      <c r="J920" s="1"/>
      <c r="K920" s="1"/>
      <c r="L920" s="1"/>
      <c r="M920" s="1"/>
      <c r="N920" s="1"/>
      <c r="O920" s="1"/>
      <c r="P920" s="1"/>
      <c r="Q920" s="1"/>
      <c r="R920" s="1"/>
      <c r="S920" s="1"/>
      <c r="T920" s="1"/>
      <c r="U920" s="1"/>
      <c r="V920" s="1"/>
      <c r="W920" s="1"/>
      <c r="X920" s="1"/>
      <c r="Y920" s="1"/>
      <c r="Z920" s="1"/>
    </row>
    <row r="921" spans="1:26" ht="12.75">
      <c r="A921" s="1"/>
      <c r="B921" s="1"/>
      <c r="C921" s="20"/>
      <c r="D921" s="1"/>
      <c r="E921" s="1"/>
      <c r="F921" s="20"/>
      <c r="G921" s="1"/>
      <c r="H921" s="1"/>
      <c r="I921" s="1"/>
      <c r="J921" s="1"/>
      <c r="K921" s="1"/>
      <c r="L921" s="1"/>
      <c r="M921" s="1"/>
      <c r="N921" s="1"/>
      <c r="O921" s="1"/>
      <c r="P921" s="1"/>
      <c r="Q921" s="1"/>
      <c r="R921" s="1"/>
      <c r="S921" s="1"/>
      <c r="T921" s="1"/>
      <c r="U921" s="1"/>
      <c r="V921" s="1"/>
      <c r="W921" s="1"/>
      <c r="X921" s="1"/>
      <c r="Y921" s="1"/>
      <c r="Z921" s="1"/>
    </row>
    <row r="922" spans="1:26" ht="12.75">
      <c r="A922" s="1"/>
      <c r="B922" s="1"/>
      <c r="C922" s="20"/>
      <c r="D922" s="1"/>
      <c r="E922" s="1"/>
      <c r="F922" s="20"/>
      <c r="G922" s="1"/>
      <c r="H922" s="1"/>
      <c r="I922" s="1"/>
      <c r="J922" s="1"/>
      <c r="K922" s="1"/>
      <c r="L922" s="1"/>
      <c r="M922" s="1"/>
      <c r="N922" s="1"/>
      <c r="O922" s="1"/>
      <c r="P922" s="1"/>
      <c r="Q922" s="1"/>
      <c r="R922" s="1"/>
      <c r="S922" s="1"/>
      <c r="T922" s="1"/>
      <c r="U922" s="1"/>
      <c r="V922" s="1"/>
      <c r="W922" s="1"/>
      <c r="X922" s="1"/>
      <c r="Y922" s="1"/>
      <c r="Z922" s="1"/>
    </row>
    <row r="923" spans="1:26" ht="12.75">
      <c r="A923" s="1"/>
      <c r="B923" s="1"/>
      <c r="C923" s="20"/>
      <c r="D923" s="1"/>
      <c r="E923" s="1"/>
      <c r="F923" s="20"/>
      <c r="G923" s="1"/>
      <c r="H923" s="1"/>
      <c r="I923" s="1"/>
      <c r="J923" s="1"/>
      <c r="K923" s="1"/>
      <c r="L923" s="1"/>
      <c r="M923" s="1"/>
      <c r="N923" s="1"/>
      <c r="O923" s="1"/>
      <c r="P923" s="1"/>
      <c r="Q923" s="1"/>
      <c r="R923" s="1"/>
      <c r="S923" s="1"/>
      <c r="T923" s="1"/>
      <c r="U923" s="1"/>
      <c r="V923" s="1"/>
      <c r="W923" s="1"/>
      <c r="X923" s="1"/>
      <c r="Y923" s="1"/>
      <c r="Z923" s="1"/>
    </row>
    <row r="924" spans="1:26" ht="12.75">
      <c r="A924" s="1"/>
      <c r="B924" s="1"/>
      <c r="C924" s="20"/>
      <c r="D924" s="1"/>
      <c r="E924" s="1"/>
      <c r="F924" s="20"/>
      <c r="G924" s="1"/>
      <c r="H924" s="1"/>
      <c r="I924" s="1"/>
      <c r="J924" s="1"/>
      <c r="K924" s="1"/>
      <c r="L924" s="1"/>
      <c r="M924" s="1"/>
      <c r="N924" s="1"/>
      <c r="O924" s="1"/>
      <c r="P924" s="1"/>
      <c r="Q924" s="1"/>
      <c r="R924" s="1"/>
      <c r="S924" s="1"/>
      <c r="T924" s="1"/>
      <c r="U924" s="1"/>
      <c r="V924" s="1"/>
      <c r="W924" s="1"/>
      <c r="X924" s="1"/>
      <c r="Y924" s="1"/>
      <c r="Z924" s="1"/>
    </row>
    <row r="925" spans="1:26" ht="12.75">
      <c r="A925" s="1"/>
      <c r="B925" s="1"/>
      <c r="C925" s="20"/>
      <c r="D925" s="1"/>
      <c r="E925" s="1"/>
      <c r="F925" s="20"/>
      <c r="G925" s="1"/>
      <c r="H925" s="1"/>
      <c r="I925" s="1"/>
      <c r="J925" s="1"/>
      <c r="K925" s="1"/>
      <c r="L925" s="1"/>
      <c r="M925" s="1"/>
      <c r="N925" s="1"/>
      <c r="O925" s="1"/>
      <c r="P925" s="1"/>
      <c r="Q925" s="1"/>
      <c r="R925" s="1"/>
      <c r="S925" s="1"/>
      <c r="T925" s="1"/>
      <c r="U925" s="1"/>
      <c r="V925" s="1"/>
      <c r="W925" s="1"/>
      <c r="X925" s="1"/>
      <c r="Y925" s="1"/>
      <c r="Z925" s="1"/>
    </row>
    <row r="926" spans="1:26" ht="12.75">
      <c r="A926" s="1"/>
      <c r="B926" s="1"/>
      <c r="C926" s="20"/>
      <c r="D926" s="1"/>
      <c r="E926" s="1"/>
      <c r="F926" s="20"/>
      <c r="G926" s="1"/>
      <c r="H926" s="1"/>
      <c r="I926" s="1"/>
      <c r="J926" s="1"/>
      <c r="K926" s="1"/>
      <c r="L926" s="1"/>
      <c r="M926" s="1"/>
      <c r="N926" s="1"/>
      <c r="O926" s="1"/>
      <c r="P926" s="1"/>
      <c r="Q926" s="1"/>
      <c r="R926" s="1"/>
      <c r="S926" s="1"/>
      <c r="T926" s="1"/>
      <c r="U926" s="1"/>
      <c r="V926" s="1"/>
      <c r="W926" s="1"/>
      <c r="X926" s="1"/>
      <c r="Y926" s="1"/>
      <c r="Z926" s="1"/>
    </row>
    <row r="927" spans="1:26" ht="12.75">
      <c r="A927" s="1"/>
      <c r="B927" s="1"/>
      <c r="C927" s="20"/>
      <c r="D927" s="1"/>
      <c r="E927" s="1"/>
      <c r="F927" s="20"/>
      <c r="G927" s="1"/>
      <c r="H927" s="1"/>
      <c r="I927" s="1"/>
      <c r="J927" s="1"/>
      <c r="K927" s="1"/>
      <c r="L927" s="1"/>
      <c r="M927" s="1"/>
      <c r="N927" s="1"/>
      <c r="O927" s="1"/>
      <c r="P927" s="1"/>
      <c r="Q927" s="1"/>
      <c r="R927" s="1"/>
      <c r="S927" s="1"/>
      <c r="T927" s="1"/>
      <c r="U927" s="1"/>
      <c r="V927" s="1"/>
      <c r="W927" s="1"/>
      <c r="X927" s="1"/>
      <c r="Y927" s="1"/>
      <c r="Z927" s="1"/>
    </row>
    <row r="928" spans="1:26" ht="12.75">
      <c r="A928" s="1"/>
      <c r="B928" s="1"/>
      <c r="C928" s="20"/>
      <c r="D928" s="1"/>
      <c r="E928" s="1"/>
      <c r="F928" s="20"/>
      <c r="G928" s="1"/>
      <c r="H928" s="1"/>
      <c r="I928" s="1"/>
      <c r="J928" s="1"/>
      <c r="K928" s="1"/>
      <c r="L928" s="1"/>
      <c r="M928" s="1"/>
      <c r="N928" s="1"/>
      <c r="O928" s="1"/>
      <c r="P928" s="1"/>
      <c r="Q928" s="1"/>
      <c r="R928" s="1"/>
      <c r="S928" s="1"/>
      <c r="T928" s="1"/>
      <c r="U928" s="1"/>
      <c r="V928" s="1"/>
      <c r="W928" s="1"/>
      <c r="X928" s="1"/>
      <c r="Y928" s="1"/>
      <c r="Z928" s="1"/>
    </row>
    <row r="929" spans="1:26" ht="12.75">
      <c r="A929" s="1"/>
      <c r="B929" s="1"/>
      <c r="C929" s="20"/>
      <c r="D929" s="1"/>
      <c r="E929" s="1"/>
      <c r="F929" s="20"/>
      <c r="G929" s="1"/>
      <c r="H929" s="1"/>
      <c r="I929" s="1"/>
      <c r="J929" s="1"/>
      <c r="K929" s="1"/>
      <c r="L929" s="1"/>
      <c r="M929" s="1"/>
      <c r="N929" s="1"/>
      <c r="O929" s="1"/>
      <c r="P929" s="1"/>
      <c r="Q929" s="1"/>
      <c r="R929" s="1"/>
      <c r="S929" s="1"/>
      <c r="T929" s="1"/>
      <c r="U929" s="1"/>
      <c r="V929" s="1"/>
      <c r="W929" s="1"/>
      <c r="X929" s="1"/>
      <c r="Y929" s="1"/>
      <c r="Z929" s="1"/>
    </row>
    <row r="930" spans="1:26" ht="12.75">
      <c r="A930" s="1"/>
      <c r="B930" s="1"/>
      <c r="C930" s="20"/>
      <c r="D930" s="1"/>
      <c r="E930" s="1"/>
      <c r="F930" s="20"/>
      <c r="G930" s="1"/>
      <c r="H930" s="1"/>
      <c r="I930" s="1"/>
      <c r="J930" s="1"/>
      <c r="K930" s="1"/>
      <c r="L930" s="1"/>
      <c r="M930" s="1"/>
      <c r="N930" s="1"/>
      <c r="O930" s="1"/>
      <c r="P930" s="1"/>
      <c r="Q930" s="1"/>
      <c r="R930" s="1"/>
      <c r="S930" s="1"/>
      <c r="T930" s="1"/>
      <c r="U930" s="1"/>
      <c r="V930" s="1"/>
      <c r="W930" s="1"/>
      <c r="X930" s="1"/>
      <c r="Y930" s="1"/>
      <c r="Z930" s="1"/>
    </row>
    <row r="931" spans="1:26" ht="12.75">
      <c r="A931" s="1"/>
      <c r="B931" s="1"/>
      <c r="C931" s="20"/>
      <c r="D931" s="1"/>
      <c r="E931" s="1"/>
      <c r="F931" s="20"/>
      <c r="G931" s="1"/>
      <c r="H931" s="1"/>
      <c r="I931" s="1"/>
      <c r="J931" s="1"/>
      <c r="K931" s="1"/>
      <c r="L931" s="1"/>
      <c r="M931" s="1"/>
      <c r="N931" s="1"/>
      <c r="O931" s="1"/>
      <c r="P931" s="1"/>
      <c r="Q931" s="1"/>
      <c r="R931" s="1"/>
      <c r="S931" s="1"/>
      <c r="T931" s="1"/>
      <c r="U931" s="1"/>
      <c r="V931" s="1"/>
      <c r="W931" s="1"/>
      <c r="X931" s="1"/>
      <c r="Y931" s="1"/>
      <c r="Z931" s="1"/>
    </row>
    <row r="932" spans="1:26" ht="12.75">
      <c r="A932" s="1"/>
      <c r="B932" s="1"/>
      <c r="C932" s="20"/>
      <c r="D932" s="1"/>
      <c r="E932" s="1"/>
      <c r="F932" s="20"/>
      <c r="G932" s="1"/>
      <c r="H932" s="1"/>
      <c r="I932" s="1"/>
      <c r="J932" s="1"/>
      <c r="K932" s="1"/>
      <c r="L932" s="1"/>
      <c r="M932" s="1"/>
      <c r="N932" s="1"/>
      <c r="O932" s="1"/>
      <c r="P932" s="1"/>
      <c r="Q932" s="1"/>
      <c r="R932" s="1"/>
      <c r="S932" s="1"/>
      <c r="T932" s="1"/>
      <c r="U932" s="1"/>
      <c r="V932" s="1"/>
      <c r="W932" s="1"/>
      <c r="X932" s="1"/>
      <c r="Y932" s="1"/>
      <c r="Z932" s="1"/>
    </row>
    <row r="933" spans="1:26" ht="12.75">
      <c r="A933" s="1"/>
      <c r="B933" s="1"/>
      <c r="C933" s="20"/>
      <c r="D933" s="1"/>
      <c r="E933" s="1"/>
      <c r="F933" s="20"/>
      <c r="G933" s="1"/>
      <c r="H933" s="1"/>
      <c r="I933" s="1"/>
      <c r="J933" s="1"/>
      <c r="K933" s="1"/>
      <c r="L933" s="1"/>
      <c r="M933" s="1"/>
      <c r="N933" s="1"/>
      <c r="O933" s="1"/>
      <c r="P933" s="1"/>
      <c r="Q933" s="1"/>
      <c r="R933" s="1"/>
      <c r="S933" s="1"/>
      <c r="T933" s="1"/>
      <c r="U933" s="1"/>
      <c r="V933" s="1"/>
      <c r="W933" s="1"/>
      <c r="X933" s="1"/>
      <c r="Y933" s="1"/>
      <c r="Z933" s="1"/>
    </row>
    <row r="934" spans="1:26" ht="12.75">
      <c r="A934" s="1"/>
      <c r="B934" s="1"/>
      <c r="C934" s="20"/>
      <c r="D934" s="1"/>
      <c r="E934" s="1"/>
      <c r="F934" s="20"/>
      <c r="G934" s="1"/>
      <c r="H934" s="1"/>
      <c r="I934" s="1"/>
      <c r="J934" s="1"/>
      <c r="K934" s="1"/>
      <c r="L934" s="1"/>
      <c r="M934" s="1"/>
      <c r="N934" s="1"/>
      <c r="O934" s="1"/>
      <c r="P934" s="1"/>
      <c r="Q934" s="1"/>
      <c r="R934" s="1"/>
      <c r="S934" s="1"/>
      <c r="T934" s="1"/>
      <c r="U934" s="1"/>
      <c r="V934" s="1"/>
      <c r="W934" s="1"/>
      <c r="X934" s="1"/>
      <c r="Y934" s="1"/>
      <c r="Z934" s="1"/>
    </row>
    <row r="935" spans="1:26" ht="12.75">
      <c r="A935" s="1"/>
      <c r="B935" s="1"/>
      <c r="C935" s="20"/>
      <c r="D935" s="1"/>
      <c r="E935" s="1"/>
      <c r="F935" s="20"/>
      <c r="G935" s="1"/>
      <c r="H935" s="1"/>
      <c r="I935" s="1"/>
      <c r="J935" s="1"/>
      <c r="K935" s="1"/>
      <c r="L935" s="1"/>
      <c r="M935" s="1"/>
      <c r="N935" s="1"/>
      <c r="O935" s="1"/>
      <c r="P935" s="1"/>
      <c r="Q935" s="1"/>
      <c r="R935" s="1"/>
      <c r="S935" s="1"/>
      <c r="T935" s="1"/>
      <c r="U935" s="1"/>
      <c r="V935" s="1"/>
      <c r="W935" s="1"/>
      <c r="X935" s="1"/>
      <c r="Y935" s="1"/>
      <c r="Z935" s="1"/>
    </row>
    <row r="936" spans="1:26" ht="12.75">
      <c r="A936" s="1"/>
      <c r="B936" s="1"/>
      <c r="C936" s="20"/>
      <c r="D936" s="1"/>
      <c r="E936" s="1"/>
      <c r="F936" s="20"/>
      <c r="G936" s="1"/>
      <c r="H936" s="1"/>
      <c r="I936" s="1"/>
      <c r="J936" s="1"/>
      <c r="K936" s="1"/>
      <c r="L936" s="1"/>
      <c r="M936" s="1"/>
      <c r="N936" s="1"/>
      <c r="O936" s="1"/>
      <c r="P936" s="1"/>
      <c r="Q936" s="1"/>
      <c r="R936" s="1"/>
      <c r="S936" s="1"/>
      <c r="T936" s="1"/>
      <c r="U936" s="1"/>
      <c r="V936" s="1"/>
      <c r="W936" s="1"/>
      <c r="X936" s="1"/>
      <c r="Y936" s="1"/>
      <c r="Z936" s="1"/>
    </row>
    <row r="937" spans="1:26" ht="12.75">
      <c r="A937" s="1"/>
      <c r="B937" s="1"/>
      <c r="C937" s="20"/>
      <c r="D937" s="1"/>
      <c r="E937" s="1"/>
      <c r="F937" s="20"/>
      <c r="G937" s="1"/>
      <c r="H937" s="1"/>
      <c r="I937" s="1"/>
      <c r="J937" s="1"/>
      <c r="K937" s="1"/>
      <c r="L937" s="1"/>
      <c r="M937" s="1"/>
      <c r="N937" s="1"/>
      <c r="O937" s="1"/>
      <c r="P937" s="1"/>
      <c r="Q937" s="1"/>
      <c r="R937" s="1"/>
      <c r="S937" s="1"/>
      <c r="T937" s="1"/>
      <c r="U937" s="1"/>
      <c r="V937" s="1"/>
      <c r="W937" s="1"/>
      <c r="X937" s="1"/>
      <c r="Y937" s="1"/>
      <c r="Z937" s="1"/>
    </row>
    <row r="938" spans="1:26" ht="12.75">
      <c r="A938" s="1"/>
      <c r="B938" s="1"/>
      <c r="C938" s="20"/>
      <c r="D938" s="1"/>
      <c r="E938" s="1"/>
      <c r="F938" s="20"/>
      <c r="G938" s="1"/>
      <c r="H938" s="1"/>
      <c r="I938" s="1"/>
      <c r="J938" s="1"/>
      <c r="K938" s="1"/>
      <c r="L938" s="1"/>
      <c r="M938" s="1"/>
      <c r="N938" s="1"/>
      <c r="O938" s="1"/>
      <c r="P938" s="1"/>
      <c r="Q938" s="1"/>
      <c r="R938" s="1"/>
      <c r="S938" s="1"/>
      <c r="T938" s="1"/>
      <c r="U938" s="1"/>
      <c r="V938" s="1"/>
      <c r="W938" s="1"/>
      <c r="X938" s="1"/>
      <c r="Y938" s="1"/>
      <c r="Z938" s="1"/>
    </row>
    <row r="939" spans="1:26" ht="12.75">
      <c r="A939" s="1"/>
      <c r="B939" s="1"/>
      <c r="C939" s="20"/>
      <c r="D939" s="1"/>
      <c r="E939" s="1"/>
      <c r="F939" s="20"/>
      <c r="G939" s="1"/>
      <c r="H939" s="1"/>
      <c r="I939" s="1"/>
      <c r="J939" s="1"/>
      <c r="K939" s="1"/>
      <c r="L939" s="1"/>
      <c r="M939" s="1"/>
      <c r="N939" s="1"/>
      <c r="O939" s="1"/>
      <c r="P939" s="1"/>
      <c r="Q939" s="1"/>
      <c r="R939" s="1"/>
      <c r="S939" s="1"/>
      <c r="T939" s="1"/>
      <c r="U939" s="1"/>
      <c r="V939" s="1"/>
      <c r="W939" s="1"/>
      <c r="X939" s="1"/>
      <c r="Y939" s="1"/>
      <c r="Z939" s="1"/>
    </row>
    <row r="940" spans="1:26" ht="12.75">
      <c r="A940" s="1"/>
      <c r="B940" s="1"/>
      <c r="C940" s="20"/>
      <c r="D940" s="1"/>
      <c r="E940" s="1"/>
      <c r="F940" s="20"/>
      <c r="G940" s="1"/>
      <c r="H940" s="1"/>
      <c r="I940" s="1"/>
      <c r="J940" s="1"/>
      <c r="K940" s="1"/>
      <c r="L940" s="1"/>
      <c r="M940" s="1"/>
      <c r="N940" s="1"/>
      <c r="O940" s="1"/>
      <c r="P940" s="1"/>
      <c r="Q940" s="1"/>
      <c r="R940" s="1"/>
      <c r="S940" s="1"/>
      <c r="T940" s="1"/>
      <c r="U940" s="1"/>
      <c r="V940" s="1"/>
      <c r="W940" s="1"/>
      <c r="X940" s="1"/>
      <c r="Y940" s="1"/>
      <c r="Z940" s="1"/>
    </row>
    <row r="941" spans="1:26" ht="12.75">
      <c r="A941" s="1"/>
      <c r="B941" s="1"/>
      <c r="C941" s="20"/>
      <c r="D941" s="1"/>
      <c r="E941" s="1"/>
      <c r="F941" s="20"/>
      <c r="G941" s="1"/>
      <c r="H941" s="1"/>
      <c r="I941" s="1"/>
      <c r="J941" s="1"/>
      <c r="K941" s="1"/>
      <c r="L941" s="1"/>
      <c r="M941" s="1"/>
      <c r="N941" s="1"/>
      <c r="O941" s="1"/>
      <c r="P941" s="1"/>
      <c r="Q941" s="1"/>
      <c r="R941" s="1"/>
      <c r="S941" s="1"/>
      <c r="T941" s="1"/>
      <c r="U941" s="1"/>
      <c r="V941" s="1"/>
      <c r="W941" s="1"/>
      <c r="X941" s="1"/>
      <c r="Y941" s="1"/>
      <c r="Z941" s="1"/>
    </row>
    <row r="942" spans="1:26" ht="12.75">
      <c r="A942" s="1"/>
      <c r="B942" s="1"/>
      <c r="C942" s="20"/>
      <c r="D942" s="1"/>
      <c r="E942" s="1"/>
      <c r="F942" s="20"/>
      <c r="G942" s="1"/>
      <c r="H942" s="1"/>
      <c r="I942" s="1"/>
      <c r="J942" s="1"/>
      <c r="K942" s="1"/>
      <c r="L942" s="1"/>
      <c r="M942" s="1"/>
      <c r="N942" s="1"/>
      <c r="O942" s="1"/>
      <c r="P942" s="1"/>
      <c r="Q942" s="1"/>
      <c r="R942" s="1"/>
      <c r="S942" s="1"/>
      <c r="T942" s="1"/>
      <c r="U942" s="1"/>
      <c r="V942" s="1"/>
      <c r="W942" s="1"/>
      <c r="X942" s="1"/>
      <c r="Y942" s="1"/>
      <c r="Z942" s="1"/>
    </row>
    <row r="943" spans="1:26" ht="12.75">
      <c r="A943" s="1"/>
      <c r="B943" s="1"/>
      <c r="C943" s="20"/>
      <c r="D943" s="1"/>
      <c r="E943" s="1"/>
      <c r="F943" s="20"/>
      <c r="G943" s="1"/>
      <c r="H943" s="1"/>
      <c r="I943" s="1"/>
      <c r="J943" s="1"/>
      <c r="K943" s="1"/>
      <c r="L943" s="1"/>
      <c r="M943" s="1"/>
      <c r="N943" s="1"/>
      <c r="O943" s="1"/>
      <c r="P943" s="1"/>
      <c r="Q943" s="1"/>
      <c r="R943" s="1"/>
      <c r="S943" s="1"/>
      <c r="T943" s="1"/>
      <c r="U943" s="1"/>
      <c r="V943" s="1"/>
      <c r="W943" s="1"/>
      <c r="X943" s="1"/>
      <c r="Y943" s="1"/>
      <c r="Z943" s="1"/>
    </row>
    <row r="944" spans="1:26" ht="12.75">
      <c r="A944" s="1"/>
      <c r="B944" s="1"/>
      <c r="C944" s="20"/>
      <c r="D944" s="1"/>
      <c r="E944" s="1"/>
      <c r="F944" s="20"/>
      <c r="G944" s="1"/>
      <c r="H944" s="1"/>
      <c r="I944" s="1"/>
      <c r="J944" s="1"/>
      <c r="K944" s="1"/>
      <c r="L944" s="1"/>
      <c r="M944" s="1"/>
      <c r="N944" s="1"/>
      <c r="O944" s="1"/>
      <c r="P944" s="1"/>
      <c r="Q944" s="1"/>
      <c r="R944" s="1"/>
      <c r="S944" s="1"/>
      <c r="T944" s="1"/>
      <c r="U944" s="1"/>
      <c r="V944" s="1"/>
      <c r="W944" s="1"/>
      <c r="X944" s="1"/>
      <c r="Y944" s="1"/>
      <c r="Z944" s="1"/>
    </row>
    <row r="945" spans="1:26" ht="12.75">
      <c r="A945" s="1"/>
      <c r="B945" s="1"/>
      <c r="C945" s="20"/>
      <c r="D945" s="1"/>
      <c r="E945" s="1"/>
      <c r="F945" s="20"/>
      <c r="G945" s="1"/>
      <c r="H945" s="1"/>
      <c r="I945" s="1"/>
      <c r="J945" s="1"/>
      <c r="K945" s="1"/>
      <c r="L945" s="1"/>
      <c r="M945" s="1"/>
      <c r="N945" s="1"/>
      <c r="O945" s="1"/>
      <c r="P945" s="1"/>
      <c r="Q945" s="1"/>
      <c r="R945" s="1"/>
      <c r="S945" s="1"/>
      <c r="T945" s="1"/>
      <c r="U945" s="1"/>
      <c r="V945" s="1"/>
      <c r="W945" s="1"/>
      <c r="X945" s="1"/>
      <c r="Y945" s="1"/>
      <c r="Z945" s="1"/>
    </row>
    <row r="946" spans="1:26" ht="12.75">
      <c r="A946" s="1"/>
      <c r="B946" s="1"/>
      <c r="C946" s="20"/>
      <c r="D946" s="1"/>
      <c r="E946" s="1"/>
      <c r="F946" s="20"/>
      <c r="G946" s="1"/>
      <c r="H946" s="1"/>
      <c r="I946" s="1"/>
      <c r="J946" s="1"/>
      <c r="K946" s="1"/>
      <c r="L946" s="1"/>
      <c r="M946" s="1"/>
      <c r="N946" s="1"/>
      <c r="O946" s="1"/>
      <c r="P946" s="1"/>
      <c r="Q946" s="1"/>
      <c r="R946" s="1"/>
      <c r="S946" s="1"/>
      <c r="T946" s="1"/>
      <c r="U946" s="1"/>
      <c r="V946" s="1"/>
      <c r="W946" s="1"/>
      <c r="X946" s="1"/>
      <c r="Y946" s="1"/>
      <c r="Z946" s="1"/>
    </row>
    <row r="947" spans="1:26" ht="12.75">
      <c r="A947" s="1"/>
      <c r="B947" s="1"/>
      <c r="C947" s="20"/>
      <c r="D947" s="1"/>
      <c r="E947" s="1"/>
      <c r="F947" s="20"/>
      <c r="G947" s="1"/>
      <c r="H947" s="1"/>
      <c r="I947" s="1"/>
      <c r="J947" s="1"/>
      <c r="K947" s="1"/>
      <c r="L947" s="1"/>
      <c r="M947" s="1"/>
      <c r="N947" s="1"/>
      <c r="O947" s="1"/>
      <c r="P947" s="1"/>
      <c r="Q947" s="1"/>
      <c r="R947" s="1"/>
      <c r="S947" s="1"/>
      <c r="T947" s="1"/>
      <c r="U947" s="1"/>
      <c r="V947" s="1"/>
      <c r="W947" s="1"/>
      <c r="X947" s="1"/>
      <c r="Y947" s="1"/>
      <c r="Z947" s="1"/>
    </row>
    <row r="948" spans="1:26" ht="12.75">
      <c r="A948" s="1"/>
      <c r="B948" s="1"/>
      <c r="C948" s="20"/>
      <c r="D948" s="1"/>
      <c r="E948" s="1"/>
      <c r="F948" s="20"/>
      <c r="G948" s="1"/>
      <c r="H948" s="1"/>
      <c r="I948" s="1"/>
      <c r="J948" s="1"/>
      <c r="K948" s="1"/>
      <c r="L948" s="1"/>
      <c r="M948" s="1"/>
      <c r="N948" s="1"/>
      <c r="O948" s="1"/>
      <c r="P948" s="1"/>
      <c r="Q948" s="1"/>
      <c r="R948" s="1"/>
      <c r="S948" s="1"/>
      <c r="T948" s="1"/>
      <c r="U948" s="1"/>
      <c r="V948" s="1"/>
      <c r="W948" s="1"/>
      <c r="X948" s="1"/>
      <c r="Y948" s="1"/>
      <c r="Z948" s="1"/>
    </row>
    <row r="949" spans="1:26" ht="12.75">
      <c r="A949" s="1"/>
      <c r="B949" s="1"/>
      <c r="C949" s="20"/>
      <c r="D949" s="1"/>
      <c r="E949" s="1"/>
      <c r="F949" s="20"/>
      <c r="G949" s="1"/>
      <c r="H949" s="1"/>
      <c r="I949" s="1"/>
      <c r="J949" s="1"/>
      <c r="K949" s="1"/>
      <c r="L949" s="1"/>
      <c r="M949" s="1"/>
      <c r="N949" s="1"/>
      <c r="O949" s="1"/>
      <c r="P949" s="1"/>
      <c r="Q949" s="1"/>
      <c r="R949" s="1"/>
      <c r="S949" s="1"/>
      <c r="T949" s="1"/>
      <c r="U949" s="1"/>
      <c r="V949" s="1"/>
      <c r="W949" s="1"/>
      <c r="X949" s="1"/>
      <c r="Y949" s="1"/>
      <c r="Z949" s="1"/>
    </row>
    <row r="950" spans="1:26" ht="12.75">
      <c r="A950" s="1"/>
      <c r="B950" s="1"/>
      <c r="C950" s="20"/>
      <c r="D950" s="1"/>
      <c r="E950" s="1"/>
      <c r="F950" s="20"/>
      <c r="G950" s="1"/>
      <c r="H950" s="1"/>
      <c r="I950" s="1"/>
      <c r="J950" s="1"/>
      <c r="K950" s="1"/>
      <c r="L950" s="1"/>
      <c r="M950" s="1"/>
      <c r="N950" s="1"/>
      <c r="O950" s="1"/>
      <c r="P950" s="1"/>
      <c r="Q950" s="1"/>
      <c r="R950" s="1"/>
      <c r="S950" s="1"/>
      <c r="T950" s="1"/>
      <c r="U950" s="1"/>
      <c r="V950" s="1"/>
      <c r="W950" s="1"/>
      <c r="X950" s="1"/>
      <c r="Y950" s="1"/>
      <c r="Z950" s="1"/>
    </row>
    <row r="951" spans="1:26" ht="12.75">
      <c r="A951" s="1"/>
      <c r="B951" s="1"/>
      <c r="C951" s="20"/>
      <c r="D951" s="1"/>
      <c r="E951" s="1"/>
      <c r="F951" s="20"/>
      <c r="G951" s="1"/>
      <c r="H951" s="1"/>
      <c r="I951" s="1"/>
      <c r="J951" s="1"/>
      <c r="K951" s="1"/>
      <c r="L951" s="1"/>
      <c r="M951" s="1"/>
      <c r="N951" s="1"/>
      <c r="O951" s="1"/>
      <c r="P951" s="1"/>
      <c r="Q951" s="1"/>
      <c r="R951" s="1"/>
      <c r="S951" s="1"/>
      <c r="T951" s="1"/>
      <c r="U951" s="1"/>
      <c r="V951" s="1"/>
      <c r="W951" s="1"/>
      <c r="X951" s="1"/>
      <c r="Y951" s="1"/>
      <c r="Z951" s="1"/>
    </row>
    <row r="952" spans="1:26" ht="12.75">
      <c r="A952" s="1"/>
      <c r="B952" s="1"/>
      <c r="C952" s="20"/>
      <c r="D952" s="1"/>
      <c r="E952" s="1"/>
      <c r="F952" s="20"/>
      <c r="G952" s="1"/>
      <c r="H952" s="1"/>
      <c r="I952" s="1"/>
      <c r="J952" s="1"/>
      <c r="K952" s="1"/>
      <c r="L952" s="1"/>
      <c r="M952" s="1"/>
      <c r="N952" s="1"/>
      <c r="O952" s="1"/>
      <c r="P952" s="1"/>
      <c r="Q952" s="1"/>
      <c r="R952" s="1"/>
      <c r="S952" s="1"/>
      <c r="T952" s="1"/>
      <c r="U952" s="1"/>
      <c r="V952" s="1"/>
      <c r="W952" s="1"/>
      <c r="X952" s="1"/>
      <c r="Y952" s="1"/>
      <c r="Z952" s="1"/>
    </row>
    <row r="953" spans="1:26" ht="12.75">
      <c r="A953" s="1"/>
      <c r="B953" s="1"/>
      <c r="C953" s="20"/>
      <c r="D953" s="1"/>
      <c r="E953" s="1"/>
      <c r="F953" s="20"/>
      <c r="G953" s="1"/>
      <c r="H953" s="1"/>
      <c r="I953" s="1"/>
      <c r="J953" s="1"/>
      <c r="K953" s="1"/>
      <c r="L953" s="1"/>
      <c r="M953" s="1"/>
      <c r="N953" s="1"/>
      <c r="O953" s="1"/>
      <c r="P953" s="1"/>
      <c r="Q953" s="1"/>
      <c r="R953" s="1"/>
      <c r="S953" s="1"/>
      <c r="T953" s="1"/>
      <c r="U953" s="1"/>
      <c r="V953" s="1"/>
      <c r="W953" s="1"/>
      <c r="X953" s="1"/>
      <c r="Y953" s="1"/>
      <c r="Z953" s="1"/>
    </row>
    <row r="954" spans="1:26" ht="12.75">
      <c r="A954" s="1"/>
      <c r="B954" s="1"/>
      <c r="C954" s="20"/>
      <c r="D954" s="1"/>
      <c r="E954" s="1"/>
      <c r="F954" s="20"/>
      <c r="G954" s="1"/>
      <c r="H954" s="1"/>
      <c r="I954" s="1"/>
      <c r="J954" s="1"/>
      <c r="K954" s="1"/>
      <c r="L954" s="1"/>
      <c r="M954" s="1"/>
      <c r="N954" s="1"/>
      <c r="O954" s="1"/>
      <c r="P954" s="1"/>
      <c r="Q954" s="1"/>
      <c r="R954" s="1"/>
      <c r="S954" s="1"/>
      <c r="T954" s="1"/>
      <c r="U954" s="1"/>
      <c r="V954" s="1"/>
      <c r="W954" s="1"/>
      <c r="X954" s="1"/>
      <c r="Y954" s="1"/>
      <c r="Z954" s="1"/>
    </row>
    <row r="955" spans="1:26" ht="12.75">
      <c r="A955" s="1"/>
      <c r="B955" s="1"/>
      <c r="C955" s="20"/>
      <c r="D955" s="1"/>
      <c r="E955" s="1"/>
      <c r="F955" s="20"/>
      <c r="G955" s="1"/>
      <c r="H955" s="1"/>
      <c r="I955" s="1"/>
      <c r="J955" s="1"/>
      <c r="K955" s="1"/>
      <c r="L955" s="1"/>
      <c r="M955" s="1"/>
      <c r="N955" s="1"/>
      <c r="O955" s="1"/>
      <c r="P955" s="1"/>
      <c r="Q955" s="1"/>
      <c r="R955" s="1"/>
      <c r="S955" s="1"/>
      <c r="T955" s="1"/>
      <c r="U955" s="1"/>
      <c r="V955" s="1"/>
      <c r="W955" s="1"/>
      <c r="X955" s="1"/>
      <c r="Y955" s="1"/>
      <c r="Z955" s="1"/>
    </row>
    <row r="956" spans="1:26" ht="12.75">
      <c r="A956" s="1"/>
      <c r="B956" s="1"/>
      <c r="C956" s="20"/>
      <c r="D956" s="1"/>
      <c r="E956" s="1"/>
      <c r="F956" s="20"/>
      <c r="G956" s="1"/>
      <c r="H956" s="1"/>
      <c r="I956" s="1"/>
      <c r="J956" s="1"/>
      <c r="K956" s="1"/>
      <c r="L956" s="1"/>
      <c r="M956" s="1"/>
      <c r="N956" s="1"/>
      <c r="O956" s="1"/>
      <c r="P956" s="1"/>
      <c r="Q956" s="1"/>
      <c r="R956" s="1"/>
      <c r="S956" s="1"/>
      <c r="T956" s="1"/>
      <c r="U956" s="1"/>
      <c r="V956" s="1"/>
      <c r="W956" s="1"/>
      <c r="X956" s="1"/>
      <c r="Y956" s="1"/>
      <c r="Z956" s="1"/>
    </row>
    <row r="957" spans="1:26" ht="12.75">
      <c r="A957" s="1"/>
      <c r="B957" s="1"/>
      <c r="C957" s="20"/>
      <c r="D957" s="1"/>
      <c r="E957" s="1"/>
      <c r="F957" s="20"/>
      <c r="G957" s="1"/>
      <c r="H957" s="1"/>
      <c r="I957" s="1"/>
      <c r="J957" s="1"/>
      <c r="K957" s="1"/>
      <c r="L957" s="1"/>
      <c r="M957" s="1"/>
      <c r="N957" s="1"/>
      <c r="O957" s="1"/>
      <c r="P957" s="1"/>
      <c r="Q957" s="1"/>
      <c r="R957" s="1"/>
      <c r="S957" s="1"/>
      <c r="T957" s="1"/>
      <c r="U957" s="1"/>
      <c r="V957" s="1"/>
      <c r="W957" s="1"/>
      <c r="X957" s="1"/>
      <c r="Y957" s="1"/>
      <c r="Z957" s="1"/>
    </row>
    <row r="958" spans="1:26" ht="12.75">
      <c r="A958" s="1"/>
      <c r="B958" s="1"/>
      <c r="C958" s="20"/>
      <c r="D958" s="1"/>
      <c r="E958" s="1"/>
      <c r="F958" s="20"/>
      <c r="G958" s="1"/>
      <c r="H958" s="1"/>
      <c r="I958" s="1"/>
      <c r="J958" s="1"/>
      <c r="K958" s="1"/>
      <c r="L958" s="1"/>
      <c r="M958" s="1"/>
      <c r="N958" s="1"/>
      <c r="O958" s="1"/>
      <c r="P958" s="1"/>
      <c r="Q958" s="1"/>
      <c r="R958" s="1"/>
      <c r="S958" s="1"/>
      <c r="T958" s="1"/>
      <c r="U958" s="1"/>
      <c r="V958" s="1"/>
      <c r="W958" s="1"/>
      <c r="X958" s="1"/>
      <c r="Y958" s="1"/>
      <c r="Z958" s="1"/>
    </row>
    <row r="959" spans="1:26" ht="12.75">
      <c r="A959" s="1"/>
      <c r="B959" s="1"/>
      <c r="C959" s="20"/>
      <c r="D959" s="1"/>
      <c r="E959" s="1"/>
      <c r="F959" s="20"/>
      <c r="G959" s="1"/>
      <c r="H959" s="1"/>
      <c r="I959" s="1"/>
      <c r="J959" s="1"/>
      <c r="K959" s="1"/>
      <c r="L959" s="1"/>
      <c r="M959" s="1"/>
      <c r="N959" s="1"/>
      <c r="O959" s="1"/>
      <c r="P959" s="1"/>
      <c r="Q959" s="1"/>
      <c r="R959" s="1"/>
      <c r="S959" s="1"/>
      <c r="T959" s="1"/>
      <c r="U959" s="1"/>
      <c r="V959" s="1"/>
      <c r="W959" s="1"/>
      <c r="X959" s="1"/>
      <c r="Y959" s="1"/>
      <c r="Z959" s="1"/>
    </row>
    <row r="960" spans="1:26" ht="12.75">
      <c r="A960" s="1"/>
      <c r="B960" s="1"/>
      <c r="C960" s="20"/>
      <c r="D960" s="1"/>
      <c r="E960" s="1"/>
      <c r="F960" s="20"/>
      <c r="G960" s="1"/>
      <c r="H960" s="1"/>
      <c r="I960" s="1"/>
      <c r="J960" s="1"/>
      <c r="K960" s="1"/>
      <c r="L960" s="1"/>
      <c r="M960" s="1"/>
      <c r="N960" s="1"/>
      <c r="O960" s="1"/>
      <c r="P960" s="1"/>
      <c r="Q960" s="1"/>
      <c r="R960" s="1"/>
      <c r="S960" s="1"/>
      <c r="T960" s="1"/>
      <c r="U960" s="1"/>
      <c r="V960" s="1"/>
      <c r="W960" s="1"/>
      <c r="X960" s="1"/>
      <c r="Y960" s="1"/>
      <c r="Z960" s="1"/>
    </row>
    <row r="961" spans="1:26" ht="12.75">
      <c r="A961" s="1"/>
      <c r="B961" s="1"/>
      <c r="C961" s="20"/>
      <c r="D961" s="1"/>
      <c r="E961" s="1"/>
      <c r="F961" s="20"/>
      <c r="G961" s="1"/>
      <c r="H961" s="1"/>
      <c r="I961" s="1"/>
      <c r="J961" s="1"/>
      <c r="K961" s="1"/>
      <c r="L961" s="1"/>
      <c r="M961" s="1"/>
      <c r="N961" s="1"/>
      <c r="O961" s="1"/>
      <c r="P961" s="1"/>
      <c r="Q961" s="1"/>
      <c r="R961" s="1"/>
      <c r="S961" s="1"/>
      <c r="T961" s="1"/>
      <c r="U961" s="1"/>
      <c r="V961" s="1"/>
      <c r="W961" s="1"/>
      <c r="X961" s="1"/>
      <c r="Y961" s="1"/>
      <c r="Z961" s="1"/>
    </row>
    <row r="962" spans="1:26" ht="12.75">
      <c r="A962" s="1"/>
      <c r="B962" s="1"/>
      <c r="C962" s="20"/>
      <c r="D962" s="1"/>
      <c r="E962" s="1"/>
      <c r="F962" s="20"/>
      <c r="G962" s="1"/>
      <c r="H962" s="1"/>
      <c r="I962" s="1"/>
      <c r="J962" s="1"/>
      <c r="K962" s="1"/>
      <c r="L962" s="1"/>
      <c r="M962" s="1"/>
      <c r="N962" s="1"/>
      <c r="O962" s="1"/>
      <c r="P962" s="1"/>
      <c r="Q962" s="1"/>
      <c r="R962" s="1"/>
      <c r="S962" s="1"/>
      <c r="T962" s="1"/>
      <c r="U962" s="1"/>
      <c r="V962" s="1"/>
      <c r="W962" s="1"/>
      <c r="X962" s="1"/>
      <c r="Y962" s="1"/>
      <c r="Z962" s="1"/>
    </row>
    <row r="963" spans="1:26" ht="12.75">
      <c r="A963" s="1"/>
      <c r="B963" s="1"/>
      <c r="C963" s="20"/>
      <c r="D963" s="1"/>
      <c r="E963" s="1"/>
      <c r="F963" s="20"/>
      <c r="G963" s="1"/>
      <c r="H963" s="1"/>
      <c r="I963" s="1"/>
      <c r="J963" s="1"/>
      <c r="K963" s="1"/>
      <c r="L963" s="1"/>
      <c r="M963" s="1"/>
      <c r="N963" s="1"/>
      <c r="O963" s="1"/>
      <c r="P963" s="1"/>
      <c r="Q963" s="1"/>
      <c r="R963" s="1"/>
      <c r="S963" s="1"/>
      <c r="T963" s="1"/>
      <c r="U963" s="1"/>
      <c r="V963" s="1"/>
      <c r="W963" s="1"/>
      <c r="X963" s="1"/>
      <c r="Y963" s="1"/>
      <c r="Z963" s="1"/>
    </row>
    <row r="964" spans="1:26" ht="12.75">
      <c r="A964" s="1"/>
      <c r="B964" s="1"/>
      <c r="C964" s="20"/>
      <c r="D964" s="1"/>
      <c r="E964" s="1"/>
      <c r="F964" s="20"/>
      <c r="G964" s="1"/>
      <c r="H964" s="1"/>
      <c r="I964" s="1"/>
      <c r="J964" s="1"/>
      <c r="K964" s="1"/>
      <c r="L964" s="1"/>
      <c r="M964" s="1"/>
      <c r="N964" s="1"/>
      <c r="O964" s="1"/>
      <c r="P964" s="1"/>
      <c r="Q964" s="1"/>
      <c r="R964" s="1"/>
      <c r="S964" s="1"/>
      <c r="T964" s="1"/>
      <c r="U964" s="1"/>
      <c r="V964" s="1"/>
      <c r="W964" s="1"/>
      <c r="X964" s="1"/>
      <c r="Y964" s="1"/>
      <c r="Z964" s="1"/>
    </row>
    <row r="965" spans="1:26" ht="12.75">
      <c r="A965" s="1"/>
      <c r="B965" s="1"/>
      <c r="C965" s="20"/>
      <c r="D965" s="1"/>
      <c r="E965" s="1"/>
      <c r="F965" s="20"/>
      <c r="G965" s="1"/>
      <c r="H965" s="1"/>
      <c r="I965" s="1"/>
      <c r="J965" s="1"/>
      <c r="K965" s="1"/>
      <c r="L965" s="1"/>
      <c r="M965" s="1"/>
      <c r="N965" s="1"/>
      <c r="O965" s="1"/>
      <c r="P965" s="1"/>
      <c r="Q965" s="1"/>
      <c r="R965" s="1"/>
      <c r="S965" s="1"/>
      <c r="T965" s="1"/>
      <c r="U965" s="1"/>
      <c r="V965" s="1"/>
      <c r="W965" s="1"/>
      <c r="X965" s="1"/>
      <c r="Y965" s="1"/>
      <c r="Z965" s="1"/>
    </row>
    <row r="966" spans="1:26" ht="12.75">
      <c r="A966" s="1"/>
      <c r="B966" s="1"/>
      <c r="C966" s="20"/>
      <c r="D966" s="1"/>
      <c r="E966" s="1"/>
      <c r="F966" s="20"/>
      <c r="G966" s="1"/>
      <c r="H966" s="1"/>
      <c r="I966" s="1"/>
      <c r="J966" s="1"/>
      <c r="K966" s="1"/>
      <c r="L966" s="1"/>
      <c r="M966" s="1"/>
      <c r="N966" s="1"/>
      <c r="O966" s="1"/>
      <c r="P966" s="1"/>
      <c r="Q966" s="1"/>
      <c r="R966" s="1"/>
      <c r="S966" s="1"/>
      <c r="T966" s="1"/>
      <c r="U966" s="1"/>
      <c r="V966" s="1"/>
      <c r="W966" s="1"/>
      <c r="X966" s="1"/>
      <c r="Y966" s="1"/>
      <c r="Z966" s="1"/>
    </row>
    <row r="967" spans="1:26" ht="12.75">
      <c r="A967" s="1"/>
      <c r="B967" s="1"/>
      <c r="C967" s="20"/>
      <c r="D967" s="1"/>
      <c r="E967" s="1"/>
      <c r="F967" s="20"/>
      <c r="G967" s="1"/>
      <c r="H967" s="1"/>
      <c r="I967" s="1"/>
      <c r="J967" s="1"/>
      <c r="K967" s="1"/>
      <c r="L967" s="1"/>
      <c r="M967" s="1"/>
      <c r="N967" s="1"/>
      <c r="O967" s="1"/>
      <c r="P967" s="1"/>
      <c r="Q967" s="1"/>
      <c r="R967" s="1"/>
      <c r="S967" s="1"/>
      <c r="T967" s="1"/>
      <c r="U967" s="1"/>
      <c r="V967" s="1"/>
      <c r="W967" s="1"/>
      <c r="X967" s="1"/>
      <c r="Y967" s="1"/>
      <c r="Z967" s="1"/>
    </row>
    <row r="968" spans="1:26" ht="12.75">
      <c r="A968" s="1"/>
      <c r="B968" s="1"/>
      <c r="C968" s="20"/>
      <c r="D968" s="1"/>
      <c r="E968" s="1"/>
      <c r="F968" s="20"/>
      <c r="G968" s="1"/>
      <c r="H968" s="1"/>
      <c r="I968" s="1"/>
      <c r="J968" s="1"/>
      <c r="K968" s="1"/>
      <c r="L968" s="1"/>
      <c r="M968" s="1"/>
      <c r="N968" s="1"/>
      <c r="O968" s="1"/>
      <c r="P968" s="1"/>
      <c r="Q968" s="1"/>
      <c r="R968" s="1"/>
      <c r="S968" s="1"/>
      <c r="T968" s="1"/>
      <c r="U968" s="1"/>
      <c r="V968" s="1"/>
      <c r="W968" s="1"/>
      <c r="X968" s="1"/>
      <c r="Y968" s="1"/>
      <c r="Z968" s="1"/>
    </row>
    <row r="969" spans="1:26" ht="12.75">
      <c r="A969" s="1"/>
      <c r="B969" s="1"/>
      <c r="C969" s="20"/>
      <c r="D969" s="1"/>
      <c r="E969" s="1"/>
      <c r="F969" s="20"/>
      <c r="G969" s="1"/>
      <c r="H969" s="1"/>
      <c r="I969" s="1"/>
      <c r="J969" s="1"/>
      <c r="K969" s="1"/>
      <c r="L969" s="1"/>
      <c r="M969" s="1"/>
      <c r="N969" s="1"/>
      <c r="O969" s="1"/>
      <c r="P969" s="1"/>
      <c r="Q969" s="1"/>
      <c r="R969" s="1"/>
      <c r="S969" s="1"/>
      <c r="T969" s="1"/>
      <c r="U969" s="1"/>
      <c r="V969" s="1"/>
      <c r="W969" s="1"/>
      <c r="X969" s="1"/>
      <c r="Y969" s="1"/>
      <c r="Z969" s="1"/>
    </row>
    <row r="970" spans="1:26" ht="12.75">
      <c r="A970" s="1"/>
      <c r="B970" s="1"/>
      <c r="C970" s="20"/>
      <c r="D970" s="1"/>
      <c r="E970" s="1"/>
      <c r="F970" s="20"/>
      <c r="G970" s="1"/>
      <c r="H970" s="1"/>
      <c r="I970" s="1"/>
      <c r="J970" s="1"/>
      <c r="K970" s="1"/>
      <c r="L970" s="1"/>
      <c r="M970" s="1"/>
      <c r="N970" s="1"/>
      <c r="O970" s="1"/>
      <c r="P970" s="1"/>
      <c r="Q970" s="1"/>
      <c r="R970" s="1"/>
      <c r="S970" s="1"/>
      <c r="T970" s="1"/>
      <c r="U970" s="1"/>
      <c r="V970" s="1"/>
      <c r="W970" s="1"/>
      <c r="X970" s="1"/>
      <c r="Y970" s="1"/>
      <c r="Z970" s="1"/>
    </row>
    <row r="971" spans="1:26" ht="12.75">
      <c r="A971" s="1"/>
      <c r="B971" s="1"/>
      <c r="C971" s="20"/>
      <c r="D971" s="1"/>
      <c r="E971" s="1"/>
      <c r="F971" s="20"/>
      <c r="G971" s="1"/>
      <c r="H971" s="1"/>
      <c r="I971" s="1"/>
      <c r="J971" s="1"/>
      <c r="K971" s="1"/>
      <c r="L971" s="1"/>
      <c r="M971" s="1"/>
      <c r="N971" s="1"/>
      <c r="O971" s="1"/>
      <c r="P971" s="1"/>
      <c r="Q971" s="1"/>
      <c r="R971" s="1"/>
      <c r="S971" s="1"/>
      <c r="T971" s="1"/>
      <c r="U971" s="1"/>
      <c r="V971" s="1"/>
      <c r="W971" s="1"/>
      <c r="X971" s="1"/>
      <c r="Y971" s="1"/>
      <c r="Z971" s="1"/>
    </row>
    <row r="972" spans="1:26" ht="12.75">
      <c r="A972" s="1"/>
      <c r="B972" s="1"/>
      <c r="C972" s="20"/>
      <c r="D972" s="1"/>
      <c r="E972" s="1"/>
      <c r="F972" s="20"/>
      <c r="G972" s="1"/>
      <c r="H972" s="1"/>
      <c r="I972" s="1"/>
      <c r="J972" s="1"/>
      <c r="K972" s="1"/>
      <c r="L972" s="1"/>
      <c r="M972" s="1"/>
      <c r="N972" s="1"/>
      <c r="O972" s="1"/>
      <c r="P972" s="1"/>
      <c r="Q972" s="1"/>
      <c r="R972" s="1"/>
      <c r="S972" s="1"/>
      <c r="T972" s="1"/>
      <c r="U972" s="1"/>
      <c r="V972" s="1"/>
      <c r="W972" s="1"/>
      <c r="X972" s="1"/>
      <c r="Y972" s="1"/>
      <c r="Z972" s="1"/>
    </row>
    <row r="973" spans="1:26" ht="12.75">
      <c r="A973" s="1"/>
      <c r="B973" s="1"/>
      <c r="C973" s="20"/>
      <c r="D973" s="1"/>
      <c r="E973" s="1"/>
      <c r="F973" s="20"/>
      <c r="G973" s="1"/>
      <c r="H973" s="1"/>
      <c r="I973" s="1"/>
      <c r="J973" s="1"/>
      <c r="K973" s="1"/>
      <c r="L973" s="1"/>
      <c r="M973" s="1"/>
      <c r="N973" s="1"/>
      <c r="O973" s="1"/>
      <c r="P973" s="1"/>
      <c r="Q973" s="1"/>
      <c r="R973" s="1"/>
      <c r="S973" s="1"/>
      <c r="T973" s="1"/>
      <c r="U973" s="1"/>
      <c r="V973" s="1"/>
      <c r="W973" s="1"/>
      <c r="X973" s="1"/>
      <c r="Y973" s="1"/>
      <c r="Z973" s="1"/>
    </row>
    <row r="974" spans="1:26" ht="12.75">
      <c r="A974" s="1"/>
      <c r="B974" s="1"/>
      <c r="C974" s="20"/>
      <c r="D974" s="1"/>
      <c r="E974" s="1"/>
      <c r="F974" s="20"/>
      <c r="G974" s="1"/>
      <c r="H974" s="1"/>
      <c r="I974" s="1"/>
      <c r="J974" s="1"/>
      <c r="K974" s="1"/>
      <c r="L974" s="1"/>
      <c r="M974" s="1"/>
      <c r="N974" s="1"/>
      <c r="O974" s="1"/>
      <c r="P974" s="1"/>
      <c r="Q974" s="1"/>
      <c r="R974" s="1"/>
      <c r="S974" s="1"/>
      <c r="T974" s="1"/>
      <c r="U974" s="1"/>
      <c r="V974" s="1"/>
      <c r="W974" s="1"/>
      <c r="X974" s="1"/>
      <c r="Y974" s="1"/>
      <c r="Z974" s="1"/>
    </row>
    <row r="975" spans="1:26" ht="12.75">
      <c r="A975" s="1"/>
      <c r="B975" s="1"/>
      <c r="C975" s="20"/>
      <c r="D975" s="1"/>
      <c r="E975" s="1"/>
      <c r="F975" s="20"/>
      <c r="G975" s="1"/>
      <c r="H975" s="1"/>
      <c r="I975" s="1"/>
      <c r="J975" s="1"/>
      <c r="K975" s="1"/>
      <c r="L975" s="1"/>
      <c r="M975" s="1"/>
      <c r="N975" s="1"/>
      <c r="O975" s="1"/>
      <c r="P975" s="1"/>
      <c r="Q975" s="1"/>
      <c r="R975" s="1"/>
      <c r="S975" s="1"/>
      <c r="T975" s="1"/>
      <c r="U975" s="1"/>
      <c r="V975" s="1"/>
      <c r="W975" s="1"/>
      <c r="X975" s="1"/>
      <c r="Y975" s="1"/>
      <c r="Z975" s="1"/>
    </row>
    <row r="976" spans="1:26" ht="12.75">
      <c r="A976" s="1"/>
      <c r="B976" s="1"/>
      <c r="C976" s="20"/>
      <c r="D976" s="1"/>
      <c r="E976" s="1"/>
      <c r="F976" s="20"/>
      <c r="G976" s="1"/>
      <c r="H976" s="1"/>
      <c r="I976" s="1"/>
      <c r="J976" s="1"/>
      <c r="K976" s="1"/>
      <c r="L976" s="1"/>
      <c r="M976" s="1"/>
      <c r="N976" s="1"/>
      <c r="O976" s="1"/>
      <c r="P976" s="1"/>
      <c r="Q976" s="1"/>
      <c r="R976" s="1"/>
      <c r="S976" s="1"/>
      <c r="T976" s="1"/>
      <c r="U976" s="1"/>
      <c r="V976" s="1"/>
      <c r="W976" s="1"/>
      <c r="X976" s="1"/>
      <c r="Y976" s="1"/>
      <c r="Z976" s="1"/>
    </row>
    <row r="977" spans="1:26" ht="12.75">
      <c r="A977" s="1"/>
      <c r="B977" s="1"/>
      <c r="C977" s="20"/>
      <c r="D977" s="1"/>
      <c r="E977" s="1"/>
      <c r="F977" s="20"/>
      <c r="G977" s="1"/>
      <c r="H977" s="1"/>
      <c r="I977" s="1"/>
      <c r="J977" s="1"/>
      <c r="K977" s="1"/>
      <c r="L977" s="1"/>
      <c r="M977" s="1"/>
      <c r="N977" s="1"/>
      <c r="O977" s="1"/>
      <c r="P977" s="1"/>
      <c r="Q977" s="1"/>
      <c r="R977" s="1"/>
      <c r="S977" s="1"/>
      <c r="T977" s="1"/>
      <c r="U977" s="1"/>
      <c r="V977" s="1"/>
      <c r="W977" s="1"/>
      <c r="X977" s="1"/>
      <c r="Y977" s="1"/>
      <c r="Z977" s="1"/>
    </row>
    <row r="978" spans="1:26" ht="12.75">
      <c r="A978" s="1"/>
      <c r="B978" s="1"/>
      <c r="C978" s="20"/>
      <c r="D978" s="1"/>
      <c r="E978" s="1"/>
      <c r="F978" s="20"/>
      <c r="G978" s="1"/>
      <c r="H978" s="1"/>
      <c r="I978" s="1"/>
      <c r="J978" s="1"/>
      <c r="K978" s="1"/>
      <c r="L978" s="1"/>
      <c r="M978" s="1"/>
      <c r="N978" s="1"/>
      <c r="O978" s="1"/>
      <c r="P978" s="1"/>
      <c r="Q978" s="1"/>
      <c r="R978" s="1"/>
      <c r="S978" s="1"/>
      <c r="T978" s="1"/>
      <c r="U978" s="1"/>
      <c r="V978" s="1"/>
      <c r="W978" s="1"/>
      <c r="X978" s="1"/>
      <c r="Y978" s="1"/>
      <c r="Z978" s="1"/>
    </row>
    <row r="979" spans="1:26" ht="12.75">
      <c r="A979" s="1"/>
      <c r="B979" s="1"/>
      <c r="C979" s="20"/>
      <c r="D979" s="1"/>
      <c r="E979" s="1"/>
      <c r="F979" s="20"/>
      <c r="G979" s="1"/>
      <c r="H979" s="1"/>
      <c r="I979" s="1"/>
      <c r="J979" s="1"/>
      <c r="K979" s="1"/>
      <c r="L979" s="1"/>
      <c r="M979" s="1"/>
      <c r="N979" s="1"/>
      <c r="O979" s="1"/>
      <c r="P979" s="1"/>
      <c r="Q979" s="1"/>
      <c r="R979" s="1"/>
      <c r="S979" s="1"/>
      <c r="T979" s="1"/>
      <c r="U979" s="1"/>
      <c r="V979" s="1"/>
      <c r="W979" s="1"/>
      <c r="X979" s="1"/>
      <c r="Y979" s="1"/>
      <c r="Z979" s="1"/>
    </row>
    <row r="980" spans="1:26" ht="12.75">
      <c r="A980" s="1"/>
      <c r="B980" s="1"/>
      <c r="C980" s="20"/>
      <c r="D980" s="1"/>
      <c r="E980" s="1"/>
      <c r="F980" s="20"/>
      <c r="G980" s="1"/>
      <c r="H980" s="1"/>
      <c r="I980" s="1"/>
      <c r="J980" s="1"/>
      <c r="K980" s="1"/>
      <c r="L980" s="1"/>
      <c r="M980" s="1"/>
      <c r="N980" s="1"/>
      <c r="O980" s="1"/>
      <c r="P980" s="1"/>
      <c r="Q980" s="1"/>
      <c r="R980" s="1"/>
      <c r="S980" s="1"/>
      <c r="T980" s="1"/>
      <c r="U980" s="1"/>
      <c r="V980" s="1"/>
      <c r="W980" s="1"/>
      <c r="X980" s="1"/>
      <c r="Y980" s="1"/>
      <c r="Z980" s="1"/>
    </row>
    <row r="981" spans="1:26" ht="12.75">
      <c r="A981" s="1"/>
      <c r="B981" s="1"/>
      <c r="C981" s="20"/>
      <c r="D981" s="1"/>
      <c r="E981" s="1"/>
      <c r="F981" s="20"/>
      <c r="G981" s="1"/>
      <c r="H981" s="1"/>
      <c r="I981" s="1"/>
      <c r="J981" s="1"/>
      <c r="K981" s="1"/>
      <c r="L981" s="1"/>
      <c r="M981" s="1"/>
      <c r="N981" s="1"/>
      <c r="O981" s="1"/>
      <c r="P981" s="1"/>
      <c r="Q981" s="1"/>
      <c r="R981" s="1"/>
      <c r="S981" s="1"/>
      <c r="T981" s="1"/>
      <c r="U981" s="1"/>
      <c r="V981" s="1"/>
      <c r="W981" s="1"/>
      <c r="X981" s="1"/>
      <c r="Y981" s="1"/>
      <c r="Z981" s="1"/>
    </row>
    <row r="982" spans="1:26" ht="12.75">
      <c r="A982" s="1"/>
      <c r="B982" s="1"/>
      <c r="C982" s="20"/>
      <c r="D982" s="1"/>
      <c r="E982" s="1"/>
      <c r="F982" s="20"/>
      <c r="G982" s="1"/>
      <c r="H982" s="1"/>
      <c r="I982" s="1"/>
      <c r="J982" s="1"/>
      <c r="K982" s="1"/>
      <c r="L982" s="1"/>
      <c r="M982" s="1"/>
      <c r="N982" s="1"/>
      <c r="O982" s="1"/>
      <c r="P982" s="1"/>
      <c r="Q982" s="1"/>
      <c r="R982" s="1"/>
      <c r="S982" s="1"/>
      <c r="T982" s="1"/>
      <c r="U982" s="1"/>
      <c r="V982" s="1"/>
      <c r="W982" s="1"/>
      <c r="X982" s="1"/>
      <c r="Y982" s="1"/>
      <c r="Z982" s="1"/>
    </row>
    <row r="983" spans="1:26" ht="12.75">
      <c r="A983" s="1"/>
      <c r="B983" s="1"/>
      <c r="C983" s="20"/>
      <c r="D983" s="1"/>
      <c r="E983" s="1"/>
      <c r="F983" s="20"/>
      <c r="G983" s="1"/>
      <c r="H983" s="1"/>
      <c r="I983" s="1"/>
      <c r="J983" s="1"/>
      <c r="K983" s="1"/>
      <c r="L983" s="1"/>
      <c r="M983" s="1"/>
      <c r="N983" s="1"/>
      <c r="O983" s="1"/>
      <c r="P983" s="1"/>
      <c r="Q983" s="1"/>
      <c r="R983" s="1"/>
      <c r="S983" s="1"/>
      <c r="T983" s="1"/>
      <c r="U983" s="1"/>
      <c r="V983" s="1"/>
      <c r="W983" s="1"/>
      <c r="X983" s="1"/>
      <c r="Y983" s="1"/>
      <c r="Z983" s="1"/>
    </row>
    <row r="984" spans="1:26" ht="12.75">
      <c r="A984" s="1"/>
      <c r="B984" s="1"/>
      <c r="C984" s="20"/>
      <c r="D984" s="1"/>
      <c r="E984" s="1"/>
      <c r="F984" s="20"/>
      <c r="G984" s="1"/>
      <c r="H984" s="1"/>
      <c r="I984" s="1"/>
      <c r="J984" s="1"/>
      <c r="K984" s="1"/>
      <c r="L984" s="1"/>
      <c r="M984" s="1"/>
      <c r="N984" s="1"/>
      <c r="O984" s="1"/>
      <c r="P984" s="1"/>
      <c r="Q984" s="1"/>
      <c r="R984" s="1"/>
      <c r="S984" s="1"/>
      <c r="T984" s="1"/>
      <c r="U984" s="1"/>
      <c r="V984" s="1"/>
      <c r="W984" s="1"/>
      <c r="X984" s="1"/>
      <c r="Y984" s="1"/>
      <c r="Z984" s="1"/>
    </row>
    <row r="985" spans="1:26" ht="12.75">
      <c r="A985" s="1"/>
      <c r="B985" s="1"/>
      <c r="C985" s="20"/>
      <c r="D985" s="1"/>
      <c r="E985" s="1"/>
      <c r="F985" s="20"/>
      <c r="G985" s="1"/>
      <c r="H985" s="1"/>
      <c r="I985" s="1"/>
      <c r="J985" s="1"/>
      <c r="K985" s="1"/>
      <c r="L985" s="1"/>
      <c r="M985" s="1"/>
      <c r="N985" s="1"/>
      <c r="O985" s="1"/>
      <c r="P985" s="1"/>
      <c r="Q985" s="1"/>
      <c r="R985" s="1"/>
      <c r="S985" s="1"/>
      <c r="T985" s="1"/>
      <c r="U985" s="1"/>
      <c r="V985" s="1"/>
      <c r="W985" s="1"/>
      <c r="X985" s="1"/>
      <c r="Y985" s="1"/>
      <c r="Z985" s="1"/>
    </row>
    <row r="986" spans="1:26" ht="12.75">
      <c r="A986" s="1"/>
      <c r="B986" s="1"/>
      <c r="C986" s="20"/>
      <c r="D986" s="1"/>
      <c r="E986" s="1"/>
      <c r="F986" s="20"/>
      <c r="G986" s="1"/>
      <c r="H986" s="1"/>
      <c r="I986" s="1"/>
      <c r="J986" s="1"/>
      <c r="K986" s="1"/>
      <c r="L986" s="1"/>
      <c r="M986" s="1"/>
      <c r="N986" s="1"/>
      <c r="O986" s="1"/>
      <c r="P986" s="1"/>
      <c r="Q986" s="1"/>
      <c r="R986" s="1"/>
      <c r="S986" s="1"/>
      <c r="T986" s="1"/>
      <c r="U986" s="1"/>
      <c r="V986" s="1"/>
      <c r="W986" s="1"/>
      <c r="X986" s="1"/>
      <c r="Y986" s="1"/>
      <c r="Z986" s="1"/>
    </row>
    <row r="987" spans="1:26" ht="12.75">
      <c r="A987" s="1"/>
      <c r="B987" s="1"/>
      <c r="C987" s="20"/>
      <c r="D987" s="1"/>
      <c r="E987" s="1"/>
      <c r="F987" s="20"/>
      <c r="G987" s="1"/>
      <c r="H987" s="1"/>
      <c r="I987" s="1"/>
      <c r="J987" s="1"/>
      <c r="K987" s="1"/>
      <c r="L987" s="1"/>
      <c r="M987" s="1"/>
      <c r="N987" s="1"/>
      <c r="O987" s="1"/>
      <c r="P987" s="1"/>
      <c r="Q987" s="1"/>
      <c r="R987" s="1"/>
      <c r="S987" s="1"/>
      <c r="T987" s="1"/>
      <c r="U987" s="1"/>
      <c r="V987" s="1"/>
      <c r="W987" s="1"/>
      <c r="X987" s="1"/>
      <c r="Y987" s="1"/>
      <c r="Z987" s="1"/>
    </row>
    <row r="988" spans="1:26" ht="12.75">
      <c r="A988" s="1"/>
      <c r="B988" s="1"/>
      <c r="C988" s="20"/>
      <c r="D988" s="1"/>
      <c r="E988" s="1"/>
      <c r="F988" s="20"/>
      <c r="G988" s="1"/>
      <c r="H988" s="1"/>
      <c r="I988" s="1"/>
      <c r="J988" s="1"/>
      <c r="K988" s="1"/>
      <c r="L988" s="1"/>
      <c r="M988" s="1"/>
      <c r="N988" s="1"/>
      <c r="O988" s="1"/>
      <c r="P988" s="1"/>
      <c r="Q988" s="1"/>
      <c r="R988" s="1"/>
      <c r="S988" s="1"/>
      <c r="T988" s="1"/>
      <c r="U988" s="1"/>
      <c r="V988" s="1"/>
      <c r="W988" s="1"/>
      <c r="X988" s="1"/>
      <c r="Y988" s="1"/>
      <c r="Z988" s="1"/>
    </row>
    <row r="989" spans="1:26" ht="12.75">
      <c r="A989" s="1"/>
      <c r="B989" s="1"/>
      <c r="C989" s="20"/>
      <c r="D989" s="1"/>
      <c r="E989" s="1"/>
      <c r="F989" s="20"/>
      <c r="G989" s="1"/>
      <c r="H989" s="1"/>
      <c r="I989" s="1"/>
      <c r="J989" s="1"/>
      <c r="K989" s="1"/>
      <c r="L989" s="1"/>
      <c r="M989" s="1"/>
      <c r="N989" s="1"/>
      <c r="O989" s="1"/>
      <c r="P989" s="1"/>
      <c r="Q989" s="1"/>
      <c r="R989" s="1"/>
      <c r="S989" s="1"/>
      <c r="T989" s="1"/>
      <c r="U989" s="1"/>
      <c r="V989" s="1"/>
      <c r="W989" s="1"/>
      <c r="X989" s="1"/>
      <c r="Y989" s="1"/>
      <c r="Z989" s="1"/>
    </row>
    <row r="990" spans="1:26" ht="12.75">
      <c r="A990" s="1"/>
      <c r="B990" s="1"/>
      <c r="C990" s="20"/>
      <c r="D990" s="1"/>
      <c r="E990" s="1"/>
      <c r="F990" s="20"/>
      <c r="G990" s="1"/>
      <c r="H990" s="1"/>
      <c r="I990" s="1"/>
      <c r="J990" s="1"/>
      <c r="K990" s="1"/>
      <c r="L990" s="1"/>
      <c r="M990" s="1"/>
      <c r="N990" s="1"/>
      <c r="O990" s="1"/>
      <c r="P990" s="1"/>
      <c r="Q990" s="1"/>
      <c r="R990" s="1"/>
      <c r="S990" s="1"/>
      <c r="T990" s="1"/>
      <c r="U990" s="1"/>
      <c r="V990" s="1"/>
      <c r="W990" s="1"/>
      <c r="X990" s="1"/>
      <c r="Y990" s="1"/>
      <c r="Z990" s="1"/>
    </row>
    <row r="991" spans="1:26" ht="12.75">
      <c r="A991" s="1"/>
      <c r="B991" s="1"/>
      <c r="C991" s="20"/>
      <c r="D991" s="1"/>
      <c r="E991" s="1"/>
      <c r="F991" s="20"/>
      <c r="G991" s="1"/>
      <c r="H991" s="1"/>
      <c r="I991" s="1"/>
      <c r="J991" s="1"/>
      <c r="K991" s="1"/>
      <c r="L991" s="1"/>
      <c r="M991" s="1"/>
      <c r="N991" s="1"/>
      <c r="O991" s="1"/>
      <c r="P991" s="1"/>
      <c r="Q991" s="1"/>
      <c r="R991" s="1"/>
      <c r="S991" s="1"/>
      <c r="T991" s="1"/>
      <c r="U991" s="1"/>
      <c r="V991" s="1"/>
      <c r="W991" s="1"/>
      <c r="X991" s="1"/>
      <c r="Y991" s="1"/>
      <c r="Z991" s="1"/>
    </row>
    <row r="992" spans="1:26" ht="12.75">
      <c r="A992" s="1"/>
      <c r="B992" s="1"/>
      <c r="C992" s="20"/>
      <c r="D992" s="1"/>
      <c r="E992" s="1"/>
      <c r="F992" s="20"/>
      <c r="G992" s="1"/>
      <c r="H992" s="1"/>
      <c r="I992" s="1"/>
      <c r="J992" s="1"/>
      <c r="K992" s="1"/>
      <c r="L992" s="1"/>
      <c r="M992" s="1"/>
      <c r="N992" s="1"/>
      <c r="O992" s="1"/>
      <c r="P992" s="1"/>
      <c r="Q992" s="1"/>
      <c r="R992" s="1"/>
      <c r="S992" s="1"/>
      <c r="T992" s="1"/>
      <c r="U992" s="1"/>
      <c r="V992" s="1"/>
      <c r="W992" s="1"/>
      <c r="X992" s="1"/>
      <c r="Y992" s="1"/>
      <c r="Z992" s="1"/>
    </row>
    <row r="993" spans="1:26" ht="12.75">
      <c r="A993" s="1"/>
      <c r="B993" s="1"/>
      <c r="C993" s="20"/>
      <c r="D993" s="1"/>
      <c r="E993" s="1"/>
      <c r="F993" s="20"/>
      <c r="G993" s="1"/>
      <c r="H993" s="1"/>
      <c r="I993" s="1"/>
      <c r="J993" s="1"/>
      <c r="K993" s="1"/>
      <c r="L993" s="1"/>
      <c r="M993" s="1"/>
      <c r="N993" s="1"/>
      <c r="O993" s="1"/>
      <c r="P993" s="1"/>
      <c r="Q993" s="1"/>
      <c r="R993" s="1"/>
      <c r="S993" s="1"/>
      <c r="T993" s="1"/>
      <c r="U993" s="1"/>
      <c r="V993" s="1"/>
      <c r="W993" s="1"/>
      <c r="X993" s="1"/>
      <c r="Y993" s="1"/>
      <c r="Z993" s="1"/>
    </row>
    <row r="994" spans="1:26" ht="12.75">
      <c r="A994" s="1"/>
      <c r="B994" s="1"/>
      <c r="C994" s="20"/>
      <c r="D994" s="1"/>
      <c r="E994" s="1"/>
      <c r="F994" s="20"/>
      <c r="G994" s="1"/>
      <c r="H994" s="1"/>
      <c r="I994" s="1"/>
      <c r="J994" s="1"/>
      <c r="K994" s="1"/>
      <c r="L994" s="1"/>
      <c r="M994" s="1"/>
      <c r="N994" s="1"/>
      <c r="O994" s="1"/>
      <c r="P994" s="1"/>
      <c r="Q994" s="1"/>
      <c r="R994" s="1"/>
      <c r="S994" s="1"/>
      <c r="T994" s="1"/>
      <c r="U994" s="1"/>
      <c r="V994" s="1"/>
      <c r="W994" s="1"/>
      <c r="X994" s="1"/>
      <c r="Y994" s="1"/>
      <c r="Z994" s="1"/>
    </row>
    <row r="995" spans="1:26" ht="12.75">
      <c r="A995" s="1"/>
      <c r="B995" s="1"/>
      <c r="C995" s="20"/>
      <c r="D995" s="1"/>
      <c r="E995" s="1"/>
      <c r="F995" s="20"/>
      <c r="G995" s="1"/>
      <c r="H995" s="1"/>
      <c r="I995" s="1"/>
      <c r="J995" s="1"/>
      <c r="K995" s="1"/>
      <c r="L995" s="1"/>
      <c r="M995" s="1"/>
      <c r="N995" s="1"/>
      <c r="O995" s="1"/>
      <c r="P995" s="1"/>
      <c r="Q995" s="1"/>
      <c r="R995" s="1"/>
      <c r="S995" s="1"/>
      <c r="T995" s="1"/>
      <c r="U995" s="1"/>
      <c r="V995" s="1"/>
      <c r="W995" s="1"/>
      <c r="X995" s="1"/>
      <c r="Y995" s="1"/>
      <c r="Z995" s="1"/>
    </row>
    <row r="996" spans="1:26" ht="12.75">
      <c r="A996" s="1"/>
      <c r="B996" s="1"/>
      <c r="C996" s="20"/>
      <c r="D996" s="1"/>
      <c r="E996" s="1"/>
      <c r="F996" s="20"/>
      <c r="G996" s="1"/>
      <c r="H996" s="1"/>
      <c r="I996" s="1"/>
      <c r="J996" s="1"/>
      <c r="K996" s="1"/>
      <c r="L996" s="1"/>
      <c r="M996" s="1"/>
      <c r="N996" s="1"/>
      <c r="O996" s="1"/>
      <c r="P996" s="1"/>
      <c r="Q996" s="1"/>
      <c r="R996" s="1"/>
      <c r="S996" s="1"/>
      <c r="T996" s="1"/>
      <c r="U996" s="1"/>
      <c r="V996" s="1"/>
      <c r="W996" s="1"/>
      <c r="X996" s="1"/>
      <c r="Y996" s="1"/>
      <c r="Z996" s="1"/>
    </row>
    <row r="997" spans="1:26" ht="12.75">
      <c r="A997" s="1"/>
      <c r="B997" s="1"/>
      <c r="C997" s="20"/>
      <c r="D997" s="1"/>
      <c r="E997" s="1"/>
      <c r="F997" s="20"/>
      <c r="G997" s="1"/>
      <c r="H997" s="1"/>
      <c r="I997" s="1"/>
      <c r="J997" s="1"/>
      <c r="K997" s="1"/>
      <c r="L997" s="1"/>
      <c r="M997" s="1"/>
      <c r="N997" s="1"/>
      <c r="O997" s="1"/>
      <c r="P997" s="1"/>
      <c r="Q997" s="1"/>
      <c r="R997" s="1"/>
      <c r="S997" s="1"/>
      <c r="T997" s="1"/>
      <c r="U997" s="1"/>
      <c r="V997" s="1"/>
      <c r="W997" s="1"/>
      <c r="X997" s="1"/>
      <c r="Y997" s="1"/>
      <c r="Z997" s="1"/>
    </row>
    <row r="998" spans="1:26" ht="12.75">
      <c r="A998" s="1"/>
      <c r="B998" s="1"/>
      <c r="C998" s="20"/>
      <c r="D998" s="1"/>
      <c r="E998" s="1"/>
      <c r="F998" s="20"/>
      <c r="G998" s="1"/>
      <c r="H998" s="1"/>
      <c r="I998" s="1"/>
      <c r="J998" s="1"/>
      <c r="K998" s="1"/>
      <c r="L998" s="1"/>
      <c r="M998" s="1"/>
      <c r="N998" s="1"/>
      <c r="O998" s="1"/>
      <c r="P998" s="1"/>
      <c r="Q998" s="1"/>
      <c r="R998" s="1"/>
      <c r="S998" s="1"/>
      <c r="T998" s="1"/>
      <c r="U998" s="1"/>
      <c r="V998" s="1"/>
      <c r="W998" s="1"/>
      <c r="X998" s="1"/>
      <c r="Y998" s="1"/>
      <c r="Z998" s="1"/>
    </row>
    <row r="999" spans="1:26" ht="12.75">
      <c r="A999" s="1"/>
      <c r="B999" s="1"/>
      <c r="C999" s="20"/>
      <c r="D999" s="1"/>
      <c r="E999" s="1"/>
      <c r="F999" s="20"/>
      <c r="G999" s="1"/>
      <c r="H999" s="1"/>
      <c r="I999" s="1"/>
      <c r="J999" s="1"/>
      <c r="K999" s="1"/>
      <c r="L999" s="1"/>
      <c r="M999" s="1"/>
      <c r="N999" s="1"/>
      <c r="O999" s="1"/>
      <c r="P999" s="1"/>
      <c r="Q999" s="1"/>
      <c r="R999" s="1"/>
      <c r="S999" s="1"/>
      <c r="T999" s="1"/>
      <c r="U999" s="1"/>
      <c r="V999" s="1"/>
      <c r="W999" s="1"/>
      <c r="X999" s="1"/>
      <c r="Y999" s="1"/>
      <c r="Z999" s="1"/>
    </row>
    <row r="1000" spans="1:26" ht="12.75">
      <c r="A1000" s="1"/>
      <c r="B1000" s="1"/>
      <c r="C1000" s="20"/>
      <c r="D1000" s="1"/>
      <c r="E1000" s="1"/>
      <c r="F1000" s="20"/>
      <c r="G1000" s="1"/>
      <c r="H1000" s="1"/>
      <c r="I1000" s="1"/>
      <c r="J1000" s="1"/>
      <c r="K1000" s="1"/>
      <c r="L1000" s="1"/>
      <c r="M1000" s="1"/>
      <c r="N1000" s="1"/>
      <c r="O1000" s="1"/>
      <c r="P1000" s="1"/>
      <c r="Q1000" s="1"/>
      <c r="R1000" s="1"/>
      <c r="S1000" s="1"/>
      <c r="T1000" s="1"/>
      <c r="U1000" s="1"/>
      <c r="V1000" s="1"/>
      <c r="W1000" s="1"/>
      <c r="X1000" s="1"/>
      <c r="Y1000" s="1"/>
      <c r="Z1000" s="1"/>
    </row>
    <row r="1001" spans="1:26" ht="12.75">
      <c r="A1001" s="1"/>
      <c r="B1001" s="1"/>
      <c r="C1001" s="20"/>
      <c r="D1001" s="1"/>
      <c r="E1001" s="1"/>
      <c r="F1001" s="20"/>
      <c r="G1001" s="1"/>
      <c r="H1001" s="1"/>
      <c r="I1001" s="1"/>
      <c r="J1001" s="1"/>
      <c r="K1001" s="1"/>
      <c r="L1001" s="1"/>
      <c r="M1001" s="1"/>
      <c r="N1001" s="1"/>
      <c r="O1001" s="1"/>
      <c r="P1001" s="1"/>
      <c r="Q1001" s="1"/>
      <c r="R1001" s="1"/>
      <c r="S1001" s="1"/>
      <c r="T1001" s="1"/>
      <c r="U1001" s="1"/>
      <c r="V1001" s="1"/>
      <c r="W1001" s="1"/>
      <c r="X1001" s="1"/>
      <c r="Y1001" s="1"/>
      <c r="Z1001" s="1"/>
    </row>
    <row r="1002" spans="1:26" ht="12.75">
      <c r="A1002" s="1"/>
      <c r="B1002" s="1"/>
      <c r="C1002" s="20"/>
      <c r="D1002" s="1"/>
      <c r="E1002" s="1"/>
      <c r="F1002" s="20"/>
      <c r="G1002" s="1"/>
      <c r="H1002" s="1"/>
      <c r="I1002" s="1"/>
      <c r="J1002" s="1"/>
      <c r="K1002" s="1"/>
      <c r="L1002" s="1"/>
      <c r="M1002" s="1"/>
      <c r="N1002" s="1"/>
      <c r="O1002" s="1"/>
      <c r="P1002" s="1"/>
      <c r="Q1002" s="1"/>
      <c r="R1002" s="1"/>
      <c r="S1002" s="1"/>
      <c r="T1002" s="1"/>
      <c r="U1002" s="1"/>
      <c r="V1002" s="1"/>
      <c r="W1002" s="1"/>
      <c r="X1002" s="1"/>
      <c r="Y1002" s="1"/>
      <c r="Z1002" s="1"/>
    </row>
    <row r="1003" spans="1:26" ht="12.75">
      <c r="A1003" s="1"/>
      <c r="B1003" s="1"/>
      <c r="C1003" s="20"/>
      <c r="D1003" s="1"/>
      <c r="E1003" s="1"/>
      <c r="F1003" s="20"/>
      <c r="G1003" s="1"/>
      <c r="H1003" s="1"/>
      <c r="I1003" s="1"/>
      <c r="J1003" s="1"/>
      <c r="K1003" s="1"/>
      <c r="L1003" s="1"/>
      <c r="M1003" s="1"/>
      <c r="N1003" s="1"/>
      <c r="O1003" s="1"/>
      <c r="P1003" s="1"/>
      <c r="Q1003" s="1"/>
      <c r="R1003" s="1"/>
      <c r="S1003" s="1"/>
      <c r="T1003" s="1"/>
      <c r="U1003" s="1"/>
      <c r="V1003" s="1"/>
      <c r="W1003" s="1"/>
      <c r="X1003" s="1"/>
      <c r="Y1003" s="1"/>
      <c r="Z1003" s="1"/>
    </row>
    <row r="1004" spans="1:26" ht="12.75">
      <c r="A1004" s="1"/>
      <c r="B1004" s="1"/>
      <c r="C1004" s="20"/>
      <c r="D1004" s="1"/>
      <c r="E1004" s="1"/>
      <c r="F1004" s="20"/>
      <c r="G1004" s="1"/>
      <c r="H1004" s="1"/>
      <c r="I1004" s="1"/>
      <c r="J1004" s="1"/>
      <c r="K1004" s="1"/>
      <c r="L1004" s="1"/>
      <c r="M1004" s="1"/>
      <c r="N1004" s="1"/>
      <c r="O1004" s="1"/>
      <c r="P1004" s="1"/>
      <c r="Q1004" s="1"/>
      <c r="R1004" s="1"/>
      <c r="S1004" s="1"/>
      <c r="T1004" s="1"/>
      <c r="U1004" s="1"/>
      <c r="V1004" s="1"/>
      <c r="W1004" s="1"/>
      <c r="X1004" s="1"/>
      <c r="Y1004" s="1"/>
      <c r="Z1004" s="1"/>
    </row>
    <row r="1005" spans="1:26" ht="12.75">
      <c r="A1005" s="1"/>
      <c r="B1005" s="1"/>
      <c r="C1005" s="20"/>
      <c r="D1005" s="1"/>
      <c r="E1005" s="1"/>
      <c r="F1005" s="20"/>
      <c r="G1005" s="1"/>
      <c r="H1005" s="1"/>
      <c r="I1005" s="1"/>
      <c r="J1005" s="1"/>
      <c r="K1005" s="1"/>
      <c r="L1005" s="1"/>
      <c r="M1005" s="1"/>
      <c r="N1005" s="1"/>
      <c r="O1005" s="1"/>
      <c r="P1005" s="1"/>
      <c r="Q1005" s="1"/>
      <c r="R1005" s="1"/>
      <c r="S1005" s="1"/>
      <c r="T1005" s="1"/>
      <c r="U1005" s="1"/>
      <c r="V1005" s="1"/>
      <c r="W1005" s="1"/>
      <c r="X1005" s="1"/>
      <c r="Y1005" s="1"/>
      <c r="Z1005" s="1"/>
    </row>
    <row r="1006" spans="1:26" ht="12.75">
      <c r="A1006" s="1"/>
      <c r="B1006" s="1"/>
      <c r="C1006" s="20"/>
      <c r="D1006" s="1"/>
      <c r="E1006" s="1"/>
      <c r="F1006" s="20"/>
      <c r="G1006" s="1"/>
      <c r="H1006" s="1"/>
      <c r="I1006" s="1"/>
      <c r="J1006" s="1"/>
      <c r="K1006" s="1"/>
      <c r="L1006" s="1"/>
      <c r="M1006" s="1"/>
      <c r="N1006" s="1"/>
      <c r="O1006" s="1"/>
      <c r="P1006" s="1"/>
      <c r="Q1006" s="1"/>
      <c r="R1006" s="1"/>
      <c r="S1006" s="1"/>
      <c r="T1006" s="1"/>
      <c r="U1006" s="1"/>
      <c r="V1006" s="1"/>
      <c r="W1006" s="1"/>
      <c r="X1006" s="1"/>
      <c r="Y1006" s="1"/>
      <c r="Z1006" s="1"/>
    </row>
    <row r="1007" spans="1:26" ht="12.75">
      <c r="A1007" s="1"/>
      <c r="B1007" s="1"/>
      <c r="C1007" s="20"/>
      <c r="D1007" s="1"/>
      <c r="E1007" s="1"/>
      <c r="F1007" s="20"/>
      <c r="G1007" s="1"/>
      <c r="H1007" s="1"/>
      <c r="I1007" s="1"/>
      <c r="J1007" s="1"/>
      <c r="K1007" s="1"/>
      <c r="L1007" s="1"/>
      <c r="M1007" s="1"/>
      <c r="N1007" s="1"/>
      <c r="O1007" s="1"/>
      <c r="P1007" s="1"/>
      <c r="Q1007" s="1"/>
      <c r="R1007" s="1"/>
      <c r="S1007" s="1"/>
      <c r="T1007" s="1"/>
      <c r="U1007" s="1"/>
      <c r="V1007" s="1"/>
      <c r="W1007" s="1"/>
      <c r="X1007" s="1"/>
      <c r="Y1007" s="1"/>
      <c r="Z1007" s="1"/>
    </row>
    <row r="1008" spans="1:26" ht="12.75">
      <c r="A1008" s="1"/>
      <c r="B1008" s="1"/>
      <c r="C1008" s="20"/>
      <c r="D1008" s="1"/>
      <c r="E1008" s="1"/>
      <c r="F1008" s="20"/>
      <c r="G1008" s="1"/>
      <c r="H1008" s="1"/>
      <c r="I1008" s="1"/>
      <c r="J1008" s="1"/>
      <c r="K1008" s="1"/>
      <c r="L1008" s="1"/>
      <c r="M1008" s="1"/>
      <c r="N1008" s="1"/>
      <c r="O1008" s="1"/>
      <c r="P1008" s="1"/>
      <c r="Q1008" s="1"/>
      <c r="R1008" s="1"/>
      <c r="S1008" s="1"/>
      <c r="T1008" s="1"/>
      <c r="U1008" s="1"/>
      <c r="V1008" s="1"/>
      <c r="W1008" s="1"/>
      <c r="X1008" s="1"/>
      <c r="Y1008" s="1"/>
      <c r="Z1008" s="1"/>
    </row>
    <row r="1009" spans="1:26" ht="12.75">
      <c r="A1009" s="1"/>
      <c r="B1009" s="1"/>
      <c r="C1009" s="20"/>
      <c r="D1009" s="1"/>
      <c r="E1009" s="1"/>
      <c r="F1009" s="20"/>
      <c r="G1009" s="1"/>
      <c r="H1009" s="1"/>
      <c r="I1009" s="1"/>
      <c r="J1009" s="1"/>
      <c r="K1009" s="1"/>
      <c r="L1009" s="1"/>
      <c r="M1009" s="1"/>
      <c r="N1009" s="1"/>
      <c r="O1009" s="1"/>
      <c r="P1009" s="1"/>
      <c r="Q1009" s="1"/>
      <c r="R1009" s="1"/>
      <c r="S1009" s="1"/>
      <c r="T1009" s="1"/>
      <c r="U1009" s="1"/>
      <c r="V1009" s="1"/>
      <c r="W1009" s="1"/>
      <c r="X1009" s="1"/>
      <c r="Y1009" s="1"/>
      <c r="Z1009" s="1"/>
    </row>
    <row r="1010" spans="1:26" ht="12.75">
      <c r="A1010" s="1"/>
      <c r="B1010" s="1"/>
      <c r="C1010" s="20"/>
      <c r="D1010" s="1"/>
      <c r="E1010" s="1"/>
      <c r="F1010" s="20"/>
      <c r="G1010" s="1"/>
      <c r="H1010" s="1"/>
      <c r="I1010" s="1"/>
      <c r="J1010" s="1"/>
      <c r="K1010" s="1"/>
      <c r="L1010" s="1"/>
      <c r="M1010" s="1"/>
      <c r="N1010" s="1"/>
      <c r="O1010" s="1"/>
      <c r="P1010" s="1"/>
      <c r="Q1010" s="1"/>
      <c r="R1010" s="1"/>
      <c r="S1010" s="1"/>
      <c r="T1010" s="1"/>
      <c r="U1010" s="1"/>
      <c r="V1010" s="1"/>
      <c r="W1010" s="1"/>
      <c r="X1010" s="1"/>
      <c r="Y1010" s="1"/>
      <c r="Z1010" s="1"/>
    </row>
    <row r="1011" spans="1:26" ht="12.75">
      <c r="A1011" s="1"/>
      <c r="B1011" s="1"/>
      <c r="C1011" s="20"/>
      <c r="D1011" s="1"/>
      <c r="E1011" s="1"/>
      <c r="F1011" s="20"/>
      <c r="G1011" s="1"/>
      <c r="H1011" s="1"/>
      <c r="I1011" s="1"/>
      <c r="J1011" s="1"/>
      <c r="K1011" s="1"/>
      <c r="L1011" s="1"/>
      <c r="M1011" s="1"/>
      <c r="N1011" s="1"/>
      <c r="O1011" s="1"/>
      <c r="P1011" s="1"/>
      <c r="Q1011" s="1"/>
      <c r="R1011" s="1"/>
      <c r="S1011" s="1"/>
      <c r="T1011" s="1"/>
      <c r="U1011" s="1"/>
      <c r="V1011" s="1"/>
      <c r="W1011" s="1"/>
      <c r="X1011" s="1"/>
      <c r="Y1011" s="1"/>
      <c r="Z1011" s="1"/>
    </row>
    <row r="1012" spans="1:26" ht="12.75">
      <c r="A1012" s="1"/>
      <c r="B1012" s="1"/>
      <c r="C1012" s="20"/>
      <c r="D1012" s="1"/>
      <c r="E1012" s="1"/>
      <c r="F1012" s="20"/>
      <c r="G1012" s="1"/>
      <c r="H1012" s="1"/>
      <c r="I1012" s="1"/>
      <c r="J1012" s="1"/>
      <c r="K1012" s="1"/>
      <c r="L1012" s="1"/>
      <c r="M1012" s="1"/>
      <c r="N1012" s="1"/>
      <c r="O1012" s="1"/>
      <c r="P1012" s="1"/>
      <c r="Q1012" s="1"/>
      <c r="R1012" s="1"/>
      <c r="S1012" s="1"/>
      <c r="T1012" s="1"/>
      <c r="U1012" s="1"/>
      <c r="V1012" s="1"/>
      <c r="W1012" s="1"/>
      <c r="X1012" s="1"/>
      <c r="Y1012" s="1"/>
      <c r="Z1012" s="1"/>
    </row>
    <row r="1013" spans="1:26" ht="12.75">
      <c r="A1013" s="1"/>
      <c r="B1013" s="1"/>
      <c r="C1013" s="20"/>
      <c r="D1013" s="1"/>
      <c r="E1013" s="1"/>
      <c r="F1013" s="20"/>
      <c r="G1013" s="1"/>
      <c r="H1013" s="1"/>
      <c r="I1013" s="1"/>
      <c r="J1013" s="1"/>
      <c r="K1013" s="1"/>
      <c r="L1013" s="1"/>
      <c r="M1013" s="1"/>
      <c r="N1013" s="1"/>
      <c r="O1013" s="1"/>
      <c r="P1013" s="1"/>
      <c r="Q1013" s="1"/>
      <c r="R1013" s="1"/>
      <c r="S1013" s="1"/>
      <c r="T1013" s="1"/>
      <c r="U1013" s="1"/>
      <c r="V1013" s="1"/>
      <c r="W1013" s="1"/>
      <c r="X1013" s="1"/>
      <c r="Y1013" s="1"/>
      <c r="Z1013" s="1"/>
    </row>
    <row r="1014" spans="1:26" ht="12.75">
      <c r="A1014" s="1"/>
      <c r="B1014" s="1"/>
      <c r="C1014" s="20"/>
      <c r="D1014" s="1"/>
      <c r="E1014" s="1"/>
      <c r="F1014" s="20"/>
      <c r="G1014" s="1"/>
      <c r="H1014" s="1"/>
      <c r="I1014" s="1"/>
      <c r="J1014" s="1"/>
      <c r="K1014" s="1"/>
      <c r="L1014" s="1"/>
      <c r="M1014" s="1"/>
      <c r="N1014" s="1"/>
      <c r="O1014" s="1"/>
      <c r="P1014" s="1"/>
      <c r="Q1014" s="1"/>
      <c r="R1014" s="1"/>
      <c r="S1014" s="1"/>
      <c r="T1014" s="1"/>
      <c r="U1014" s="1"/>
      <c r="V1014" s="1"/>
      <c r="W1014" s="1"/>
      <c r="X1014" s="1"/>
      <c r="Y1014" s="1"/>
      <c r="Z1014" s="1"/>
    </row>
    <row r="1015" spans="1:26" ht="12.75">
      <c r="A1015" s="1"/>
      <c r="B1015" s="1"/>
      <c r="C1015" s="20"/>
      <c r="D1015" s="1"/>
      <c r="E1015" s="1"/>
      <c r="F1015" s="20"/>
      <c r="G1015" s="1"/>
      <c r="H1015" s="1"/>
      <c r="I1015" s="1"/>
      <c r="J1015" s="1"/>
      <c r="K1015" s="1"/>
      <c r="L1015" s="1"/>
      <c r="M1015" s="1"/>
      <c r="N1015" s="1"/>
      <c r="O1015" s="1"/>
      <c r="P1015" s="1"/>
      <c r="Q1015" s="1"/>
      <c r="R1015" s="1"/>
      <c r="S1015" s="1"/>
      <c r="T1015" s="1"/>
      <c r="U1015" s="1"/>
      <c r="V1015" s="1"/>
      <c r="W1015" s="1"/>
      <c r="X1015" s="1"/>
      <c r="Y1015" s="1"/>
      <c r="Z1015" s="1"/>
    </row>
    <row r="1016" spans="1:26" ht="12.75">
      <c r="A1016" s="1"/>
      <c r="B1016" s="1"/>
      <c r="C1016" s="20"/>
      <c r="D1016" s="1"/>
      <c r="E1016" s="1"/>
      <c r="F1016" s="20"/>
      <c r="G1016" s="1"/>
      <c r="H1016" s="1"/>
      <c r="I1016" s="1"/>
      <c r="J1016" s="1"/>
      <c r="K1016" s="1"/>
      <c r="L1016" s="1"/>
      <c r="M1016" s="1"/>
      <c r="N1016" s="1"/>
      <c r="O1016" s="1"/>
      <c r="P1016" s="1"/>
      <c r="Q1016" s="1"/>
      <c r="R1016" s="1"/>
      <c r="S1016" s="1"/>
      <c r="T1016" s="1"/>
      <c r="U1016" s="1"/>
      <c r="V1016" s="1"/>
      <c r="W1016" s="1"/>
      <c r="X1016" s="1"/>
      <c r="Y1016" s="1"/>
      <c r="Z1016" s="1"/>
    </row>
    <row r="1017" spans="1:26" ht="12.75">
      <c r="A1017" s="1"/>
      <c r="B1017" s="1"/>
      <c r="C1017" s="20"/>
      <c r="D1017" s="1"/>
      <c r="E1017" s="1"/>
      <c r="F1017" s="20"/>
      <c r="G1017" s="1"/>
      <c r="H1017" s="1"/>
      <c r="I1017" s="1"/>
      <c r="J1017" s="1"/>
      <c r="K1017" s="1"/>
      <c r="L1017" s="1"/>
      <c r="M1017" s="1"/>
      <c r="N1017" s="1"/>
      <c r="O1017" s="1"/>
      <c r="P1017" s="1"/>
      <c r="Q1017" s="1"/>
      <c r="R1017" s="1"/>
      <c r="S1017" s="1"/>
      <c r="T1017" s="1"/>
      <c r="U1017" s="1"/>
      <c r="V1017" s="1"/>
      <c r="W1017" s="1"/>
      <c r="X1017" s="1"/>
      <c r="Y1017" s="1"/>
      <c r="Z1017" s="1"/>
    </row>
    <row r="1018" spans="1:26" ht="12.75">
      <c r="A1018" s="1"/>
      <c r="B1018" s="1"/>
      <c r="C1018" s="20"/>
      <c r="D1018" s="1"/>
      <c r="E1018" s="1"/>
      <c r="F1018" s="20"/>
      <c r="G1018" s="1"/>
      <c r="H1018" s="1"/>
      <c r="I1018" s="1"/>
      <c r="J1018" s="1"/>
      <c r="K1018" s="1"/>
      <c r="L1018" s="1"/>
      <c r="M1018" s="1"/>
      <c r="N1018" s="1"/>
      <c r="O1018" s="1"/>
      <c r="P1018" s="1"/>
      <c r="Q1018" s="1"/>
      <c r="R1018" s="1"/>
      <c r="S1018" s="1"/>
      <c r="T1018" s="1"/>
      <c r="U1018" s="1"/>
      <c r="V1018" s="1"/>
      <c r="W1018" s="1"/>
      <c r="X1018" s="1"/>
      <c r="Y1018" s="1"/>
      <c r="Z1018" s="1"/>
    </row>
    <row r="1019" spans="1:26" ht="12.75">
      <c r="A1019" s="1"/>
      <c r="B1019" s="1"/>
      <c r="C1019" s="20"/>
      <c r="D1019" s="1"/>
      <c r="E1019" s="1"/>
      <c r="F1019" s="20"/>
      <c r="G1019" s="1"/>
      <c r="H1019" s="1"/>
      <c r="I1019" s="1"/>
      <c r="J1019" s="1"/>
      <c r="K1019" s="1"/>
      <c r="L1019" s="1"/>
      <c r="M1019" s="1"/>
      <c r="N1019" s="1"/>
      <c r="O1019" s="1"/>
      <c r="P1019" s="1"/>
      <c r="Q1019" s="1"/>
      <c r="R1019" s="1"/>
      <c r="S1019" s="1"/>
      <c r="T1019" s="1"/>
      <c r="U1019" s="1"/>
      <c r="V1019" s="1"/>
      <c r="W1019" s="1"/>
      <c r="X1019" s="1"/>
      <c r="Y1019" s="1"/>
      <c r="Z1019" s="1"/>
    </row>
  </sheetData>
  <sheetProtection selectLockedCells="1" pivotTables="0"/>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xr:uid="{00000000-0002-0000-0400-000000000000}">
          <x14:formula1>
            <xm:f>'ITEM LIST'!$B$2:$B$479</xm:f>
          </x14:formula1>
          <xm:sqref>B220 B2:B203 B490 B485 B483 B278 B461 B458 B455:B456 B445:B453 B441:B443 B425:B439 B215 B211:B212 B230 B243:B262 B272 B270 B285 B291 B295:B299 B318:B403 B305:B309 B311 B303 B313:B316 B492:B494</xm:sqref>
        </x14:dataValidation>
        <x14:dataValidation type="list" allowBlank="1" xr:uid="{00000000-0002-0000-0400-000002000000}">
          <x14:formula1>
            <xm:f>'ITEM LIST'!$B$2:$B$493</xm:f>
          </x14:formula1>
          <xm:sqref>B221:B229 B231:B242 B263:B268 B405:B422 B273:B276 B279:B284 B286:B290 B292:B294 B300:B302</xm:sqref>
        </x14:dataValidation>
        <x14:dataValidation type="list" allowBlank="1" xr:uid="{00000000-0002-0000-0400-000003000000}">
          <x14:formula1>
            <xm:f>'ITEM LIST'!$B:$B</xm:f>
          </x14:formula1>
          <xm:sqref>B204:B210 B213:B214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C000"/>
    <outlinePr summaryBelow="0" summaryRight="0"/>
  </sheetPr>
  <dimension ref="A1:I199"/>
  <sheetViews>
    <sheetView topLeftCell="A19" workbookViewId="0">
      <selection activeCell="C26" sqref="C26"/>
    </sheetView>
  </sheetViews>
  <sheetFormatPr defaultColWidth="12.5703125" defaultRowHeight="15.75" customHeight="1"/>
  <cols>
    <col min="1" max="1" width="18.85546875" customWidth="1"/>
    <col min="2" max="2" width="25.85546875" customWidth="1"/>
    <col min="3" max="3" width="21.85546875" customWidth="1"/>
    <col min="4" max="4" width="15.42578125" bestFit="1" customWidth="1"/>
    <col min="8" max="8" width="30.7109375" customWidth="1"/>
    <col min="9" max="9" width="21.5703125" customWidth="1"/>
  </cols>
  <sheetData>
    <row r="1" spans="1:9" ht="23.25">
      <c r="A1" s="264" t="s">
        <v>307</v>
      </c>
      <c r="B1" s="265"/>
      <c r="C1" s="265"/>
      <c r="D1" s="265"/>
      <c r="E1" s="265"/>
    </row>
    <row r="2" spans="1:9" ht="15.75" customHeight="1">
      <c r="A2" s="98" t="s">
        <v>125</v>
      </c>
      <c r="B2" s="99" t="s">
        <v>126</v>
      </c>
      <c r="C2" s="99" t="s">
        <v>302</v>
      </c>
      <c r="D2" s="99" t="s">
        <v>303</v>
      </c>
      <c r="E2" s="100" t="s">
        <v>128</v>
      </c>
    </row>
    <row r="3" spans="1:9" ht="15.75" customHeight="1">
      <c r="A3" s="97" t="s">
        <v>89</v>
      </c>
      <c r="B3" s="33" t="s">
        <v>90</v>
      </c>
      <c r="C3" s="33" t="s">
        <v>545</v>
      </c>
      <c r="D3" s="27">
        <v>410</v>
      </c>
      <c r="E3" s="81">
        <f>IF(C3="","",IFERROR(VLOOKUP(C3,'ITEM LIST'!B:M,12,0)*D3,0))</f>
        <v>67.608658333333338</v>
      </c>
      <c r="F3" s="3"/>
      <c r="H3" s="3"/>
    </row>
    <row r="4" spans="1:9" ht="15.75" customHeight="1">
      <c r="A4" s="97" t="s">
        <v>89</v>
      </c>
      <c r="B4" s="33" t="s">
        <v>90</v>
      </c>
      <c r="C4" s="33" t="s">
        <v>488</v>
      </c>
      <c r="D4" s="27">
        <v>24</v>
      </c>
      <c r="E4" s="81">
        <f>IF(C4="","",IFERROR(VLOOKUP(C4,'ITEM LIST'!B:M,12,0)*D4,0))</f>
        <v>11.28</v>
      </c>
      <c r="I4" s="3"/>
    </row>
    <row r="5" spans="1:9" ht="15.75" customHeight="1">
      <c r="A5" s="97" t="s">
        <v>89</v>
      </c>
      <c r="B5" s="33" t="s">
        <v>90</v>
      </c>
      <c r="C5" s="33" t="s">
        <v>4</v>
      </c>
      <c r="D5" s="27">
        <v>80</v>
      </c>
      <c r="E5" s="81">
        <f>IF(C5="","",IFERROR(VLOOKUP(C5,'ITEM LIST'!B:M,12,0)*D5,0))</f>
        <v>17.04</v>
      </c>
    </row>
    <row r="6" spans="1:9" ht="15.75" customHeight="1">
      <c r="A6" s="97" t="s">
        <v>89</v>
      </c>
      <c r="B6" s="33" t="s">
        <v>90</v>
      </c>
      <c r="C6" s="33" t="s">
        <v>114</v>
      </c>
      <c r="D6" s="27">
        <v>5</v>
      </c>
      <c r="E6" s="81">
        <f>IF(C6="","",IFERROR(VLOOKUP(C6,'ITEM LIST'!B:M,12,0)*D6,0))</f>
        <v>0.14000000000000001</v>
      </c>
      <c r="H6" s="3"/>
    </row>
    <row r="7" spans="1:9" ht="15.75" customHeight="1">
      <c r="A7" s="97" t="s">
        <v>89</v>
      </c>
      <c r="B7" s="33" t="s">
        <v>90</v>
      </c>
      <c r="C7" s="33" t="s">
        <v>380</v>
      </c>
      <c r="D7" s="27">
        <v>10</v>
      </c>
      <c r="E7" s="81">
        <f>IF(C7="","",IFERROR(VLOOKUP(C7,'ITEM LIST'!B:M,12,0)*D7,0))</f>
        <v>5.3333000000000013</v>
      </c>
      <c r="H7" s="3"/>
    </row>
    <row r="8" spans="1:9" ht="15.75" customHeight="1">
      <c r="A8" s="97" t="s">
        <v>89</v>
      </c>
      <c r="B8" s="33" t="s">
        <v>371</v>
      </c>
      <c r="C8" s="33" t="s">
        <v>371</v>
      </c>
      <c r="D8" s="28"/>
      <c r="E8" s="81" t="str">
        <f>IF(C8="","",IFERROR(VLOOKUP(C8,'ITEM LIST'!B:M,12,0)*D8,0))</f>
        <v/>
      </c>
      <c r="H8" s="3"/>
    </row>
    <row r="9" spans="1:9" ht="15.75" customHeight="1">
      <c r="A9" s="97" t="s">
        <v>89</v>
      </c>
      <c r="B9" s="33" t="s">
        <v>117</v>
      </c>
      <c r="C9" s="33" t="s">
        <v>548</v>
      </c>
      <c r="D9" s="27">
        <v>315</v>
      </c>
      <c r="E9" s="81">
        <f>IF(C9="","",IFERROR(VLOOKUP(C9,'ITEM LIST'!B:M,12,0)*D9,0))</f>
        <v>11.453772633333337</v>
      </c>
    </row>
    <row r="10" spans="1:9" ht="15.75" customHeight="1">
      <c r="A10" s="97" t="s">
        <v>89</v>
      </c>
      <c r="B10" s="33" t="s">
        <v>117</v>
      </c>
      <c r="C10" s="33" t="s">
        <v>280</v>
      </c>
      <c r="D10" s="27">
        <v>90</v>
      </c>
      <c r="E10" s="81">
        <f>IF(C10="","",IFERROR(VLOOKUP(C10,'ITEM LIST'!B:M,12,0)*D10,0))</f>
        <v>15.096350364963502</v>
      </c>
    </row>
    <row r="11" spans="1:9" ht="15.75" customHeight="1">
      <c r="A11" s="97" t="s">
        <v>89</v>
      </c>
      <c r="B11" s="33" t="s">
        <v>117</v>
      </c>
      <c r="C11" s="33" t="s">
        <v>122</v>
      </c>
      <c r="D11" s="27">
        <v>56.7</v>
      </c>
      <c r="E11" s="81">
        <f>IF(C11="","",IFERROR(VLOOKUP(C11,'ITEM LIST'!B:M,12,0)*D11,0))</f>
        <v>15.876000000000003</v>
      </c>
    </row>
    <row r="12" spans="1:9" ht="15.75" customHeight="1">
      <c r="A12" s="97" t="s">
        <v>89</v>
      </c>
      <c r="B12" s="33" t="s">
        <v>117</v>
      </c>
      <c r="C12" s="33" t="s">
        <v>348</v>
      </c>
      <c r="D12" s="27">
        <v>9</v>
      </c>
      <c r="E12" s="81">
        <f>IF(C12="","",IFERROR(VLOOKUP(C12,'ITEM LIST'!B:M,12,0)*D12,0))</f>
        <v>6.39</v>
      </c>
    </row>
    <row r="13" spans="1:9" ht="15.75" customHeight="1">
      <c r="A13" s="97" t="s">
        <v>89</v>
      </c>
      <c r="B13" s="33" t="s">
        <v>117</v>
      </c>
      <c r="C13" s="33" t="s">
        <v>514</v>
      </c>
      <c r="D13" s="27">
        <v>9</v>
      </c>
      <c r="E13" s="81">
        <f>IF(C13="","",IFERROR(VLOOKUP(C13,'ITEM LIST'!B:M,12,0)*D13,0))</f>
        <v>6.516</v>
      </c>
    </row>
    <row r="14" spans="1:9" ht="15.75" customHeight="1">
      <c r="A14" s="97" t="s">
        <v>89</v>
      </c>
      <c r="B14" s="33" t="s">
        <v>117</v>
      </c>
      <c r="C14" s="33" t="s">
        <v>347</v>
      </c>
      <c r="D14" s="27">
        <v>8.1</v>
      </c>
      <c r="E14" s="81">
        <f>IF(C14="","",IFERROR(VLOOKUP(C14,'ITEM LIST'!B:M,12,0)*D14,0))</f>
        <v>5.508</v>
      </c>
    </row>
    <row r="15" spans="1:9" ht="15.75" customHeight="1">
      <c r="A15" s="97" t="s">
        <v>89</v>
      </c>
      <c r="B15" s="33" t="s">
        <v>117</v>
      </c>
      <c r="C15" s="33" t="s">
        <v>12</v>
      </c>
      <c r="D15" s="27">
        <v>8.1</v>
      </c>
      <c r="E15" s="81">
        <f>IF(C15="","",IFERROR(VLOOKUP(C15,'ITEM LIST'!B:M,12,0)*D15,0))</f>
        <v>0.78569999999999995</v>
      </c>
    </row>
    <row r="16" spans="1:9" ht="15.75" customHeight="1">
      <c r="A16" s="97" t="s">
        <v>89</v>
      </c>
      <c r="B16" s="33" t="s">
        <v>117</v>
      </c>
      <c r="C16" s="33" t="s">
        <v>114</v>
      </c>
      <c r="D16" s="27">
        <v>12.6</v>
      </c>
      <c r="E16" s="81">
        <f>IF(C16="","",IFERROR(VLOOKUP(C16,'ITEM LIST'!B:M,12,0)*D16,0))</f>
        <v>0.3528</v>
      </c>
    </row>
    <row r="17" spans="1:5" ht="15.75" customHeight="1">
      <c r="A17" s="97" t="s">
        <v>89</v>
      </c>
      <c r="B17" s="33" t="s">
        <v>117</v>
      </c>
      <c r="C17" s="33" t="s">
        <v>511</v>
      </c>
      <c r="D17" s="27">
        <v>22.5</v>
      </c>
      <c r="E17" s="81">
        <f>IF(C17="","",IFERROR(VLOOKUP(C17,'ITEM LIST'!B:M,12,0)*D17,0))</f>
        <v>0.9</v>
      </c>
    </row>
    <row r="18" spans="1:5" ht="15.75" customHeight="1">
      <c r="A18" s="97" t="s">
        <v>89</v>
      </c>
      <c r="B18" s="33" t="s">
        <v>117</v>
      </c>
      <c r="C18" s="33" t="s">
        <v>2</v>
      </c>
      <c r="D18" s="27">
        <v>1.8</v>
      </c>
      <c r="E18" s="81">
        <f>IF(C18="","",IFERROR(VLOOKUP(C18,'ITEM LIST'!B:M,12,0)*D18,0))</f>
        <v>0.86399999999999999</v>
      </c>
    </row>
    <row r="19" spans="1:5" ht="15.75" customHeight="1">
      <c r="A19" s="97" t="s">
        <v>89</v>
      </c>
      <c r="B19" s="33" t="s">
        <v>117</v>
      </c>
      <c r="C19" s="33" t="s">
        <v>488</v>
      </c>
      <c r="D19" s="27">
        <v>45</v>
      </c>
      <c r="E19" s="81">
        <f>IF(C19="","",IFERROR(VLOOKUP(C19,'ITEM LIST'!B:M,12,0)*D19,0))</f>
        <v>21.15</v>
      </c>
    </row>
    <row r="20" spans="1:5" ht="15.75" customHeight="1">
      <c r="A20" s="97" t="s">
        <v>89</v>
      </c>
      <c r="B20" s="33" t="s">
        <v>117</v>
      </c>
      <c r="C20" s="33" t="s">
        <v>4</v>
      </c>
      <c r="D20" s="27">
        <v>75.600000000000009</v>
      </c>
      <c r="E20" s="81">
        <f>IF(C20="","",IFERROR(VLOOKUP(C20,'ITEM LIST'!B:M,12,0)*D20,0))</f>
        <v>16.102800000000002</v>
      </c>
    </row>
    <row r="21" spans="1:5" ht="14.25">
      <c r="A21" s="97" t="s">
        <v>89</v>
      </c>
      <c r="B21" s="33" t="s">
        <v>117</v>
      </c>
      <c r="C21" s="33" t="s">
        <v>17</v>
      </c>
      <c r="D21" s="27">
        <v>135</v>
      </c>
      <c r="E21" s="81">
        <f>IF(C21="","",IFERROR(VLOOKUP(C21,'ITEM LIST'!B:M,12,0)*D21,0))</f>
        <v>36.450000000000003</v>
      </c>
    </row>
    <row r="22" spans="1:5" ht="14.25">
      <c r="A22" s="97" t="s">
        <v>89</v>
      </c>
      <c r="B22" s="33" t="s">
        <v>117</v>
      </c>
      <c r="C22" s="33" t="s">
        <v>149</v>
      </c>
      <c r="D22" s="27">
        <v>11.700000000000001</v>
      </c>
      <c r="E22" s="81">
        <f>IF(C22="","",IFERROR(VLOOKUP(C22,'ITEM LIST'!B:M,12,0)*D22,0))</f>
        <v>1.5210000000000001</v>
      </c>
    </row>
    <row r="23" spans="1:5" ht="14.25">
      <c r="A23" s="97" t="s">
        <v>89</v>
      </c>
      <c r="B23" s="33" t="s">
        <v>371</v>
      </c>
      <c r="C23" s="33" t="s">
        <v>371</v>
      </c>
      <c r="D23" s="28"/>
      <c r="E23" s="81" t="str">
        <f>IF(C23="","",IFERROR(VLOOKUP(C23,'ITEM LIST'!B:M,12,0)*D23,0))</f>
        <v/>
      </c>
    </row>
    <row r="24" spans="1:5" ht="14.25">
      <c r="A24" s="97" t="s">
        <v>89</v>
      </c>
      <c r="B24" s="33" t="s">
        <v>632</v>
      </c>
      <c r="C24" s="33" t="s">
        <v>548</v>
      </c>
      <c r="D24" s="27">
        <v>230.4</v>
      </c>
      <c r="E24" s="81">
        <f>IF(C24="","",IFERROR(VLOOKUP(C24,'ITEM LIST'!B:M,12,0)*D24,0))</f>
        <v>8.3776165546666697</v>
      </c>
    </row>
    <row r="25" spans="1:5" ht="14.25">
      <c r="A25" s="97" t="s">
        <v>89</v>
      </c>
      <c r="B25" s="33" t="s">
        <v>632</v>
      </c>
      <c r="C25" s="33" t="s">
        <v>280</v>
      </c>
      <c r="D25" s="27">
        <v>94.5</v>
      </c>
      <c r="E25" s="81">
        <f>IF(C25="","",IFERROR(VLOOKUP(C25,'ITEM LIST'!B:M,12,0)*D25,0))</f>
        <v>15.851167883211678</v>
      </c>
    </row>
    <row r="26" spans="1:5" ht="14.25">
      <c r="A26" s="97" t="s">
        <v>89</v>
      </c>
      <c r="B26" s="33" t="s">
        <v>632</v>
      </c>
      <c r="C26" s="33" t="s">
        <v>4</v>
      </c>
      <c r="D26" s="27">
        <v>63</v>
      </c>
      <c r="E26" s="81">
        <f>IF(C26="","",IFERROR(VLOOKUP(C26,'ITEM LIST'!B:M,12,0)*D26,0))</f>
        <v>13.419</v>
      </c>
    </row>
    <row r="27" spans="1:5" ht="14.25">
      <c r="A27" s="97" t="s">
        <v>89</v>
      </c>
      <c r="B27" s="33" t="s">
        <v>632</v>
      </c>
      <c r="C27" s="33" t="s">
        <v>114</v>
      </c>
      <c r="D27" s="27">
        <v>13.5</v>
      </c>
      <c r="E27" s="81">
        <f>IF(C27="","",IFERROR(VLOOKUP(C27,'ITEM LIST'!B:M,12,0)*D27,0))</f>
        <v>0.378</v>
      </c>
    </row>
    <row r="28" spans="1:5" ht="14.25">
      <c r="A28" s="97" t="s">
        <v>89</v>
      </c>
      <c r="B28" s="33" t="s">
        <v>632</v>
      </c>
      <c r="C28" s="33" t="s">
        <v>12</v>
      </c>
      <c r="D28" s="27">
        <v>10.8</v>
      </c>
      <c r="E28" s="81">
        <f>IF(C28="","",IFERROR(VLOOKUP(C28,'ITEM LIST'!B:M,12,0)*D28,0))</f>
        <v>1.0476000000000001</v>
      </c>
    </row>
    <row r="29" spans="1:5" ht="14.25">
      <c r="A29" s="97" t="s">
        <v>89</v>
      </c>
      <c r="B29" s="33" t="s">
        <v>632</v>
      </c>
      <c r="C29" s="33" t="s">
        <v>2</v>
      </c>
      <c r="D29" s="27">
        <v>1.8</v>
      </c>
      <c r="E29" s="81">
        <f>IF(C29="","",IFERROR(VLOOKUP(C29,'ITEM LIST'!B:M,12,0)*D29,0))</f>
        <v>0.86399999999999999</v>
      </c>
    </row>
    <row r="30" spans="1:5" ht="14.25">
      <c r="A30" s="97" t="s">
        <v>89</v>
      </c>
      <c r="B30" s="33" t="s">
        <v>632</v>
      </c>
      <c r="C30" s="33" t="s">
        <v>496</v>
      </c>
      <c r="D30" s="27">
        <v>9</v>
      </c>
      <c r="E30" s="81">
        <f>IF(C30="","",IFERROR(VLOOKUP(C30,'ITEM LIST'!B:M,12,0)*D30,0))</f>
        <v>1.44</v>
      </c>
    </row>
    <row r="31" spans="1:5" ht="14.25">
      <c r="A31" s="97" t="s">
        <v>89</v>
      </c>
      <c r="B31" s="33" t="s">
        <v>632</v>
      </c>
      <c r="C31" s="33" t="s">
        <v>122</v>
      </c>
      <c r="D31" s="27">
        <v>36.9</v>
      </c>
      <c r="E31" s="81">
        <f>IF(C31="","",IFERROR(VLOOKUP(C31,'ITEM LIST'!B:M,12,0)*D31,0))</f>
        <v>10.332000000000001</v>
      </c>
    </row>
    <row r="32" spans="1:5" ht="14.25">
      <c r="A32" s="97" t="s">
        <v>89</v>
      </c>
      <c r="B32" s="33" t="s">
        <v>632</v>
      </c>
      <c r="C32" s="33" t="s">
        <v>17</v>
      </c>
      <c r="D32" s="27">
        <v>144</v>
      </c>
      <c r="E32" s="81">
        <f>IF(C32="","",IFERROR(VLOOKUP(C32,'ITEM LIST'!B:M,12,0)*D32,0))</f>
        <v>38.880000000000003</v>
      </c>
    </row>
    <row r="33" spans="1:5" ht="14.25">
      <c r="A33" s="97" t="s">
        <v>89</v>
      </c>
      <c r="B33" s="33" t="s">
        <v>371</v>
      </c>
      <c r="C33" s="33" t="s">
        <v>371</v>
      </c>
      <c r="D33" s="28"/>
      <c r="E33" s="81" t="str">
        <f>IF(C33="","",IFERROR(VLOOKUP(C33,'ITEM LIST'!B:M,12,0)*D33,0))</f>
        <v/>
      </c>
    </row>
    <row r="34" spans="1:5" ht="14.25">
      <c r="A34" s="97" t="s">
        <v>89</v>
      </c>
      <c r="B34" s="33" t="s">
        <v>112</v>
      </c>
      <c r="C34" s="33" t="s">
        <v>17</v>
      </c>
      <c r="D34" s="27">
        <v>135</v>
      </c>
      <c r="E34" s="81">
        <f>IF(C34="","",IFERROR(VLOOKUP(C34,'ITEM LIST'!B:M,12,0)*D34,0))</f>
        <v>36.450000000000003</v>
      </c>
    </row>
    <row r="35" spans="1:5" ht="14.25">
      <c r="A35" s="97" t="s">
        <v>89</v>
      </c>
      <c r="B35" s="33" t="s">
        <v>112</v>
      </c>
      <c r="C35" s="33" t="s">
        <v>548</v>
      </c>
      <c r="D35" s="27">
        <v>270</v>
      </c>
      <c r="E35" s="81">
        <f>IF(C35="","",IFERROR(VLOOKUP(C35,'ITEM LIST'!B:M,12,0)*D35,0))</f>
        <v>9.8175194000000019</v>
      </c>
    </row>
    <row r="36" spans="1:5" ht="14.25">
      <c r="A36" s="97" t="s">
        <v>89</v>
      </c>
      <c r="B36" s="33" t="s">
        <v>112</v>
      </c>
      <c r="C36" s="33" t="s">
        <v>280</v>
      </c>
      <c r="D36" s="27">
        <v>72</v>
      </c>
      <c r="E36" s="81">
        <f>IF(C36="","",IFERROR(VLOOKUP(C36,'ITEM LIST'!B:M,12,0)*D36,0))</f>
        <v>12.077080291970802</v>
      </c>
    </row>
    <row r="37" spans="1:5" ht="14.25">
      <c r="A37" s="97" t="s">
        <v>89</v>
      </c>
      <c r="B37" s="33" t="s">
        <v>112</v>
      </c>
      <c r="C37" s="33" t="s">
        <v>25</v>
      </c>
      <c r="D37" s="27">
        <v>16.2</v>
      </c>
      <c r="E37" s="81">
        <f>IF(C37="","",IFERROR(VLOOKUP(C37,'ITEM LIST'!B:M,12,0)*D37,0))</f>
        <v>0.4536</v>
      </c>
    </row>
    <row r="38" spans="1:5" ht="14.25">
      <c r="A38" s="97" t="s">
        <v>89</v>
      </c>
      <c r="B38" s="33" t="s">
        <v>112</v>
      </c>
      <c r="C38" s="33" t="s">
        <v>488</v>
      </c>
      <c r="D38" s="27">
        <v>21.6</v>
      </c>
      <c r="E38" s="81">
        <f>IF(C38="","",IFERROR(VLOOKUP(C38,'ITEM LIST'!B:M,12,0)*D38,0))</f>
        <v>10.151999999999999</v>
      </c>
    </row>
    <row r="39" spans="1:5" ht="14.25">
      <c r="A39" s="97" t="s">
        <v>89</v>
      </c>
      <c r="B39" s="33" t="s">
        <v>112</v>
      </c>
      <c r="C39" s="33" t="s">
        <v>4</v>
      </c>
      <c r="D39" s="27">
        <v>72</v>
      </c>
      <c r="E39" s="81">
        <f>IF(C39="","",IFERROR(VLOOKUP(C39,'ITEM LIST'!B:M,12,0)*D39,0))</f>
        <v>15.336</v>
      </c>
    </row>
    <row r="40" spans="1:5" ht="14.25">
      <c r="A40" s="97" t="s">
        <v>89</v>
      </c>
      <c r="B40" s="33" t="s">
        <v>112</v>
      </c>
      <c r="C40" s="33" t="s">
        <v>114</v>
      </c>
      <c r="D40" s="27">
        <v>4.5</v>
      </c>
      <c r="E40" s="81">
        <f>IF(C40="","",IFERROR(VLOOKUP(C40,'ITEM LIST'!B:M,12,0)*D40,0))</f>
        <v>0.126</v>
      </c>
    </row>
    <row r="41" spans="1:5" ht="14.25">
      <c r="A41" s="97" t="s">
        <v>89</v>
      </c>
      <c r="B41" s="33" t="s">
        <v>112</v>
      </c>
      <c r="C41" s="33" t="s">
        <v>549</v>
      </c>
      <c r="D41" s="27">
        <v>52.2</v>
      </c>
      <c r="E41" s="81">
        <f>IF(C41="","",IFERROR(VLOOKUP(C41,'ITEM LIST'!B:M,12,0)*D41,0))</f>
        <v>2.1034227272727275</v>
      </c>
    </row>
    <row r="42" spans="1:5" ht="14.25">
      <c r="A42" s="97" t="s">
        <v>89</v>
      </c>
      <c r="B42" s="33" t="s">
        <v>371</v>
      </c>
      <c r="C42" s="33" t="s">
        <v>371</v>
      </c>
      <c r="D42" s="28"/>
      <c r="E42" s="81" t="str">
        <f>IF(C42="","",IFERROR(VLOOKUP(C42,'ITEM LIST'!B:M,12,0)*D42,0))</f>
        <v/>
      </c>
    </row>
    <row r="43" spans="1:5" ht="14.25">
      <c r="A43" s="97" t="s">
        <v>89</v>
      </c>
      <c r="B43" s="33" t="s">
        <v>633</v>
      </c>
      <c r="C43" s="33" t="s">
        <v>17</v>
      </c>
      <c r="D43" s="27">
        <v>121.5</v>
      </c>
      <c r="E43" s="81">
        <f>IF(C43="","",IFERROR(VLOOKUP(C43,'ITEM LIST'!B:M,12,0)*D43,0))</f>
        <v>32.805</v>
      </c>
    </row>
    <row r="44" spans="1:5" ht="14.25">
      <c r="A44" s="97" t="s">
        <v>89</v>
      </c>
      <c r="B44" s="33" t="s">
        <v>633</v>
      </c>
      <c r="C44" s="33" t="s">
        <v>548</v>
      </c>
      <c r="D44" s="27">
        <v>162</v>
      </c>
      <c r="E44" s="81">
        <f>IF(C44="","",IFERROR(VLOOKUP(C44,'ITEM LIST'!B:M,12,0)*D44,0))</f>
        <v>5.8905116400000015</v>
      </c>
    </row>
    <row r="45" spans="1:5" ht="14.25">
      <c r="A45" s="97" t="s">
        <v>89</v>
      </c>
      <c r="B45" s="33" t="s">
        <v>633</v>
      </c>
      <c r="C45" s="33" t="s">
        <v>280</v>
      </c>
      <c r="D45" s="27">
        <v>81</v>
      </c>
      <c r="E45" s="81">
        <f>IF(C45="","",IFERROR(VLOOKUP(C45,'ITEM LIST'!B:M,12,0)*D45,0))</f>
        <v>13.586715328467152</v>
      </c>
    </row>
    <row r="46" spans="1:5" ht="14.25">
      <c r="A46" s="97" t="s">
        <v>89</v>
      </c>
      <c r="B46" s="33" t="s">
        <v>633</v>
      </c>
      <c r="C46" s="33" t="s">
        <v>25</v>
      </c>
      <c r="D46" s="27">
        <v>28.35</v>
      </c>
      <c r="E46" s="81">
        <f>IF(C46="","",IFERROR(VLOOKUP(C46,'ITEM LIST'!B:M,12,0)*D46,0))</f>
        <v>0.79380000000000006</v>
      </c>
    </row>
    <row r="47" spans="1:5" ht="14.25">
      <c r="A47" s="97" t="s">
        <v>89</v>
      </c>
      <c r="B47" s="33" t="s">
        <v>633</v>
      </c>
      <c r="C47" s="33" t="s">
        <v>488</v>
      </c>
      <c r="D47" s="27">
        <v>19.440000000000001</v>
      </c>
      <c r="E47" s="81">
        <f>IF(C47="","",IFERROR(VLOOKUP(C47,'ITEM LIST'!B:M,12,0)*D47,0))</f>
        <v>9.1368000000000009</v>
      </c>
    </row>
    <row r="48" spans="1:5" ht="14.25">
      <c r="A48" s="97" t="s">
        <v>89</v>
      </c>
      <c r="B48" s="33" t="s">
        <v>633</v>
      </c>
      <c r="C48" s="33" t="s">
        <v>4</v>
      </c>
      <c r="D48" s="27">
        <v>64.8</v>
      </c>
      <c r="E48" s="81">
        <f>IF(C48="","",IFERROR(VLOOKUP(C48,'ITEM LIST'!B:M,12,0)*D48,0))</f>
        <v>13.802399999999999</v>
      </c>
    </row>
    <row r="49" spans="1:9" ht="14.25">
      <c r="A49" s="97" t="s">
        <v>89</v>
      </c>
      <c r="B49" s="33" t="s">
        <v>633</v>
      </c>
      <c r="C49" s="33" t="s">
        <v>114</v>
      </c>
      <c r="D49" s="27">
        <v>16.2</v>
      </c>
      <c r="E49" s="81">
        <f>IF(C49="","",IFERROR(VLOOKUP(C49,'ITEM LIST'!B:M,12,0)*D49,0))</f>
        <v>0.4536</v>
      </c>
    </row>
    <row r="50" spans="1:9" ht="14.25">
      <c r="A50" s="97" t="s">
        <v>89</v>
      </c>
      <c r="B50" s="33" t="s">
        <v>633</v>
      </c>
      <c r="C50" s="33" t="s">
        <v>549</v>
      </c>
      <c r="D50" s="27">
        <v>81</v>
      </c>
      <c r="E50" s="81">
        <f>IF(C50="","",IFERROR(VLOOKUP(C50,'ITEM LIST'!B:M,12,0)*D50,0))</f>
        <v>3.2639318181818182</v>
      </c>
    </row>
    <row r="51" spans="1:9" ht="14.25">
      <c r="A51" s="97" t="s">
        <v>89</v>
      </c>
      <c r="B51" s="33" t="s">
        <v>633</v>
      </c>
      <c r="C51" s="33" t="s">
        <v>20</v>
      </c>
      <c r="D51" s="27">
        <v>32.4</v>
      </c>
      <c r="E51" s="81">
        <f>IF(C51="","",IFERROR(VLOOKUP(C51,'ITEM LIST'!B:M,12,0)*D51,0))</f>
        <v>0.61559999999999993</v>
      </c>
    </row>
    <row r="52" spans="1:9" ht="14.25">
      <c r="A52" s="97" t="s">
        <v>89</v>
      </c>
      <c r="B52" s="33" t="s">
        <v>633</v>
      </c>
      <c r="C52" s="33" t="s">
        <v>348</v>
      </c>
      <c r="D52" s="27">
        <v>15.390000000000002</v>
      </c>
      <c r="E52" s="81">
        <f>IF(C52="","",IFERROR(VLOOKUP(C52,'ITEM LIST'!B:M,12,0)*D52,0))</f>
        <v>10.926900000000002</v>
      </c>
    </row>
    <row r="53" spans="1:9" ht="14.25">
      <c r="A53" s="97" t="s">
        <v>89</v>
      </c>
      <c r="B53" s="33" t="s">
        <v>633</v>
      </c>
      <c r="C53" s="33" t="s">
        <v>12</v>
      </c>
      <c r="D53" s="27">
        <v>14.58</v>
      </c>
      <c r="E53" s="81">
        <f>IF(C53="","",IFERROR(VLOOKUP(C53,'ITEM LIST'!B:M,12,0)*D53,0))</f>
        <v>1.4142600000000001</v>
      </c>
    </row>
    <row r="54" spans="1:9" ht="14.25">
      <c r="A54" s="97" t="s">
        <v>89</v>
      </c>
      <c r="B54" s="33" t="s">
        <v>633</v>
      </c>
      <c r="C54" s="33" t="s">
        <v>514</v>
      </c>
      <c r="D54" s="27">
        <v>13.770000000000001</v>
      </c>
      <c r="E54" s="81">
        <f>IF(C54="","",IFERROR(VLOOKUP(C54,'ITEM LIST'!B:M,12,0)*D54,0))</f>
        <v>9.9694800000000008</v>
      </c>
    </row>
    <row r="55" spans="1:9" ht="14.25">
      <c r="A55" s="97" t="s">
        <v>89</v>
      </c>
      <c r="B55" s="33" t="s">
        <v>633</v>
      </c>
      <c r="C55" s="33" t="s">
        <v>9</v>
      </c>
      <c r="D55" s="27">
        <v>16.2</v>
      </c>
      <c r="E55" s="81">
        <f>IF(C55="","",IFERROR(VLOOKUP(C55,'ITEM LIST'!B:M,12,0)*D55,0))</f>
        <v>0</v>
      </c>
    </row>
    <row r="56" spans="1:9" ht="14.25">
      <c r="A56" s="97" t="s">
        <v>89</v>
      </c>
      <c r="B56" s="33" t="s">
        <v>633</v>
      </c>
      <c r="C56" s="33" t="s">
        <v>23</v>
      </c>
      <c r="D56" s="27">
        <v>8.1</v>
      </c>
      <c r="E56" s="81">
        <f>IF(C56="","",IFERROR(VLOOKUP(C56,'ITEM LIST'!B:M,12,0)*D56,0))</f>
        <v>1.1825999999999999</v>
      </c>
      <c r="H56" s="4"/>
      <c r="I56" s="4"/>
    </row>
    <row r="57" spans="1:9" ht="14.25">
      <c r="A57" s="97" t="s">
        <v>89</v>
      </c>
      <c r="B57" s="33" t="s">
        <v>633</v>
      </c>
      <c r="C57" s="33" t="s">
        <v>2</v>
      </c>
      <c r="D57" s="27">
        <v>1.62</v>
      </c>
      <c r="E57" s="81">
        <f>IF(C57="","",IFERROR(VLOOKUP(C57,'ITEM LIST'!B:M,12,0)*D57,0))</f>
        <v>0.77760000000000007</v>
      </c>
      <c r="H57" s="4"/>
      <c r="I57" s="4"/>
    </row>
    <row r="58" spans="1:9" ht="14.25">
      <c r="A58" s="97" t="s">
        <v>89</v>
      </c>
      <c r="B58" s="33" t="s">
        <v>371</v>
      </c>
      <c r="C58" s="33" t="s">
        <v>371</v>
      </c>
      <c r="D58" s="28"/>
      <c r="E58" s="81" t="str">
        <f>IF(C58="","",IFERROR(VLOOKUP(C58,'ITEM LIST'!B:M,12,0)*D58,0))</f>
        <v/>
      </c>
      <c r="H58" s="4"/>
      <c r="I58" s="4"/>
    </row>
    <row r="59" spans="1:9" ht="14.25">
      <c r="A59" s="97" t="s">
        <v>89</v>
      </c>
      <c r="B59" s="33" t="s">
        <v>92</v>
      </c>
      <c r="C59" s="33" t="s">
        <v>548</v>
      </c>
      <c r="D59" s="27">
        <v>250</v>
      </c>
      <c r="E59" s="81">
        <f>IF(C59="","",IFERROR(VLOOKUP(C59,'ITEM LIST'!B:M,12,0)*D59,0))</f>
        <v>9.0902957407407428</v>
      </c>
      <c r="H59" s="4"/>
      <c r="I59" s="4"/>
    </row>
    <row r="60" spans="1:9" ht="14.25">
      <c r="A60" s="97" t="s">
        <v>89</v>
      </c>
      <c r="B60" s="33" t="s">
        <v>92</v>
      </c>
      <c r="C60" s="33" t="s">
        <v>549</v>
      </c>
      <c r="D60" s="27">
        <v>105</v>
      </c>
      <c r="E60" s="81">
        <f>IF(C60="","",IFERROR(VLOOKUP(C60,'ITEM LIST'!B:M,12,0)*D60,0))</f>
        <v>4.2310227272727268</v>
      </c>
      <c r="H60" s="4"/>
      <c r="I60" s="4"/>
    </row>
    <row r="61" spans="1:9" ht="14.25">
      <c r="A61" s="97" t="s">
        <v>89</v>
      </c>
      <c r="B61" s="33" t="s">
        <v>92</v>
      </c>
      <c r="C61" s="33" t="s">
        <v>492</v>
      </c>
      <c r="D61" s="27">
        <v>280</v>
      </c>
      <c r="E61" s="81">
        <f>IF(C61="","",IFERROR(VLOOKUP(C61,'ITEM LIST'!B:M,12,0)*D61,0))</f>
        <v>22.400000000000002</v>
      </c>
      <c r="H61" s="4"/>
      <c r="I61" s="4"/>
    </row>
    <row r="62" spans="1:9" ht="14.25">
      <c r="A62" s="97" t="s">
        <v>89</v>
      </c>
      <c r="B62" s="33" t="s">
        <v>92</v>
      </c>
      <c r="C62" s="33" t="s">
        <v>114</v>
      </c>
      <c r="D62" s="27">
        <v>15</v>
      </c>
      <c r="E62" s="81">
        <f>IF(C62="","",IFERROR(VLOOKUP(C62,'ITEM LIST'!B:M,12,0)*D62,0))</f>
        <v>0.42</v>
      </c>
      <c r="H62" s="4"/>
      <c r="I62" s="4"/>
    </row>
    <row r="63" spans="1:9" ht="14.25">
      <c r="A63" s="97" t="s">
        <v>89</v>
      </c>
      <c r="B63" s="33" t="s">
        <v>92</v>
      </c>
      <c r="C63" s="33" t="s">
        <v>280</v>
      </c>
      <c r="D63" s="27">
        <v>88</v>
      </c>
      <c r="E63" s="81">
        <f>IF(C63="","",IFERROR(VLOOKUP(C63,'ITEM LIST'!B:M,12,0)*D63,0))</f>
        <v>14.760875912408759</v>
      </c>
      <c r="H63" s="4"/>
      <c r="I63" s="4"/>
    </row>
    <row r="64" spans="1:9" ht="14.25">
      <c r="A64" s="97" t="s">
        <v>89</v>
      </c>
      <c r="B64" s="33" t="s">
        <v>92</v>
      </c>
      <c r="C64" s="33" t="s">
        <v>348</v>
      </c>
      <c r="D64" s="27">
        <v>19</v>
      </c>
      <c r="E64" s="81">
        <f>IF(C64="","",IFERROR(VLOOKUP(C64,'ITEM LIST'!B:M,12,0)*D64,0))</f>
        <v>13.489999999999998</v>
      </c>
      <c r="H64" s="4"/>
      <c r="I64" s="4"/>
    </row>
    <row r="65" spans="1:9" ht="14.25">
      <c r="A65" s="97" t="s">
        <v>89</v>
      </c>
      <c r="B65" s="33" t="s">
        <v>92</v>
      </c>
      <c r="C65" s="33" t="s">
        <v>12</v>
      </c>
      <c r="D65" s="27">
        <v>18</v>
      </c>
      <c r="E65" s="81">
        <f>IF(C65="","",IFERROR(VLOOKUP(C65,'ITEM LIST'!B:M,12,0)*D65,0))</f>
        <v>1.746</v>
      </c>
      <c r="H65" s="4"/>
      <c r="I65" s="4"/>
    </row>
    <row r="66" spans="1:9" ht="14.25">
      <c r="A66" s="97" t="s">
        <v>89</v>
      </c>
      <c r="B66" s="33" t="s">
        <v>92</v>
      </c>
      <c r="C66" s="33" t="s">
        <v>514</v>
      </c>
      <c r="D66" s="27">
        <v>17</v>
      </c>
      <c r="E66" s="81">
        <f>IF(C66="","",IFERROR(VLOOKUP(C66,'ITEM LIST'!B:M,12,0)*D66,0))</f>
        <v>12.308</v>
      </c>
      <c r="H66" s="4"/>
      <c r="I66" s="4"/>
    </row>
    <row r="67" spans="1:9" ht="14.25">
      <c r="A67" s="97" t="s">
        <v>89</v>
      </c>
      <c r="B67" s="33" t="s">
        <v>92</v>
      </c>
      <c r="C67" s="33" t="s">
        <v>9</v>
      </c>
      <c r="D67" s="27">
        <v>20</v>
      </c>
      <c r="E67" s="81">
        <f>IF(C67="","",IFERROR(VLOOKUP(C67,'ITEM LIST'!B:M,12,0)*D67,0))</f>
        <v>0</v>
      </c>
      <c r="H67" s="4"/>
      <c r="I67" s="4"/>
    </row>
    <row r="68" spans="1:9" ht="14.25">
      <c r="A68" s="97" t="s">
        <v>89</v>
      </c>
      <c r="B68" s="33" t="s">
        <v>92</v>
      </c>
      <c r="C68" s="33" t="s">
        <v>4</v>
      </c>
      <c r="D68" s="27">
        <v>10</v>
      </c>
      <c r="E68" s="81">
        <f>IF(C68="","",IFERROR(VLOOKUP(C68,'ITEM LIST'!B:M,12,0)*D68,0))</f>
        <v>2.13</v>
      </c>
      <c r="H68" s="4"/>
      <c r="I68" s="4"/>
    </row>
    <row r="69" spans="1:9" ht="14.25">
      <c r="A69" s="97" t="s">
        <v>89</v>
      </c>
      <c r="B69" s="33" t="s">
        <v>92</v>
      </c>
      <c r="C69" s="33" t="s">
        <v>492</v>
      </c>
      <c r="D69" s="28">
        <v>175</v>
      </c>
      <c r="E69" s="81">
        <f>IF(C69="","",IFERROR(VLOOKUP(C69,'ITEM LIST'!B:M,12,0)*D69,0))</f>
        <v>14</v>
      </c>
      <c r="H69" s="4"/>
      <c r="I69" s="4"/>
    </row>
    <row r="70" spans="1:9" ht="14.25">
      <c r="A70" s="97" t="s">
        <v>89</v>
      </c>
      <c r="B70" s="33" t="s">
        <v>371</v>
      </c>
      <c r="C70" s="33" t="s">
        <v>371</v>
      </c>
      <c r="D70" s="28"/>
      <c r="E70" s="81" t="str">
        <f>IF(C70="","",IFERROR(VLOOKUP(C70,'ITEM LIST'!B:M,12,0)*D70,0))</f>
        <v/>
      </c>
      <c r="H70" s="4"/>
      <c r="I70" s="4"/>
    </row>
    <row r="71" spans="1:9" ht="14.25">
      <c r="A71" s="97" t="s">
        <v>89</v>
      </c>
      <c r="B71" s="33" t="s">
        <v>371</v>
      </c>
      <c r="C71" s="33" t="s">
        <v>371</v>
      </c>
      <c r="D71" s="28"/>
      <c r="E71" s="81" t="str">
        <f>IF(C71="","",IFERROR(VLOOKUP(C71,'ITEM LIST'!B:M,12,0)*D71,0))</f>
        <v/>
      </c>
      <c r="H71" s="4"/>
      <c r="I71" s="4"/>
    </row>
    <row r="72" spans="1:9" ht="14.25">
      <c r="A72" s="97" t="s">
        <v>89</v>
      </c>
      <c r="B72" s="33" t="s">
        <v>113</v>
      </c>
      <c r="C72" s="33" t="s">
        <v>492</v>
      </c>
      <c r="D72" s="27">
        <v>288</v>
      </c>
      <c r="E72" s="81">
        <f>IF(C72="","",IFERROR(VLOOKUP(C72,'ITEM LIST'!B:M,12,0)*D72,0))</f>
        <v>23.04</v>
      </c>
      <c r="H72" s="4"/>
      <c r="I72" s="4"/>
    </row>
    <row r="73" spans="1:9" ht="14.25">
      <c r="A73" s="97" t="s">
        <v>89</v>
      </c>
      <c r="B73" s="33" t="s">
        <v>113</v>
      </c>
      <c r="C73" s="33" t="s">
        <v>548</v>
      </c>
      <c r="D73" s="27">
        <v>300</v>
      </c>
      <c r="E73" s="81">
        <f>IF(C73="","",IFERROR(VLOOKUP(C73,'ITEM LIST'!B:M,12,0)*D73,0))</f>
        <v>10.908354888888892</v>
      </c>
      <c r="H73" s="4"/>
      <c r="I73" s="4"/>
    </row>
    <row r="74" spans="1:9" ht="14.25">
      <c r="A74" s="97" t="s">
        <v>89</v>
      </c>
      <c r="B74" s="33" t="s">
        <v>113</v>
      </c>
      <c r="C74" s="33" t="s">
        <v>280</v>
      </c>
      <c r="D74" s="27">
        <v>80</v>
      </c>
      <c r="E74" s="81">
        <f>IF(C74="","",IFERROR(VLOOKUP(C74,'ITEM LIST'!B:M,12,0)*D74,0))</f>
        <v>13.418978102189779</v>
      </c>
      <c r="H74" s="4"/>
      <c r="I74" s="4"/>
    </row>
    <row r="75" spans="1:9" ht="14.25">
      <c r="A75" s="97" t="s">
        <v>89</v>
      </c>
      <c r="B75" s="33" t="s">
        <v>113</v>
      </c>
      <c r="C75" s="33" t="s">
        <v>25</v>
      </c>
      <c r="D75" s="27">
        <v>18</v>
      </c>
      <c r="E75" s="81">
        <f>IF(C75="","",IFERROR(VLOOKUP(C75,'ITEM LIST'!B:M,12,0)*D75,0))</f>
        <v>0.504</v>
      </c>
      <c r="H75" s="4"/>
      <c r="I75" s="4"/>
    </row>
    <row r="76" spans="1:9" ht="14.25">
      <c r="A76" s="97" t="s">
        <v>89</v>
      </c>
      <c r="B76" s="33" t="s">
        <v>113</v>
      </c>
      <c r="C76" s="33" t="s">
        <v>488</v>
      </c>
      <c r="D76" s="27">
        <v>24</v>
      </c>
      <c r="E76" s="81">
        <f>IF(C76="","",IFERROR(VLOOKUP(C76,'ITEM LIST'!B:M,12,0)*D76,0))</f>
        <v>11.28</v>
      </c>
      <c r="H76" s="4"/>
      <c r="I76" s="4"/>
    </row>
    <row r="77" spans="1:9" ht="14.25">
      <c r="A77" s="97" t="s">
        <v>89</v>
      </c>
      <c r="B77" s="33" t="s">
        <v>113</v>
      </c>
      <c r="C77" s="33" t="s">
        <v>4</v>
      </c>
      <c r="D77" s="27">
        <v>80</v>
      </c>
      <c r="E77" s="81">
        <f>IF(C77="","",IFERROR(VLOOKUP(C77,'ITEM LIST'!B:M,12,0)*D77,0))</f>
        <v>17.04</v>
      </c>
      <c r="H77" s="4"/>
      <c r="I77" s="4"/>
    </row>
    <row r="78" spans="1:9" ht="14.25">
      <c r="A78" s="97" t="s">
        <v>89</v>
      </c>
      <c r="B78" s="33" t="s">
        <v>113</v>
      </c>
      <c r="C78" s="33" t="s">
        <v>114</v>
      </c>
      <c r="D78" s="27">
        <v>5</v>
      </c>
      <c r="E78" s="81">
        <f>IF(C78="","",IFERROR(VLOOKUP(C78,'ITEM LIST'!B:M,12,0)*D78,0))</f>
        <v>0.14000000000000001</v>
      </c>
      <c r="H78" s="4"/>
      <c r="I78" s="4"/>
    </row>
    <row r="79" spans="1:9" ht="14.25">
      <c r="A79" s="97" t="s">
        <v>89</v>
      </c>
      <c r="B79" s="33" t="s">
        <v>113</v>
      </c>
      <c r="C79" s="33" t="s">
        <v>549</v>
      </c>
      <c r="D79" s="27">
        <v>58</v>
      </c>
      <c r="E79" s="81">
        <f>IF(C79="","",IFERROR(VLOOKUP(C79,'ITEM LIST'!B:M,12,0)*D79,0))</f>
        <v>2.3371363636363633</v>
      </c>
      <c r="H79" s="4"/>
      <c r="I79" s="4"/>
    </row>
    <row r="80" spans="1:9" ht="14.25">
      <c r="A80" s="97" t="s">
        <v>89</v>
      </c>
      <c r="B80" s="33" t="s">
        <v>371</v>
      </c>
      <c r="C80" s="33" t="s">
        <v>371</v>
      </c>
      <c r="D80" s="28"/>
      <c r="E80" s="81" t="str">
        <f>IF(C80="","",IFERROR(VLOOKUP(C80,'ITEM LIST'!B:M,12,0)*D80,0))</f>
        <v/>
      </c>
      <c r="H80" s="4"/>
      <c r="I80" s="4"/>
    </row>
    <row r="81" spans="1:9" ht="14.25">
      <c r="A81" s="97" t="s">
        <v>89</v>
      </c>
      <c r="B81" s="33" t="s">
        <v>297</v>
      </c>
      <c r="C81" s="33" t="s">
        <v>380</v>
      </c>
      <c r="D81" s="5">
        <v>31.578947368421051</v>
      </c>
      <c r="E81" s="81">
        <f>IF(C81="","",IFERROR(VLOOKUP(C81,'ITEM LIST'!B:M,12,0)*D81,0))</f>
        <v>16.842000000000002</v>
      </c>
      <c r="H81" s="4"/>
      <c r="I81" s="4"/>
    </row>
    <row r="82" spans="1:9" ht="14.25">
      <c r="A82" s="97" t="s">
        <v>89</v>
      </c>
      <c r="B82" s="33" t="s">
        <v>297</v>
      </c>
      <c r="C82" s="33" t="s">
        <v>52</v>
      </c>
      <c r="D82" s="5">
        <v>2.1052631578947367</v>
      </c>
      <c r="E82" s="81">
        <f>IF(C82="","",IFERROR(VLOOKUP(C82,'ITEM LIST'!B:M,12,0)*D82,0))</f>
        <v>1.368421052631579</v>
      </c>
      <c r="F82" s="3"/>
      <c r="H82" s="4"/>
      <c r="I82" s="4"/>
    </row>
    <row r="83" spans="1:9" ht="14.25">
      <c r="A83" s="97" t="s">
        <v>89</v>
      </c>
      <c r="B83" s="33" t="s">
        <v>297</v>
      </c>
      <c r="C83" s="33" t="s">
        <v>118</v>
      </c>
      <c r="D83" s="5">
        <v>6.3157894736842106</v>
      </c>
      <c r="E83" s="81">
        <f>IF(C83="","",IFERROR(VLOOKUP(C83,'ITEM LIST'!B:M,12,0)*D83,0))</f>
        <v>0.75789473684210529</v>
      </c>
      <c r="F83" s="3"/>
      <c r="H83" s="4"/>
      <c r="I83" s="4"/>
    </row>
    <row r="84" spans="1:9" ht="14.25">
      <c r="A84" s="97" t="s">
        <v>89</v>
      </c>
      <c r="B84" s="33" t="s">
        <v>297</v>
      </c>
      <c r="C84" s="33" t="s">
        <v>49</v>
      </c>
      <c r="D84" s="5">
        <v>1.0526315789473684</v>
      </c>
      <c r="E84" s="81">
        <f>IF(C84="","",IFERROR(VLOOKUP(C84,'ITEM LIST'!B:M,12,0)*D84,0))</f>
        <v>0.78947368421052633</v>
      </c>
      <c r="F84" s="3"/>
      <c r="H84" s="4"/>
      <c r="I84" s="4"/>
    </row>
    <row r="85" spans="1:9" ht="14.25">
      <c r="A85" s="97" t="s">
        <v>89</v>
      </c>
      <c r="B85" s="33" t="s">
        <v>297</v>
      </c>
      <c r="C85" s="33" t="s">
        <v>12</v>
      </c>
      <c r="D85" s="5">
        <v>1.3157894736842106</v>
      </c>
      <c r="E85" s="81">
        <f>IF(C85="","",IFERROR(VLOOKUP(C85,'ITEM LIST'!B:M,12,0)*D85,0))</f>
        <v>0.12763157894736843</v>
      </c>
      <c r="F85" s="3"/>
      <c r="H85" s="4"/>
      <c r="I85" s="4"/>
    </row>
    <row r="86" spans="1:9" ht="14.25">
      <c r="A86" s="97" t="s">
        <v>89</v>
      </c>
      <c r="B86" s="33" t="s">
        <v>297</v>
      </c>
      <c r="C86" s="33" t="s">
        <v>2</v>
      </c>
      <c r="D86" s="5">
        <v>0.78947368421052633</v>
      </c>
      <c r="E86" s="81">
        <f>IF(C86="","",IFERROR(VLOOKUP(C86,'ITEM LIST'!B:M,12,0)*D86,0))</f>
        <v>0.37894736842105264</v>
      </c>
      <c r="F86" s="3"/>
      <c r="H86" s="4"/>
      <c r="I86" s="4"/>
    </row>
    <row r="87" spans="1:9" ht="14.25">
      <c r="A87" s="97" t="s">
        <v>89</v>
      </c>
      <c r="B87" s="33" t="s">
        <v>297</v>
      </c>
      <c r="C87" s="33" t="s">
        <v>348</v>
      </c>
      <c r="D87" s="5">
        <v>2.1052631578947367</v>
      </c>
      <c r="E87" s="81">
        <f>IF(C87="","",IFERROR(VLOOKUP(C87,'ITEM LIST'!B:M,12,0)*D87,0))</f>
        <v>1.4947368421052629</v>
      </c>
      <c r="H87" s="4"/>
      <c r="I87" s="4"/>
    </row>
    <row r="88" spans="1:9" ht="14.25">
      <c r="A88" s="97" t="s">
        <v>89</v>
      </c>
      <c r="B88" s="33" t="s">
        <v>297</v>
      </c>
      <c r="C88" s="33" t="s">
        <v>347</v>
      </c>
      <c r="D88" s="5">
        <v>1.3157894736842106</v>
      </c>
      <c r="E88" s="81">
        <f>IF(C88="","",IFERROR(VLOOKUP(C88,'ITEM LIST'!B:M,12,0)*D88,0))</f>
        <v>0.89473684210526327</v>
      </c>
      <c r="H88" s="4"/>
      <c r="I88" s="4"/>
    </row>
    <row r="89" spans="1:9" ht="14.25">
      <c r="A89" s="97" t="s">
        <v>89</v>
      </c>
      <c r="B89" s="33" t="s">
        <v>297</v>
      </c>
      <c r="C89" s="33" t="s">
        <v>514</v>
      </c>
      <c r="D89" s="5">
        <v>2.1052631578947367</v>
      </c>
      <c r="E89" s="81">
        <f>IF(C89="","",IFERROR(VLOOKUP(C89,'ITEM LIST'!B:M,12,0)*D89,0))</f>
        <v>1.5242105263157892</v>
      </c>
      <c r="H89" s="4"/>
      <c r="I89" s="4"/>
    </row>
    <row r="90" spans="1:9" ht="14.25">
      <c r="A90" s="97" t="s">
        <v>89</v>
      </c>
      <c r="B90" s="33" t="s">
        <v>297</v>
      </c>
      <c r="C90" s="33" t="s">
        <v>496</v>
      </c>
      <c r="D90" s="5">
        <v>7.8947368421052628</v>
      </c>
      <c r="E90" s="81">
        <f>IF(C90="","",IFERROR(VLOOKUP(C90,'ITEM LIST'!B:M,12,0)*D90,0))</f>
        <v>1.263157894736842</v>
      </c>
      <c r="H90" s="4"/>
      <c r="I90" s="4"/>
    </row>
    <row r="91" spans="1:9" ht="14.25">
      <c r="A91" s="97" t="s">
        <v>89</v>
      </c>
      <c r="B91" s="33" t="s">
        <v>297</v>
      </c>
      <c r="C91" s="33" t="s">
        <v>114</v>
      </c>
      <c r="D91" s="5">
        <v>3.1578947368421053</v>
      </c>
      <c r="E91" s="81">
        <f>IF(C91="","",IFERROR(VLOOKUP(C91,'ITEM LIST'!B:M,12,0)*D91,0))</f>
        <v>8.8421052631578956E-2</v>
      </c>
      <c r="H91" s="4"/>
      <c r="I91" s="4"/>
    </row>
    <row r="92" spans="1:9" ht="14.25">
      <c r="A92" s="97" t="s">
        <v>89</v>
      </c>
      <c r="B92" s="33" t="s">
        <v>297</v>
      </c>
      <c r="C92" s="33" t="s">
        <v>17</v>
      </c>
      <c r="D92" s="5">
        <v>52.631578947368418</v>
      </c>
      <c r="E92" s="81">
        <f>IF(C92="","",IFERROR(VLOOKUP(C92,'ITEM LIST'!B:M,12,0)*D92,0))</f>
        <v>14.210526315789474</v>
      </c>
      <c r="H92" s="4"/>
      <c r="I92" s="4"/>
    </row>
    <row r="93" spans="1:9" ht="14.25">
      <c r="A93" s="97" t="s">
        <v>89</v>
      </c>
      <c r="B93" s="33" t="s">
        <v>297</v>
      </c>
      <c r="C93" s="33" t="s">
        <v>34</v>
      </c>
      <c r="D93" s="5">
        <v>78.94736842105263</v>
      </c>
      <c r="E93" s="81">
        <f>IF(C93="","",IFERROR(VLOOKUP(C93,'ITEM LIST'!B:M,12,0)*D93,0))</f>
        <v>7.1052631578947363</v>
      </c>
      <c r="H93" s="4"/>
      <c r="I93" s="4"/>
    </row>
    <row r="94" spans="1:9" ht="14.25">
      <c r="A94" s="97" t="s">
        <v>89</v>
      </c>
      <c r="B94" s="33" t="s">
        <v>297</v>
      </c>
      <c r="C94" s="33" t="s">
        <v>4</v>
      </c>
      <c r="D94" s="5">
        <v>11.842105263157896</v>
      </c>
      <c r="E94" s="81">
        <f>IF(C94="","",IFERROR(VLOOKUP(C94,'ITEM LIST'!B:M,12,0)*D94,0))</f>
        <v>2.5223684210526316</v>
      </c>
      <c r="H94" s="4"/>
      <c r="I94" s="4"/>
    </row>
    <row r="95" spans="1:9" ht="14.25">
      <c r="A95" s="97" t="s">
        <v>89</v>
      </c>
      <c r="B95" s="33" t="s">
        <v>297</v>
      </c>
      <c r="C95" s="33" t="s">
        <v>32</v>
      </c>
      <c r="D95" s="5">
        <v>26.315789473684209</v>
      </c>
      <c r="E95" s="81">
        <f>IF(C95="","",IFERROR(VLOOKUP(C95,'ITEM LIST'!B:M,12,0)*D95,0))</f>
        <v>0.92105263157894735</v>
      </c>
      <c r="H95" s="4"/>
      <c r="I95" s="4"/>
    </row>
    <row r="96" spans="1:9" ht="14.25">
      <c r="A96" s="97" t="s">
        <v>89</v>
      </c>
      <c r="B96" s="33" t="s">
        <v>297</v>
      </c>
      <c r="C96" s="33" t="s">
        <v>252</v>
      </c>
      <c r="D96" s="5">
        <v>26.315789473684209</v>
      </c>
      <c r="E96" s="81">
        <f>IF(C96="","",IFERROR(VLOOKUP(C96,'ITEM LIST'!B:M,12,0)*D96,0))</f>
        <v>2.763157894736842</v>
      </c>
      <c r="H96" s="4"/>
      <c r="I96" s="4"/>
    </row>
    <row r="97" spans="1:9" ht="14.25">
      <c r="A97" s="97" t="s">
        <v>89</v>
      </c>
      <c r="B97" s="33" t="s">
        <v>297</v>
      </c>
      <c r="C97" s="33" t="s">
        <v>28</v>
      </c>
      <c r="D97" s="5">
        <v>26.315789473684209</v>
      </c>
      <c r="E97" s="81">
        <f>IF(C97="","",IFERROR(VLOOKUP(C97,'ITEM LIST'!B:M,12,0)*D97,0))</f>
        <v>4.2105263157894735</v>
      </c>
      <c r="H97" s="4"/>
      <c r="I97" s="4"/>
    </row>
    <row r="98" spans="1:9" ht="14.25">
      <c r="A98" s="97" t="s">
        <v>89</v>
      </c>
      <c r="B98" s="33" t="s">
        <v>297</v>
      </c>
      <c r="C98" s="33" t="s">
        <v>280</v>
      </c>
      <c r="D98" s="5">
        <v>52.631578947368418</v>
      </c>
      <c r="E98" s="81">
        <f>IF(C98="","",IFERROR(VLOOKUP(C98,'ITEM LIST'!B:M,12,0)*D98,0))</f>
        <v>8.828275067230118</v>
      </c>
      <c r="H98" s="4"/>
      <c r="I98" s="4"/>
    </row>
    <row r="99" spans="1:9" ht="14.25">
      <c r="A99" s="97" t="s">
        <v>89</v>
      </c>
      <c r="B99" s="33" t="s">
        <v>297</v>
      </c>
      <c r="C99" s="33" t="s">
        <v>548</v>
      </c>
      <c r="D99" s="5">
        <v>184.21052631578948</v>
      </c>
      <c r="E99" s="81">
        <f>IF(C99="","",IFERROR(VLOOKUP(C99,'ITEM LIST'!B:M,12,0)*D99,0))</f>
        <v>6.6981126510721269</v>
      </c>
      <c r="H99" s="4"/>
      <c r="I99" s="4"/>
    </row>
    <row r="100" spans="1:9" ht="14.25">
      <c r="A100" s="97" t="s">
        <v>89</v>
      </c>
      <c r="B100" s="33" t="s">
        <v>371</v>
      </c>
      <c r="C100" s="33" t="s">
        <v>371</v>
      </c>
      <c r="D100" s="28"/>
      <c r="E100" s="81" t="str">
        <f>IF(C100="","",IFERROR(VLOOKUP(C100,'ITEM LIST'!B:M,12,0)*D100,0))</f>
        <v/>
      </c>
      <c r="H100" s="4"/>
      <c r="I100" s="4"/>
    </row>
    <row r="101" spans="1:9" ht="14.25">
      <c r="A101" s="97" t="s">
        <v>89</v>
      </c>
      <c r="B101" s="33" t="s">
        <v>634</v>
      </c>
      <c r="C101" s="33" t="s">
        <v>548</v>
      </c>
      <c r="D101" s="27">
        <v>314</v>
      </c>
      <c r="E101" s="81">
        <f>IF(C101="","",IFERROR(VLOOKUP(C101,'ITEM LIST'!B:M,12,0)*D101,0))</f>
        <v>11.417411450370373</v>
      </c>
      <c r="H101" s="4"/>
      <c r="I101" s="4"/>
    </row>
    <row r="102" spans="1:9" ht="14.25">
      <c r="A102" s="97" t="s">
        <v>89</v>
      </c>
      <c r="B102" s="33" t="s">
        <v>634</v>
      </c>
      <c r="C102" s="33" t="s">
        <v>549</v>
      </c>
      <c r="D102" s="27">
        <v>58</v>
      </c>
      <c r="E102" s="81">
        <f>IF(C102="","",IFERROR(VLOOKUP(C102,'ITEM LIST'!B:M,12,0)*D102,0))</f>
        <v>2.3371363636363633</v>
      </c>
      <c r="H102" s="4"/>
      <c r="I102" s="4"/>
    </row>
    <row r="103" spans="1:9" ht="14.25">
      <c r="A103" s="97" t="s">
        <v>89</v>
      </c>
      <c r="B103" s="33" t="s">
        <v>634</v>
      </c>
      <c r="C103" s="33" t="s">
        <v>492</v>
      </c>
      <c r="D103" s="27">
        <v>257</v>
      </c>
      <c r="E103" s="81">
        <f>IF(C103="","",IFERROR(VLOOKUP(C103,'ITEM LIST'!B:M,12,0)*D103,0))</f>
        <v>20.56</v>
      </c>
      <c r="H103" s="4"/>
      <c r="I103" s="4"/>
    </row>
    <row r="104" spans="1:9" ht="14.25">
      <c r="A104" s="97" t="s">
        <v>89</v>
      </c>
      <c r="B104" s="33" t="s">
        <v>634</v>
      </c>
      <c r="C104" s="33" t="s">
        <v>114</v>
      </c>
      <c r="D104" s="27">
        <v>15</v>
      </c>
      <c r="E104" s="81">
        <f>IF(C104="","",IFERROR(VLOOKUP(C104,'ITEM LIST'!B:M,12,0)*D104,0))</f>
        <v>0.42</v>
      </c>
      <c r="H104" s="4"/>
      <c r="I104" s="4"/>
    </row>
    <row r="105" spans="1:9" ht="14.25">
      <c r="A105" s="97" t="s">
        <v>89</v>
      </c>
      <c r="B105" s="33" t="s">
        <v>634</v>
      </c>
      <c r="C105" s="33" t="s">
        <v>12</v>
      </c>
      <c r="D105" s="27">
        <v>12</v>
      </c>
      <c r="E105" s="81">
        <f>IF(C105="","",IFERROR(VLOOKUP(C105,'ITEM LIST'!B:M,12,0)*D105,0))</f>
        <v>1.1640000000000001</v>
      </c>
      <c r="H105" s="4"/>
      <c r="I105" s="4"/>
    </row>
    <row r="106" spans="1:9" ht="14.25">
      <c r="A106" s="97" t="s">
        <v>89</v>
      </c>
      <c r="B106" s="33" t="s">
        <v>634</v>
      </c>
      <c r="C106" s="33" t="s">
        <v>2</v>
      </c>
      <c r="D106" s="27">
        <v>2</v>
      </c>
      <c r="E106" s="81">
        <f>IF(C106="","",IFERROR(VLOOKUP(C106,'ITEM LIST'!B:M,12,0)*D106,0))</f>
        <v>0.96</v>
      </c>
      <c r="H106" s="4"/>
      <c r="I106" s="4"/>
    </row>
    <row r="107" spans="1:9" ht="14.25">
      <c r="A107" s="97" t="s">
        <v>89</v>
      </c>
      <c r="B107" s="33" t="s">
        <v>634</v>
      </c>
      <c r="C107" s="33" t="s">
        <v>488</v>
      </c>
      <c r="D107" s="27">
        <v>24</v>
      </c>
      <c r="E107" s="81">
        <f>IF(C107="","",IFERROR(VLOOKUP(C107,'ITEM LIST'!B:M,12,0)*D107,0))</f>
        <v>11.28</v>
      </c>
      <c r="H107" s="4"/>
      <c r="I107" s="4"/>
    </row>
    <row r="108" spans="1:9" ht="14.25">
      <c r="A108" s="97" t="s">
        <v>89</v>
      </c>
      <c r="B108" s="33" t="s">
        <v>634</v>
      </c>
      <c r="C108" s="33" t="s">
        <v>9</v>
      </c>
      <c r="D108" s="27">
        <v>15</v>
      </c>
      <c r="E108" s="81">
        <f>IF(C108="","",IFERROR(VLOOKUP(C108,'ITEM LIST'!B:M,12,0)*D108,0))</f>
        <v>0</v>
      </c>
      <c r="H108" s="4"/>
      <c r="I108" s="4"/>
    </row>
    <row r="109" spans="1:9" ht="14.25">
      <c r="A109" s="97" t="s">
        <v>89</v>
      </c>
      <c r="B109" s="33" t="s">
        <v>634</v>
      </c>
      <c r="C109" s="33" t="s">
        <v>149</v>
      </c>
      <c r="D109" s="27">
        <v>13</v>
      </c>
      <c r="E109" s="81">
        <f>IF(C109="","",IFERROR(VLOOKUP(C109,'ITEM LIST'!B:M,12,0)*D109,0))</f>
        <v>1.69</v>
      </c>
      <c r="H109" s="4"/>
      <c r="I109" s="4"/>
    </row>
    <row r="110" spans="1:9" ht="14.25">
      <c r="A110" s="97" t="s">
        <v>89</v>
      </c>
      <c r="B110" s="33" t="s">
        <v>634</v>
      </c>
      <c r="C110" s="33" t="s">
        <v>29</v>
      </c>
      <c r="D110" s="31">
        <v>2</v>
      </c>
      <c r="E110" s="81">
        <f>IF(C110="","",IFERROR(VLOOKUP(C110,'ITEM LIST'!B:M,12,0)*D110,0))</f>
        <v>10</v>
      </c>
      <c r="H110" s="4"/>
      <c r="I110" s="4"/>
    </row>
    <row r="111" spans="1:9" ht="14.25">
      <c r="A111" s="97" t="s">
        <v>89</v>
      </c>
      <c r="B111" s="33" t="s">
        <v>371</v>
      </c>
      <c r="C111" s="33" t="s">
        <v>371</v>
      </c>
      <c r="D111" s="28"/>
      <c r="E111" s="81" t="str">
        <f>IF(C111="","",IFERROR(VLOOKUP(C111,'ITEM LIST'!B:M,12,0)*D111,0))</f>
        <v/>
      </c>
      <c r="H111" s="4"/>
      <c r="I111" s="4"/>
    </row>
    <row r="112" spans="1:9" ht="14.25">
      <c r="A112" s="97" t="s">
        <v>89</v>
      </c>
      <c r="B112" s="33" t="s">
        <v>371</v>
      </c>
      <c r="C112" s="33" t="s">
        <v>371</v>
      </c>
      <c r="D112" s="28"/>
      <c r="E112" s="81" t="str">
        <f>IF(C112="","",IFERROR(VLOOKUP(C112,'ITEM LIST'!B:M,12,0)*D112,0))</f>
        <v/>
      </c>
      <c r="H112" s="4"/>
      <c r="I112" s="4"/>
    </row>
    <row r="113" spans="1:9" ht="14.25">
      <c r="A113" s="97" t="s">
        <v>89</v>
      </c>
      <c r="B113" s="33" t="s">
        <v>635</v>
      </c>
      <c r="C113" s="33" t="s">
        <v>90</v>
      </c>
      <c r="D113" s="28">
        <v>280</v>
      </c>
      <c r="E113" s="81">
        <f>IF(C113="","",IFERROR(VLOOKUP(C113,'ITEM LIST'!B:M,12,0)*D113,0))</f>
        <v>53.945841833333333</v>
      </c>
      <c r="H113" s="4"/>
      <c r="I113" s="4"/>
    </row>
    <row r="114" spans="1:9" ht="14.25">
      <c r="A114" s="97" t="s">
        <v>89</v>
      </c>
      <c r="B114" s="33" t="s">
        <v>635</v>
      </c>
      <c r="C114" s="33" t="s">
        <v>388</v>
      </c>
      <c r="D114" s="28">
        <v>270</v>
      </c>
      <c r="E114" s="81">
        <f>IF(C114="","",IFERROR(VLOOKUP(C114,'ITEM LIST'!B:M,12,0)*D114,0))</f>
        <v>27</v>
      </c>
      <c r="H114" s="4"/>
      <c r="I114" s="4"/>
    </row>
    <row r="115" spans="1:9" ht="14.25">
      <c r="A115" s="97" t="s">
        <v>89</v>
      </c>
      <c r="B115" s="33" t="s">
        <v>371</v>
      </c>
      <c r="C115" s="33" t="s">
        <v>371</v>
      </c>
      <c r="D115" s="28"/>
      <c r="E115" s="81" t="str">
        <f>IF(C115="","",IFERROR(VLOOKUP(C115,'ITEM LIST'!B:M,12,0)*D115,0))</f>
        <v/>
      </c>
      <c r="H115" s="4"/>
      <c r="I115" s="4"/>
    </row>
    <row r="116" spans="1:9" ht="14.25">
      <c r="A116" s="97" t="s">
        <v>89</v>
      </c>
      <c r="B116" s="154" t="s">
        <v>578</v>
      </c>
      <c r="C116" s="154" t="s">
        <v>90</v>
      </c>
      <c r="D116" s="28">
        <v>160</v>
      </c>
      <c r="E116" s="81">
        <f>IF(C116="","",IFERROR(VLOOKUP(C116,'ITEM LIST'!B:M,12,0)*D116,0))</f>
        <v>30.826195333333331</v>
      </c>
      <c r="H116" s="4"/>
      <c r="I116" s="4"/>
    </row>
    <row r="117" spans="1:9" ht="14.25">
      <c r="A117" s="97" t="s">
        <v>89</v>
      </c>
      <c r="B117" s="154" t="s">
        <v>578</v>
      </c>
      <c r="C117" s="154" t="s">
        <v>115</v>
      </c>
      <c r="D117" s="28">
        <v>150</v>
      </c>
      <c r="E117" s="81">
        <f>IF(C117="","",IFERROR(VLOOKUP(C117,'ITEM LIST'!B:M,12,0)*D117,0))</f>
        <v>27.176815331363507</v>
      </c>
      <c r="H117" s="4"/>
      <c r="I117" s="4"/>
    </row>
    <row r="118" spans="1:9" ht="14.25">
      <c r="A118" s="97" t="s">
        <v>89</v>
      </c>
      <c r="B118" s="154" t="s">
        <v>578</v>
      </c>
      <c r="C118" s="33" t="s">
        <v>308</v>
      </c>
      <c r="D118" s="28">
        <v>140</v>
      </c>
      <c r="E118" s="81">
        <f>IF(C118="","",IFERROR(VLOOKUP(C118,'ITEM LIST'!B:M,12,0)*D118,0))</f>
        <v>20.567795929545685</v>
      </c>
      <c r="H118" s="4"/>
      <c r="I118" s="4"/>
    </row>
    <row r="119" spans="1:9" ht="14.25">
      <c r="A119" s="97" t="s">
        <v>89</v>
      </c>
      <c r="B119" s="154" t="s">
        <v>578</v>
      </c>
      <c r="C119" s="154" t="s">
        <v>20</v>
      </c>
      <c r="D119" s="28">
        <v>15</v>
      </c>
      <c r="E119" s="81">
        <f>IF(C119="","",IFERROR(VLOOKUP(C119,'ITEM LIST'!B:M,12,0)*D119,0))</f>
        <v>0.28499999999999998</v>
      </c>
      <c r="H119" s="4"/>
      <c r="I119" s="4"/>
    </row>
    <row r="120" spans="1:9" ht="14.25">
      <c r="A120" s="97" t="s">
        <v>89</v>
      </c>
      <c r="B120" s="154" t="s">
        <v>578</v>
      </c>
      <c r="C120" s="33" t="s">
        <v>44</v>
      </c>
      <c r="D120" s="28">
        <v>15</v>
      </c>
      <c r="E120" s="81">
        <f>IF(C120="","",VLOOKUP(C120,'ITEM LIST'!B:M,12,0)*D120)</f>
        <v>0.375</v>
      </c>
      <c r="H120" s="4"/>
      <c r="I120" s="4"/>
    </row>
    <row r="121" spans="1:9" ht="14.25">
      <c r="A121" s="97" t="s">
        <v>89</v>
      </c>
      <c r="B121" s="154" t="s">
        <v>578</v>
      </c>
      <c r="C121" s="154" t="s">
        <v>550</v>
      </c>
      <c r="D121" s="28">
        <v>2</v>
      </c>
      <c r="E121" s="81">
        <f>IF(C121="","",IFERROR(VLOOKUP(C121,'ITEM LIST'!B:M,12,0)*D121,0))</f>
        <v>7.8880000000000008</v>
      </c>
      <c r="H121" s="4"/>
      <c r="I121" s="4"/>
    </row>
    <row r="122" spans="1:9" ht="14.25">
      <c r="A122" s="97" t="s">
        <v>89</v>
      </c>
      <c r="B122" s="154" t="s">
        <v>578</v>
      </c>
      <c r="C122" s="158" t="s">
        <v>105</v>
      </c>
      <c r="D122" s="28">
        <v>1</v>
      </c>
      <c r="E122" s="81">
        <f>IF(C122="","",IFERROR(VLOOKUP(C122,'ITEM LIST'!B:M,12,0)*D122,0))</f>
        <v>9.7477845528455287</v>
      </c>
      <c r="H122" s="4"/>
      <c r="I122" s="4"/>
    </row>
    <row r="123" spans="1:9" ht="14.25">
      <c r="A123" s="97" t="s">
        <v>89</v>
      </c>
      <c r="B123" s="154" t="s">
        <v>578</v>
      </c>
      <c r="C123" s="154" t="s">
        <v>388</v>
      </c>
      <c r="D123" s="28">
        <v>110</v>
      </c>
      <c r="E123" s="81">
        <f>IF(C123="","",IFERROR(VLOOKUP(C123,'ITEM LIST'!B:M,12,0)*D123,0))</f>
        <v>11</v>
      </c>
      <c r="H123" s="4"/>
      <c r="I123" s="4"/>
    </row>
    <row r="124" spans="1:9" ht="14.25">
      <c r="A124" s="97" t="s">
        <v>89</v>
      </c>
      <c r="B124" s="154" t="s">
        <v>578</v>
      </c>
      <c r="C124" s="154" t="s">
        <v>551</v>
      </c>
      <c r="D124" s="28">
        <v>120</v>
      </c>
      <c r="E124" s="81">
        <f>IF(C124="","",IFERROR(VLOOKUP(C124,'ITEM LIST'!B:M,12,0)*D124,0))</f>
        <v>8.1242912621359231</v>
      </c>
      <c r="H124" s="4"/>
      <c r="I124" s="4"/>
    </row>
    <row r="125" spans="1:9" ht="14.25">
      <c r="A125" s="97" t="s">
        <v>89</v>
      </c>
      <c r="B125" s="154" t="s">
        <v>578</v>
      </c>
      <c r="C125" s="33" t="s">
        <v>374</v>
      </c>
      <c r="D125" s="28">
        <v>1</v>
      </c>
      <c r="E125" s="81">
        <f>IF(C125="","",VLOOKUP(C125,'ITEM LIST'!B:M,12,0)*D125)</f>
        <v>0.7</v>
      </c>
      <c r="H125" s="4"/>
      <c r="I125" s="4"/>
    </row>
    <row r="126" spans="1:9" ht="14.25">
      <c r="A126" s="97" t="s">
        <v>89</v>
      </c>
      <c r="B126" s="33" t="s">
        <v>371</v>
      </c>
      <c r="C126" s="33" t="s">
        <v>371</v>
      </c>
      <c r="D126" s="28"/>
      <c r="E126" s="81" t="str">
        <f>IF(C126="","",IFERROR(VLOOKUP(C126,'ITEM LIST'!B:M,12,0)*D126,0))</f>
        <v/>
      </c>
      <c r="H126" s="4"/>
      <c r="I126" s="4"/>
    </row>
    <row r="127" spans="1:9" ht="14.25">
      <c r="A127" s="97" t="s">
        <v>89</v>
      </c>
      <c r="B127" s="154" t="s">
        <v>579</v>
      </c>
      <c r="C127" s="154" t="s">
        <v>90</v>
      </c>
      <c r="D127" s="28">
        <v>160</v>
      </c>
      <c r="E127" s="81">
        <f>IF(C127="","",IFERROR(VLOOKUP(C127,'ITEM LIST'!B:M,12,0)*D127,0))</f>
        <v>30.826195333333331</v>
      </c>
      <c r="H127" s="4"/>
      <c r="I127" s="4"/>
    </row>
    <row r="128" spans="1:9" ht="14.25">
      <c r="A128" s="97" t="s">
        <v>89</v>
      </c>
      <c r="B128" s="154" t="s">
        <v>579</v>
      </c>
      <c r="C128" s="154" t="s">
        <v>115</v>
      </c>
      <c r="D128" s="28">
        <v>150</v>
      </c>
      <c r="E128" s="81">
        <f>IF(C128="","",IFERROR(VLOOKUP(C128,'ITEM LIST'!B:M,12,0)*D128,0))</f>
        <v>27.176815331363507</v>
      </c>
      <c r="H128" s="4"/>
      <c r="I128" s="4"/>
    </row>
    <row r="129" spans="1:9" ht="14.25">
      <c r="A129" s="97" t="s">
        <v>89</v>
      </c>
      <c r="B129" s="154" t="s">
        <v>579</v>
      </c>
      <c r="C129" s="154" t="s">
        <v>20</v>
      </c>
      <c r="D129" s="155">
        <v>15</v>
      </c>
      <c r="E129" s="81">
        <f>IF(C129="","",IFERROR(VLOOKUP(C129,'ITEM LIST'!B:M,12,0)*D129,0))</f>
        <v>0.28499999999999998</v>
      </c>
      <c r="H129" s="4"/>
      <c r="I129" s="4"/>
    </row>
    <row r="130" spans="1:9" ht="14.25">
      <c r="A130" s="97" t="s">
        <v>89</v>
      </c>
      <c r="B130" s="154" t="s">
        <v>579</v>
      </c>
      <c r="C130" s="154" t="s">
        <v>550</v>
      </c>
      <c r="D130" s="28">
        <v>2</v>
      </c>
      <c r="E130" s="81">
        <f>IF(C130="","",IFERROR(VLOOKUP(C130,'ITEM LIST'!B:M,12,0)*D130,0))</f>
        <v>7.8880000000000008</v>
      </c>
      <c r="H130" s="4"/>
      <c r="I130" s="4"/>
    </row>
    <row r="131" spans="1:9" ht="14.25">
      <c r="A131" s="97" t="s">
        <v>89</v>
      </c>
      <c r="B131" s="154" t="s">
        <v>579</v>
      </c>
      <c r="C131" s="154" t="s">
        <v>388</v>
      </c>
      <c r="D131" s="28">
        <v>110</v>
      </c>
      <c r="E131" s="81">
        <f>IF(C131="","",IFERROR(VLOOKUP(C131,'ITEM LIST'!B:M,12,0)*D131,0))</f>
        <v>11</v>
      </c>
      <c r="H131" s="4"/>
      <c r="I131" s="4"/>
    </row>
    <row r="132" spans="1:9" ht="14.25">
      <c r="A132" s="97" t="s">
        <v>89</v>
      </c>
      <c r="B132" s="154" t="s">
        <v>579</v>
      </c>
      <c r="C132" s="154" t="s">
        <v>551</v>
      </c>
      <c r="D132" s="28">
        <v>120</v>
      </c>
      <c r="E132" s="81">
        <f>IF(C132="","",IFERROR(VLOOKUP(C132,'ITEM LIST'!B:M,12,0)*D132,0))</f>
        <v>8.1242912621359231</v>
      </c>
      <c r="H132" s="4"/>
      <c r="I132" s="4"/>
    </row>
    <row r="133" spans="1:9" ht="14.25">
      <c r="A133" s="97" t="s">
        <v>89</v>
      </c>
      <c r="B133" s="33" t="s">
        <v>371</v>
      </c>
      <c r="C133" s="154"/>
      <c r="D133" s="28"/>
      <c r="E133" s="81" t="str">
        <f>IF(C133="","",IFERROR(VLOOKUP(C133,'ITEM LIST'!B:M,12,0)*D133,0))</f>
        <v/>
      </c>
      <c r="H133" s="4"/>
      <c r="I133" s="4"/>
    </row>
    <row r="134" spans="1:9" ht="14.25">
      <c r="A134" s="97" t="s">
        <v>89</v>
      </c>
      <c r="B134" s="154" t="s">
        <v>580</v>
      </c>
      <c r="C134" s="154" t="s">
        <v>5</v>
      </c>
      <c r="D134" s="28">
        <v>2</v>
      </c>
      <c r="E134" s="81">
        <f>IF(C134="","",IFERROR(VLOOKUP(C134,'ITEM LIST'!B:M,12,0)*D134,0))</f>
        <v>70</v>
      </c>
      <c r="H134" s="4"/>
      <c r="I134" s="4"/>
    </row>
    <row r="135" spans="1:9" ht="14.25">
      <c r="A135" s="97" t="s">
        <v>89</v>
      </c>
      <c r="B135" s="154" t="s">
        <v>580</v>
      </c>
      <c r="C135" s="154" t="s">
        <v>90</v>
      </c>
      <c r="D135" s="28">
        <v>160</v>
      </c>
      <c r="E135" s="81">
        <f>IF(C135="","",IFERROR(VLOOKUP(C135,'ITEM LIST'!B:M,12,0)*D135,0))</f>
        <v>30.826195333333331</v>
      </c>
      <c r="H135" s="4"/>
      <c r="I135" s="4"/>
    </row>
    <row r="136" spans="1:9" ht="14.25">
      <c r="A136" s="97" t="s">
        <v>89</v>
      </c>
      <c r="B136" s="154" t="s">
        <v>580</v>
      </c>
      <c r="C136" s="154" t="s">
        <v>551</v>
      </c>
      <c r="D136" s="28">
        <v>110</v>
      </c>
      <c r="E136" s="81">
        <f>IF(C136="","",IFERROR(VLOOKUP(C136,'ITEM LIST'!B:M,12,0)*D136,0))</f>
        <v>7.4472669902912623</v>
      </c>
      <c r="H136" s="4"/>
      <c r="I136" s="4"/>
    </row>
    <row r="137" spans="1:9" ht="14.25">
      <c r="A137" s="97" t="s">
        <v>89</v>
      </c>
      <c r="B137" s="154" t="s">
        <v>580</v>
      </c>
      <c r="C137" s="33" t="s">
        <v>44</v>
      </c>
      <c r="D137" s="28">
        <v>15</v>
      </c>
      <c r="E137" s="81">
        <f>IF(C137="","",VLOOKUP(C137,'ITEM LIST'!B:M,12,0)*D137)</f>
        <v>0.375</v>
      </c>
      <c r="H137" s="4"/>
      <c r="I137" s="4"/>
    </row>
    <row r="138" spans="1:9" ht="14.25">
      <c r="A138" s="97" t="s">
        <v>89</v>
      </c>
      <c r="B138" s="154" t="s">
        <v>580</v>
      </c>
      <c r="C138" s="154" t="s">
        <v>20</v>
      </c>
      <c r="D138" s="28">
        <v>15</v>
      </c>
      <c r="E138" s="81">
        <f>IF(C138="","",VLOOKUP(C138,'ITEM LIST'!B:M,12,0)*D138)</f>
        <v>0.28499999999999998</v>
      </c>
      <c r="H138" s="4"/>
      <c r="I138" s="4"/>
    </row>
    <row r="139" spans="1:9" ht="14.25">
      <c r="A139" s="97" t="s">
        <v>89</v>
      </c>
      <c r="B139" s="154" t="s">
        <v>580</v>
      </c>
      <c r="C139" s="156" t="s">
        <v>91</v>
      </c>
      <c r="D139" s="28">
        <v>150</v>
      </c>
      <c r="E139" s="81">
        <f>IF(C139="","",IFERROR(VLOOKUP(C139,'ITEM LIST'!B:M,12,0)*D139,0))</f>
        <v>31.385759635994688</v>
      </c>
      <c r="H139" s="4"/>
      <c r="I139" s="4"/>
    </row>
    <row r="140" spans="1:9" ht="14.25">
      <c r="A140" s="97"/>
      <c r="B140" s="154" t="s">
        <v>371</v>
      </c>
      <c r="C140" s="33"/>
      <c r="D140" s="28"/>
      <c r="E140" s="81" t="str">
        <f>IF(C140="","",VLOOKUP(C140,'ITEM LIST'!B:M,12,0)*D140)</f>
        <v/>
      </c>
      <c r="H140" s="4"/>
      <c r="I140" s="4"/>
    </row>
    <row r="141" spans="1:9" ht="14.25">
      <c r="A141" s="97"/>
      <c r="B141" s="33" t="s">
        <v>371</v>
      </c>
      <c r="C141" s="33"/>
      <c r="D141" s="28"/>
      <c r="E141" s="81" t="str">
        <f>IF(C141="","",IFERROR(VLOOKUP(C141,'ITEM LIST'!B:M,12,0)*D141,0))</f>
        <v/>
      </c>
      <c r="H141" s="4"/>
      <c r="I141" s="4"/>
    </row>
    <row r="142" spans="1:9" ht="14.25">
      <c r="A142" s="97" t="s">
        <v>89</v>
      </c>
      <c r="B142" s="33" t="s">
        <v>636</v>
      </c>
      <c r="C142" s="33" t="s">
        <v>216</v>
      </c>
      <c r="D142" s="28">
        <v>240</v>
      </c>
      <c r="E142" s="81">
        <f>IF(C142="","",IFERROR(VLOOKUP(C142,'ITEM LIST'!B:M,12,0)*D142,0))</f>
        <v>192</v>
      </c>
      <c r="H142" s="4"/>
      <c r="I142" s="4"/>
    </row>
    <row r="143" spans="1:9" ht="14.25">
      <c r="A143" s="97" t="s">
        <v>89</v>
      </c>
      <c r="B143" s="33" t="s">
        <v>636</v>
      </c>
      <c r="C143" s="33" t="s">
        <v>5</v>
      </c>
      <c r="D143" s="28">
        <v>1</v>
      </c>
      <c r="E143" s="81">
        <f>IF(C143="","",IFERROR(VLOOKUP(C143,'ITEM LIST'!B:M,12,0)*D143,0))</f>
        <v>35</v>
      </c>
      <c r="H143" s="4"/>
      <c r="I143" s="4"/>
    </row>
    <row r="144" spans="1:9" ht="14.25">
      <c r="A144" s="97" t="s">
        <v>89</v>
      </c>
      <c r="B144" s="33" t="s">
        <v>636</v>
      </c>
      <c r="C144" s="33" t="s">
        <v>551</v>
      </c>
      <c r="D144" s="28">
        <v>200</v>
      </c>
      <c r="E144" s="81">
        <f>IF(C144="","",IFERROR(VLOOKUP(C144,'ITEM LIST'!B:M,12,0)*D144,0))</f>
        <v>13.540485436893205</v>
      </c>
      <c r="H144" s="4"/>
      <c r="I144" s="4"/>
    </row>
    <row r="145" spans="1:9" ht="14.25">
      <c r="A145" s="97"/>
      <c r="B145" s="33" t="s">
        <v>371</v>
      </c>
      <c r="C145" s="33" t="s">
        <v>371</v>
      </c>
      <c r="D145" s="28"/>
      <c r="E145" s="81" t="str">
        <f>IF(C145="","",VLOOKUP(C145,'ITEM LIST'!B:M,12,0)*D145)</f>
        <v/>
      </c>
      <c r="H145" s="4"/>
      <c r="I145" s="4"/>
    </row>
    <row r="146" spans="1:9" ht="12.75">
      <c r="A146" s="1"/>
      <c r="B146" s="1"/>
      <c r="C146" s="1"/>
      <c r="D146" s="3"/>
      <c r="E146" s="6"/>
      <c r="G146" s="4"/>
      <c r="H146" s="4"/>
      <c r="I146" s="4"/>
    </row>
    <row r="147" spans="1:9" ht="12.75">
      <c r="A147" s="1"/>
      <c r="B147" s="1"/>
      <c r="C147" s="1"/>
      <c r="D147" s="3"/>
      <c r="E147" s="6"/>
      <c r="G147" s="4"/>
      <c r="H147" s="4"/>
      <c r="I147" s="4"/>
    </row>
    <row r="148" spans="1:9" ht="12.75">
      <c r="A148" s="1"/>
      <c r="B148" s="1"/>
      <c r="C148" s="1"/>
      <c r="D148" s="3"/>
      <c r="E148" s="6"/>
      <c r="G148" s="4"/>
      <c r="H148" s="4"/>
      <c r="I148" s="4"/>
    </row>
    <row r="149" spans="1:9" ht="12.75">
      <c r="A149" s="1"/>
      <c r="B149" s="1"/>
      <c r="C149" s="1"/>
      <c r="D149" s="3"/>
      <c r="E149" s="6"/>
      <c r="G149" s="4"/>
      <c r="H149" s="4"/>
      <c r="I149" s="4"/>
    </row>
    <row r="150" spans="1:9" ht="12.75">
      <c r="A150" s="1"/>
      <c r="B150" s="1"/>
      <c r="C150" s="1"/>
      <c r="D150" s="3"/>
      <c r="E150" s="6"/>
      <c r="G150" s="4"/>
      <c r="H150" s="4"/>
      <c r="I150" s="4"/>
    </row>
    <row r="151" spans="1:9" ht="12.75">
      <c r="A151" s="1"/>
      <c r="B151" s="1"/>
      <c r="C151" s="1"/>
      <c r="D151" s="3"/>
      <c r="E151" s="6"/>
      <c r="G151" s="4"/>
      <c r="H151" s="4"/>
      <c r="I151" s="4"/>
    </row>
    <row r="152" spans="1:9" ht="12.75">
      <c r="A152" s="1"/>
      <c r="B152" s="1"/>
      <c r="C152" s="1"/>
      <c r="D152" s="3"/>
      <c r="E152" s="6"/>
      <c r="G152" s="4"/>
      <c r="H152" s="4"/>
      <c r="I152" s="4"/>
    </row>
    <row r="153" spans="1:9" ht="12.75">
      <c r="A153" s="1"/>
      <c r="B153" s="1"/>
      <c r="C153" s="1"/>
      <c r="D153" s="3"/>
      <c r="E153" s="6"/>
      <c r="G153" s="4"/>
      <c r="H153" s="4"/>
      <c r="I153" s="4"/>
    </row>
    <row r="154" spans="1:9" ht="12.75">
      <c r="A154" s="1"/>
      <c r="B154" s="1"/>
      <c r="C154" s="1"/>
      <c r="D154" s="3"/>
      <c r="E154" s="6"/>
      <c r="G154" s="4"/>
      <c r="H154" s="4"/>
      <c r="I154" s="4"/>
    </row>
    <row r="155" spans="1:9" ht="12.75">
      <c r="A155" s="1"/>
      <c r="B155" s="1"/>
      <c r="C155" s="1"/>
      <c r="D155" s="3"/>
      <c r="E155" s="6"/>
      <c r="G155" s="4"/>
      <c r="H155" s="4"/>
      <c r="I155" s="4"/>
    </row>
    <row r="156" spans="1:9" ht="12.75">
      <c r="A156" s="1"/>
      <c r="B156" s="1"/>
      <c r="C156" s="1"/>
      <c r="D156" s="3"/>
      <c r="E156" s="6"/>
      <c r="G156" s="4"/>
      <c r="H156" s="4"/>
      <c r="I156" s="4"/>
    </row>
    <row r="157" spans="1:9" ht="12.75">
      <c r="A157" s="1"/>
      <c r="B157" s="1"/>
      <c r="C157" s="1"/>
      <c r="D157" s="3"/>
      <c r="E157" s="6"/>
      <c r="G157" s="4"/>
      <c r="H157" s="4"/>
      <c r="I157" s="4"/>
    </row>
    <row r="158" spans="1:9" ht="12.75">
      <c r="A158" s="1"/>
      <c r="B158" s="1"/>
      <c r="C158" s="1"/>
      <c r="D158" s="3"/>
      <c r="E158" s="6"/>
      <c r="G158" s="4"/>
      <c r="H158" s="4"/>
      <c r="I158" s="4"/>
    </row>
    <row r="159" spans="1:9" ht="12.75">
      <c r="A159" s="1"/>
      <c r="B159" s="1"/>
      <c r="C159" s="1"/>
      <c r="D159" s="3"/>
      <c r="E159" s="6"/>
      <c r="G159" s="4"/>
      <c r="H159" s="4"/>
      <c r="I159" s="4"/>
    </row>
    <row r="160" spans="1:9" ht="12.75">
      <c r="A160" s="1"/>
      <c r="B160" s="1"/>
      <c r="C160" s="1"/>
      <c r="D160" s="3"/>
      <c r="E160" s="6"/>
      <c r="G160" s="4"/>
      <c r="H160" s="4"/>
      <c r="I160" s="4"/>
    </row>
    <row r="161" spans="1:9" ht="12.75">
      <c r="A161" s="1"/>
      <c r="B161" s="1"/>
      <c r="C161" s="1"/>
      <c r="D161" s="3"/>
      <c r="E161" s="6"/>
      <c r="G161" s="4"/>
      <c r="H161" s="4"/>
      <c r="I161" s="4"/>
    </row>
    <row r="162" spans="1:9" ht="12.75">
      <c r="A162" s="1"/>
      <c r="B162" s="1"/>
      <c r="C162" s="1"/>
      <c r="D162" s="3"/>
      <c r="E162" s="6"/>
      <c r="G162" s="4"/>
      <c r="H162" s="4"/>
      <c r="I162" s="4"/>
    </row>
    <row r="163" spans="1:9" ht="12.75">
      <c r="A163" s="1"/>
      <c r="B163" s="1"/>
      <c r="C163" s="1"/>
      <c r="D163" s="3"/>
      <c r="E163" s="6"/>
      <c r="G163" s="4"/>
      <c r="H163" s="4"/>
      <c r="I163" s="4"/>
    </row>
    <row r="164" spans="1:9" ht="12.75">
      <c r="A164" s="1"/>
      <c r="B164" s="1"/>
      <c r="C164" s="1"/>
      <c r="D164" s="3"/>
      <c r="E164" s="6"/>
      <c r="G164" s="4"/>
      <c r="H164" s="4"/>
      <c r="I164" s="4"/>
    </row>
    <row r="165" spans="1:9" ht="12.75">
      <c r="A165" s="1"/>
      <c r="B165" s="1"/>
      <c r="C165" s="1"/>
      <c r="D165" s="3"/>
      <c r="E165" s="6"/>
      <c r="G165" s="4"/>
      <c r="H165" s="4"/>
      <c r="I165" s="4"/>
    </row>
    <row r="166" spans="1:9" ht="12.75">
      <c r="A166" s="1"/>
      <c r="B166" s="1"/>
      <c r="C166" s="1"/>
      <c r="D166" s="3"/>
      <c r="E166" s="6"/>
      <c r="G166" s="4"/>
      <c r="H166" s="4"/>
      <c r="I166" s="4"/>
    </row>
    <row r="167" spans="1:9" ht="12.75">
      <c r="A167" s="1"/>
      <c r="B167" s="1"/>
      <c r="C167" s="1"/>
      <c r="D167" s="3"/>
      <c r="E167" s="6"/>
      <c r="G167" s="4"/>
      <c r="H167" s="4"/>
      <c r="I167" s="4"/>
    </row>
    <row r="168" spans="1:9" ht="12.75">
      <c r="A168" s="1"/>
      <c r="B168" s="1"/>
      <c r="C168" s="1"/>
      <c r="D168" s="3"/>
      <c r="E168" s="6"/>
      <c r="G168" s="4"/>
      <c r="H168" s="4"/>
      <c r="I168" s="4"/>
    </row>
    <row r="169" spans="1:9" ht="12.75">
      <c r="A169" s="1"/>
      <c r="B169" s="1"/>
      <c r="C169" s="1"/>
      <c r="D169" s="3"/>
      <c r="E169" s="6"/>
      <c r="G169" s="4"/>
      <c r="H169" s="4"/>
      <c r="I169" s="4"/>
    </row>
    <row r="170" spans="1:9" ht="12.75">
      <c r="A170" s="1"/>
      <c r="B170" s="1"/>
      <c r="C170" s="1"/>
      <c r="D170" s="3"/>
      <c r="E170" s="6"/>
      <c r="G170" s="4"/>
      <c r="H170" s="4"/>
      <c r="I170" s="4"/>
    </row>
    <row r="171" spans="1:9" ht="12.75">
      <c r="A171" s="1"/>
      <c r="B171" s="1"/>
      <c r="C171" s="1"/>
      <c r="D171" s="3"/>
      <c r="E171" s="6"/>
      <c r="G171" s="4"/>
      <c r="H171" s="4"/>
      <c r="I171" s="4"/>
    </row>
    <row r="172" spans="1:9" ht="12.75">
      <c r="A172" s="1"/>
      <c r="B172" s="1"/>
      <c r="C172" s="1"/>
      <c r="D172" s="3"/>
      <c r="E172" s="6"/>
      <c r="G172" s="4"/>
      <c r="H172" s="4"/>
      <c r="I172" s="4"/>
    </row>
    <row r="173" spans="1:9" ht="12.75">
      <c r="A173" s="1"/>
      <c r="B173" s="1"/>
      <c r="C173" s="1"/>
      <c r="D173" s="3"/>
      <c r="E173" s="6"/>
      <c r="G173" s="4"/>
      <c r="H173" s="4"/>
      <c r="I173" s="4"/>
    </row>
    <row r="174" spans="1:9" ht="12.75">
      <c r="A174" s="1"/>
      <c r="B174" s="1"/>
      <c r="C174" s="1"/>
      <c r="D174" s="3"/>
      <c r="E174" s="6"/>
      <c r="G174" s="4"/>
      <c r="H174" s="4"/>
      <c r="I174" s="4"/>
    </row>
    <row r="175" spans="1:9" ht="12.75">
      <c r="A175" s="1"/>
      <c r="B175" s="1"/>
      <c r="C175" s="1"/>
      <c r="D175" s="3"/>
      <c r="E175" s="6"/>
      <c r="G175" s="4"/>
      <c r="H175" s="4"/>
      <c r="I175" s="4"/>
    </row>
    <row r="176" spans="1:9" ht="12.75">
      <c r="A176" s="1"/>
      <c r="B176" s="1"/>
      <c r="C176" s="1"/>
      <c r="D176" s="3"/>
      <c r="E176" s="6"/>
      <c r="G176" s="4"/>
      <c r="H176" s="4"/>
      <c r="I176" s="4"/>
    </row>
    <row r="177" spans="1:9" ht="12.75">
      <c r="A177" s="1"/>
      <c r="B177" s="1"/>
      <c r="C177" s="1"/>
      <c r="D177" s="3"/>
      <c r="E177" s="6"/>
      <c r="G177" s="4"/>
      <c r="H177" s="4"/>
      <c r="I177" s="4"/>
    </row>
    <row r="178" spans="1:9" ht="12.75">
      <c r="A178" s="1"/>
      <c r="B178" s="1"/>
      <c r="C178" s="1"/>
      <c r="D178" s="3"/>
      <c r="E178" s="6"/>
      <c r="G178" s="4"/>
      <c r="H178" s="4"/>
      <c r="I178" s="4"/>
    </row>
    <row r="179" spans="1:9" ht="12.75">
      <c r="A179" s="1"/>
      <c r="B179" s="1"/>
      <c r="C179" s="1"/>
      <c r="D179" s="3"/>
      <c r="E179" s="6"/>
      <c r="G179" s="4"/>
      <c r="H179" s="4"/>
      <c r="I179" s="4"/>
    </row>
    <row r="180" spans="1:9" ht="12.75">
      <c r="A180" s="1"/>
      <c r="B180" s="1"/>
      <c r="C180" s="1"/>
      <c r="D180" s="3"/>
      <c r="E180" s="6"/>
      <c r="G180" s="4"/>
      <c r="H180" s="4"/>
      <c r="I180" s="4"/>
    </row>
    <row r="181" spans="1:9" ht="12.75">
      <c r="A181" s="1"/>
      <c r="B181" s="1"/>
      <c r="C181" s="1"/>
      <c r="D181" s="3"/>
      <c r="E181" s="6"/>
      <c r="G181" s="4"/>
      <c r="H181" s="4"/>
      <c r="I181" s="4"/>
    </row>
    <row r="182" spans="1:9" ht="12.75">
      <c r="A182" s="1"/>
      <c r="B182" s="1"/>
      <c r="C182" s="1"/>
      <c r="D182" s="3"/>
      <c r="E182" s="6"/>
      <c r="G182" s="4"/>
      <c r="H182" s="4"/>
      <c r="I182" s="4"/>
    </row>
    <row r="183" spans="1:9" ht="12.75">
      <c r="A183" s="1"/>
      <c r="B183" s="1"/>
      <c r="C183" s="1"/>
      <c r="D183" s="3"/>
      <c r="E183" s="6"/>
      <c r="G183" s="4"/>
      <c r="H183" s="4"/>
      <c r="I183" s="4"/>
    </row>
    <row r="184" spans="1:9" ht="12.75">
      <c r="A184" s="1"/>
      <c r="B184" s="1"/>
      <c r="C184" s="1"/>
      <c r="D184" s="3"/>
      <c r="E184" s="6"/>
      <c r="G184" s="4"/>
      <c r="H184" s="4"/>
      <c r="I184" s="4"/>
    </row>
    <row r="185" spans="1:9" ht="12.75">
      <c r="A185" s="1"/>
      <c r="B185" s="1"/>
      <c r="C185" s="1"/>
      <c r="D185" s="3"/>
      <c r="E185" s="6"/>
      <c r="G185" s="4"/>
      <c r="H185" s="4"/>
      <c r="I185" s="4"/>
    </row>
    <row r="186" spans="1:9" ht="12.75">
      <c r="A186" s="1"/>
      <c r="B186" s="1"/>
      <c r="C186" s="1"/>
      <c r="D186" s="3"/>
      <c r="E186" s="6"/>
      <c r="G186" s="4"/>
      <c r="H186" s="4"/>
      <c r="I186" s="4"/>
    </row>
    <row r="187" spans="1:9" ht="12.75">
      <c r="A187" s="1"/>
      <c r="B187" s="1"/>
      <c r="C187" s="1"/>
      <c r="D187" s="3"/>
      <c r="E187" s="6"/>
      <c r="G187" s="4"/>
      <c r="H187" s="4"/>
      <c r="I187" s="4"/>
    </row>
    <row r="188" spans="1:9" ht="12.75">
      <c r="A188" s="1"/>
      <c r="B188" s="1"/>
      <c r="C188" s="1"/>
      <c r="D188" s="3"/>
      <c r="E188" s="6"/>
      <c r="G188" s="4"/>
      <c r="H188" s="4"/>
      <c r="I188" s="4"/>
    </row>
    <row r="189" spans="1:9" ht="12.75">
      <c r="A189" s="1"/>
      <c r="B189" s="1"/>
      <c r="C189" s="1"/>
      <c r="D189" s="3"/>
      <c r="E189" s="6"/>
      <c r="G189" s="4"/>
      <c r="H189" s="4"/>
      <c r="I189" s="4"/>
    </row>
    <row r="190" spans="1:9" ht="12.75">
      <c r="A190" s="1"/>
      <c r="B190" s="1"/>
      <c r="C190" s="1"/>
      <c r="D190" s="3"/>
      <c r="E190" s="6"/>
      <c r="G190" s="4"/>
      <c r="H190" s="4"/>
      <c r="I190" s="4"/>
    </row>
    <row r="191" spans="1:9" ht="12.75">
      <c r="A191" s="1"/>
      <c r="B191" s="1"/>
      <c r="C191" s="1"/>
      <c r="D191" s="3"/>
      <c r="E191" s="6"/>
      <c r="G191" s="4"/>
      <c r="H191" s="4"/>
      <c r="I191" s="4"/>
    </row>
    <row r="192" spans="1:9" ht="12.75">
      <c r="A192" s="1"/>
      <c r="B192" s="1"/>
      <c r="C192" s="1"/>
      <c r="D192" s="3"/>
      <c r="E192" s="6"/>
      <c r="G192" s="4"/>
      <c r="H192" s="4"/>
      <c r="I192" s="4"/>
    </row>
    <row r="193" spans="1:9" ht="12.75">
      <c r="A193" s="1"/>
      <c r="B193" s="1"/>
      <c r="C193" s="1"/>
      <c r="D193" s="3"/>
      <c r="E193" s="6"/>
      <c r="G193" s="4"/>
      <c r="H193" s="4"/>
      <c r="I193" s="4"/>
    </row>
    <row r="194" spans="1:9" ht="12.75">
      <c r="A194" s="1"/>
      <c r="B194" s="1"/>
      <c r="C194" s="1"/>
      <c r="D194" s="3"/>
      <c r="E194" s="6"/>
      <c r="G194" s="4"/>
      <c r="H194" s="4"/>
      <c r="I194" s="4"/>
    </row>
    <row r="195" spans="1:9" ht="12.75">
      <c r="A195" s="1"/>
      <c r="B195" s="1"/>
      <c r="C195" s="1"/>
      <c r="D195" s="3"/>
      <c r="E195" s="6"/>
      <c r="G195" s="4"/>
      <c r="H195" s="4"/>
      <c r="I195" s="4"/>
    </row>
    <row r="196" spans="1:9" ht="12.75">
      <c r="A196" s="1"/>
      <c r="B196" s="1"/>
      <c r="C196" s="1"/>
      <c r="D196" s="3"/>
      <c r="E196" s="6"/>
      <c r="G196" s="4"/>
      <c r="H196" s="4"/>
      <c r="I196" s="4"/>
    </row>
    <row r="197" spans="1:9" ht="12.75">
      <c r="A197" s="1"/>
      <c r="B197" s="1"/>
      <c r="C197" s="1"/>
      <c r="D197" s="3"/>
      <c r="E197" s="6"/>
      <c r="G197" s="4"/>
      <c r="H197" s="4"/>
      <c r="I197" s="4"/>
    </row>
    <row r="198" spans="1:9" ht="12.75">
      <c r="A198" s="1"/>
      <c r="B198" s="1"/>
      <c r="C198" s="1"/>
      <c r="D198" s="3"/>
      <c r="E198" s="6"/>
      <c r="G198" s="4"/>
      <c r="H198" s="4"/>
      <c r="I198" s="4"/>
    </row>
    <row r="199" spans="1:9" ht="15.75" customHeight="1">
      <c r="A199" s="1"/>
      <c r="B199" s="1"/>
      <c r="C199" s="1"/>
      <c r="D199" s="3"/>
      <c r="E199" s="6"/>
    </row>
  </sheetData>
  <sheetProtection selectLockedCells="1"/>
  <mergeCells count="1">
    <mergeCell ref="A1:E1"/>
  </mergeCells>
  <dataValidations count="1">
    <dataValidation type="list" allowBlank="1" showErrorMessage="1" sqref="A3:A145" xr:uid="{00000000-0002-0000-0800-000001000000}">
      <formula1>"Chaat,Chinese,Breads,Drinks &amp; Beverage,Grill Special,Kulfi,North Indian,South Indian,Specials,Sweets,Namkeen"</formula1>
    </dataValidation>
  </dataValidations>
  <pageMargins left="0.7" right="0.7" top="0.75" bottom="0.75" header="0.3" footer="0.3"/>
  <pageSetup orientation="portrait" r:id="rId1"/>
  <ignoredErrors>
    <ignoredError sqref="E3:E116 E141 E139 E142:E145" calculatedColumn="1"/>
  </ignoredErrors>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xr:uid="{00000000-0002-0000-0800-000000000000}">
          <x14:formula1>
            <xm:f>'ITEM LIST'!$B$2:$B$479</xm:f>
          </x14:formula1>
          <xm:sqref>C3:C80 C142:C199 C121:C136 C119 C138 C140 C114:C117 C100:C112</xm:sqref>
        </x14:dataValidation>
        <x14:dataValidation type="list" allowBlank="1" xr:uid="{00000000-0002-0000-0800-000002000000}">
          <x14:formula1>
            <xm:f>'ITEM LIST'!$B$2:$B$493</xm:f>
          </x14:formula1>
          <xm:sqref>C81:C98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theme="6" tint="-0.499984740745262"/>
    <outlinePr summaryBelow="0" summaryRight="0"/>
  </sheetPr>
  <dimension ref="A1:I121"/>
  <sheetViews>
    <sheetView workbookViewId="0">
      <selection activeCell="A76" sqref="A76:A77"/>
    </sheetView>
  </sheetViews>
  <sheetFormatPr defaultColWidth="12.5703125" defaultRowHeight="15.75" customHeight="1"/>
  <cols>
    <col min="1" max="2" width="25.28515625" customWidth="1"/>
    <col min="3" max="3" width="21.42578125" customWidth="1"/>
    <col min="4" max="4" width="12.85546875" bestFit="1" customWidth="1"/>
  </cols>
  <sheetData>
    <row r="1" spans="1:8" ht="23.25">
      <c r="A1" s="266" t="s">
        <v>305</v>
      </c>
      <c r="B1" s="265"/>
      <c r="C1" s="265"/>
      <c r="D1" s="265"/>
      <c r="E1" s="265"/>
    </row>
    <row r="2" spans="1:8" ht="15.75" customHeight="1">
      <c r="A2" s="105" t="s">
        <v>125</v>
      </c>
      <c r="B2" s="106" t="s">
        <v>306</v>
      </c>
      <c r="C2" s="106" t="s">
        <v>302</v>
      </c>
      <c r="D2" s="106" t="s">
        <v>303</v>
      </c>
      <c r="E2" s="107" t="s">
        <v>128</v>
      </c>
      <c r="H2" s="1"/>
    </row>
    <row r="3" spans="1:8" ht="15.75" customHeight="1">
      <c r="A3" s="112" t="s">
        <v>64</v>
      </c>
      <c r="B3" s="29" t="s">
        <v>119</v>
      </c>
      <c r="C3" s="29" t="s">
        <v>538</v>
      </c>
      <c r="D3" s="30">
        <v>125</v>
      </c>
      <c r="E3" s="81">
        <f>IF(C3="","",IFERROR(VLOOKUP(C3,'ITEM LIST'!B:M,12,0)*D3,0))</f>
        <v>6.7166666666666668</v>
      </c>
      <c r="H3" s="1"/>
    </row>
    <row r="4" spans="1:8" ht="15.75" customHeight="1">
      <c r="A4" s="104" t="s">
        <v>64</v>
      </c>
      <c r="B4" s="29" t="s">
        <v>119</v>
      </c>
      <c r="C4" s="133" t="s">
        <v>546</v>
      </c>
      <c r="D4" s="30">
        <v>43</v>
      </c>
      <c r="E4" s="81">
        <f>IF(C4="","",IFERROR(VLOOKUP(C4,'ITEM LIST'!B:M,12,0)*D4,0))</f>
        <v>11.588070000000002</v>
      </c>
      <c r="H4" s="1"/>
    </row>
    <row r="5" spans="1:8" ht="15.75" customHeight="1">
      <c r="A5" s="194" t="s">
        <v>64</v>
      </c>
      <c r="B5" s="29" t="s">
        <v>119</v>
      </c>
      <c r="C5" s="29" t="s">
        <v>120</v>
      </c>
      <c r="D5" s="30">
        <v>53</v>
      </c>
      <c r="E5" s="81">
        <f>IF(C5="","",IFERROR(VLOOKUP(C5,'ITEM LIST'!B:M,12,0)*D5,0))</f>
        <v>1.4311519168756719</v>
      </c>
      <c r="H5" s="1"/>
    </row>
    <row r="6" spans="1:8" ht="15.75" customHeight="1">
      <c r="A6" s="104" t="s">
        <v>64</v>
      </c>
      <c r="B6" s="29" t="s">
        <v>119</v>
      </c>
      <c r="C6" s="29" t="s">
        <v>539</v>
      </c>
      <c r="D6" s="30">
        <v>165</v>
      </c>
      <c r="E6" s="81">
        <f>IF(C6="","",IFERROR(VLOOKUP(C6,'ITEM LIST'!B:M,12,0)*D6,0))</f>
        <v>7.593055555555555</v>
      </c>
      <c r="H6" s="1"/>
    </row>
    <row r="7" spans="1:8" ht="15.75" customHeight="1">
      <c r="A7" s="104" t="s">
        <v>64</v>
      </c>
      <c r="B7" s="29" t="s">
        <v>119</v>
      </c>
      <c r="C7" s="29" t="s">
        <v>16</v>
      </c>
      <c r="D7" s="30">
        <v>161</v>
      </c>
      <c r="E7" s="81">
        <f>IF(C7="","",IFERROR(VLOOKUP(C7,'ITEM LIST'!B:M,12,0)*D7,0))</f>
        <v>6.0644365384615373</v>
      </c>
      <c r="H7" s="1"/>
    </row>
    <row r="8" spans="1:8" ht="15.75" customHeight="1">
      <c r="A8" s="104"/>
      <c r="B8" s="29" t="s">
        <v>371</v>
      </c>
      <c r="C8" s="29" t="s">
        <v>371</v>
      </c>
      <c r="D8" s="31"/>
      <c r="E8" s="81" t="str">
        <f>IF(C8="","",IFERROR(VLOOKUP(C8,'ITEM LIST'!B:M,12,0)*D8,0))</f>
        <v/>
      </c>
      <c r="H8" s="1"/>
    </row>
    <row r="9" spans="1:8" ht="15.75" customHeight="1">
      <c r="A9" s="104" t="s">
        <v>64</v>
      </c>
      <c r="B9" s="29" t="s">
        <v>65</v>
      </c>
      <c r="C9" s="29" t="s">
        <v>16</v>
      </c>
      <c r="D9" s="30">
        <v>161</v>
      </c>
      <c r="E9" s="81">
        <f>IF(C9="","",IFERROR(VLOOKUP(C9,'ITEM LIST'!B:M,12,0)*D9,0))</f>
        <v>6.0644365384615373</v>
      </c>
      <c r="H9" s="1"/>
    </row>
    <row r="10" spans="1:8" ht="15.75" customHeight="1">
      <c r="A10" s="104" t="s">
        <v>64</v>
      </c>
      <c r="B10" s="29" t="s">
        <v>65</v>
      </c>
      <c r="C10" s="29" t="s">
        <v>538</v>
      </c>
      <c r="D10" s="30">
        <v>125</v>
      </c>
      <c r="E10" s="81">
        <f>IF(C10="","",IFERROR(VLOOKUP(C10,'ITEM LIST'!B:M,12,0)*D10,0))</f>
        <v>6.7166666666666668</v>
      </c>
      <c r="H10" s="1"/>
    </row>
    <row r="11" spans="1:8" ht="15.75" customHeight="1">
      <c r="A11" s="104" t="s">
        <v>64</v>
      </c>
      <c r="B11" s="29" t="s">
        <v>65</v>
      </c>
      <c r="C11" s="29" t="s">
        <v>323</v>
      </c>
      <c r="D11" s="30">
        <v>4</v>
      </c>
      <c r="E11" s="81">
        <f>IF(C11="","",IFERROR(VLOOKUP(C11,'ITEM LIST'!B:M,12,0)*D11,0))</f>
        <v>0.14000000000000001</v>
      </c>
      <c r="H11" s="1"/>
    </row>
    <row r="12" spans="1:8" ht="15.75" customHeight="1">
      <c r="A12" s="104" t="s">
        <v>64</v>
      </c>
      <c r="B12" s="29" t="s">
        <v>65</v>
      </c>
      <c r="C12" s="29" t="s">
        <v>17</v>
      </c>
      <c r="D12" s="30">
        <v>100</v>
      </c>
      <c r="E12" s="81">
        <f>IF(C12="","",IFERROR(VLOOKUP(C12,'ITEM LIST'!B:M,12,0)*D12,0))</f>
        <v>27</v>
      </c>
      <c r="H12" s="1"/>
    </row>
    <row r="13" spans="1:8" ht="15.75" customHeight="1">
      <c r="A13" s="104" t="s">
        <v>64</v>
      </c>
      <c r="B13" s="29" t="s">
        <v>65</v>
      </c>
      <c r="C13" s="29" t="s">
        <v>18</v>
      </c>
      <c r="D13" s="30">
        <v>4</v>
      </c>
      <c r="E13" s="81">
        <f>IF(C13="","",IFERROR(VLOOKUP(C13,'ITEM LIST'!B:M,12,0)*D13,0))</f>
        <v>0.12</v>
      </c>
      <c r="H13" s="1"/>
    </row>
    <row r="14" spans="1:8" ht="15.75" customHeight="1">
      <c r="A14" s="104" t="s">
        <v>64</v>
      </c>
      <c r="B14" s="29" t="s">
        <v>65</v>
      </c>
      <c r="C14" s="29" t="s">
        <v>19</v>
      </c>
      <c r="D14" s="30">
        <v>40</v>
      </c>
      <c r="E14" s="81">
        <f>IF(C14="","",IFERROR(VLOOKUP(C14,'ITEM LIST'!B:M,12,0)*D14,0))</f>
        <v>0.64</v>
      </c>
      <c r="H14" s="1"/>
    </row>
    <row r="15" spans="1:8" ht="15.75" customHeight="1">
      <c r="A15" s="104" t="s">
        <v>64</v>
      </c>
      <c r="B15" s="29" t="s">
        <v>65</v>
      </c>
      <c r="C15" s="29" t="s">
        <v>20</v>
      </c>
      <c r="D15" s="30">
        <v>27</v>
      </c>
      <c r="E15" s="81">
        <f>IF(C15="","",IFERROR(VLOOKUP(C15,'ITEM LIST'!B:M,12,0)*D15,0))</f>
        <v>0.51300000000000001</v>
      </c>
      <c r="H15" s="1"/>
    </row>
    <row r="16" spans="1:8" ht="15.75" customHeight="1">
      <c r="A16" s="104" t="s">
        <v>64</v>
      </c>
      <c r="B16" s="29" t="s">
        <v>65</v>
      </c>
      <c r="C16" s="29" t="s">
        <v>12</v>
      </c>
      <c r="D16" s="30">
        <v>6</v>
      </c>
      <c r="E16" s="81">
        <f>IF(C16="","",IFERROR(VLOOKUP(C16,'ITEM LIST'!B:M,12,0)*D16,0))</f>
        <v>0.58200000000000007</v>
      </c>
      <c r="H16" s="1"/>
    </row>
    <row r="17" spans="1:8" ht="15.75" customHeight="1">
      <c r="A17" s="104" t="s">
        <v>64</v>
      </c>
      <c r="B17" s="29" t="s">
        <v>65</v>
      </c>
      <c r="C17" s="29" t="s">
        <v>347</v>
      </c>
      <c r="D17" s="30">
        <v>6</v>
      </c>
      <c r="E17" s="81">
        <f>IF(C17="","",IFERROR(VLOOKUP(C17,'ITEM LIST'!B:M,12,0)*D17,0))</f>
        <v>4.08</v>
      </c>
      <c r="H17" s="1"/>
    </row>
    <row r="18" spans="1:8" ht="15.75" customHeight="1">
      <c r="A18" s="104" t="s">
        <v>64</v>
      </c>
      <c r="B18" s="29" t="s">
        <v>65</v>
      </c>
      <c r="C18" s="29" t="s">
        <v>336</v>
      </c>
      <c r="D18" s="30">
        <v>3</v>
      </c>
      <c r="E18" s="81">
        <f>IF(C18="","",IFERROR(VLOOKUP(C18,'ITEM LIST'!B:M,12,0)*D18,0))</f>
        <v>0.79800000000000004</v>
      </c>
      <c r="H18" s="1"/>
    </row>
    <row r="19" spans="1:8" ht="15.75" customHeight="1">
      <c r="A19" s="104" t="s">
        <v>64</v>
      </c>
      <c r="B19" s="29" t="s">
        <v>65</v>
      </c>
      <c r="C19" s="29" t="s">
        <v>381</v>
      </c>
      <c r="D19" s="30">
        <v>23</v>
      </c>
      <c r="E19" s="81">
        <f>IF(C19="","",IFERROR(VLOOKUP(C19,'ITEM LIST'!B:M,12,0)*D19,0))</f>
        <v>4.37</v>
      </c>
      <c r="H19" s="1"/>
    </row>
    <row r="20" spans="1:8" ht="15.75" customHeight="1">
      <c r="A20" s="104" t="s">
        <v>64</v>
      </c>
      <c r="B20" s="29" t="s">
        <v>65</v>
      </c>
      <c r="C20" s="29" t="s">
        <v>546</v>
      </c>
      <c r="D20" s="30">
        <v>43</v>
      </c>
      <c r="E20" s="81">
        <f>IF(C20="","",IFERROR(VLOOKUP(C20,'ITEM LIST'!B:M,12,0)*D20,0))</f>
        <v>11.588070000000002</v>
      </c>
      <c r="H20" s="1"/>
    </row>
    <row r="21" spans="1:8" ht="15.75" customHeight="1">
      <c r="A21" s="104" t="s">
        <v>64</v>
      </c>
      <c r="B21" s="29" t="s">
        <v>65</v>
      </c>
      <c r="C21" s="29" t="s">
        <v>120</v>
      </c>
      <c r="D21" s="30">
        <v>53</v>
      </c>
      <c r="E21" s="81">
        <f>IF(C21="","",IFERROR(VLOOKUP(C21,'ITEM LIST'!B:M,12,0)*D21,0))</f>
        <v>1.4311519168756719</v>
      </c>
      <c r="H21" s="1"/>
    </row>
    <row r="22" spans="1:8" ht="14.25">
      <c r="A22" s="104"/>
      <c r="B22" s="29" t="s">
        <v>371</v>
      </c>
      <c r="C22" s="29" t="s">
        <v>371</v>
      </c>
      <c r="D22" s="31"/>
      <c r="E22" s="81" t="str">
        <f>IF(C22="","",IFERROR(VLOOKUP(C22,'ITEM LIST'!B:M,12,0)*D22,0))</f>
        <v/>
      </c>
      <c r="H22" s="1"/>
    </row>
    <row r="23" spans="1:8" ht="14.25">
      <c r="A23" s="104" t="s">
        <v>64</v>
      </c>
      <c r="B23" s="29" t="s">
        <v>66</v>
      </c>
      <c r="C23" s="29" t="s">
        <v>538</v>
      </c>
      <c r="D23" s="30">
        <v>125</v>
      </c>
      <c r="E23" s="81">
        <f>IF(C23="","",IFERROR(VLOOKUP(C23,'ITEM LIST'!B:M,12,0)*D23,0))</f>
        <v>6.7166666666666668</v>
      </c>
      <c r="H23" s="1"/>
    </row>
    <row r="24" spans="1:8" ht="14.25">
      <c r="A24" s="104" t="s">
        <v>64</v>
      </c>
      <c r="B24" s="29" t="s">
        <v>66</v>
      </c>
      <c r="C24" s="29" t="s">
        <v>546</v>
      </c>
      <c r="D24" s="30">
        <v>43</v>
      </c>
      <c r="E24" s="81">
        <f>IF(C24="","",IFERROR(VLOOKUP(C24,'ITEM LIST'!B:M,12,0)*D24,0))</f>
        <v>11.588070000000002</v>
      </c>
      <c r="H24" s="1"/>
    </row>
    <row r="25" spans="1:8" ht="14.25">
      <c r="A25" s="104" t="s">
        <v>64</v>
      </c>
      <c r="B25" s="167" t="s">
        <v>66</v>
      </c>
      <c r="C25" s="29" t="s">
        <v>16</v>
      </c>
      <c r="D25" s="30">
        <v>161</v>
      </c>
      <c r="E25" s="81">
        <f>IF(C25="","",IFERROR(VLOOKUP(C25,'ITEM LIST'!B:M,12,0)*D25,0))</f>
        <v>6.0644365384615373</v>
      </c>
      <c r="H25" s="1"/>
    </row>
    <row r="26" spans="1:8" ht="14.25">
      <c r="A26" s="104" t="s">
        <v>64</v>
      </c>
      <c r="B26" s="29" t="s">
        <v>66</v>
      </c>
      <c r="C26" s="29" t="s">
        <v>120</v>
      </c>
      <c r="D26" s="30">
        <v>53</v>
      </c>
      <c r="E26" s="81">
        <f>IF(C26="","",IFERROR(VLOOKUP(C26,'ITEM LIST'!B:M,12,0)*D26,0))</f>
        <v>1.4311519168756719</v>
      </c>
      <c r="H26" s="1"/>
    </row>
    <row r="27" spans="1:8" ht="14.25">
      <c r="A27" s="104"/>
      <c r="B27" s="29" t="s">
        <v>371</v>
      </c>
      <c r="C27" s="29" t="s">
        <v>371</v>
      </c>
      <c r="D27" s="31"/>
      <c r="E27" s="81" t="str">
        <f>IF(C27="","",IFERROR(VLOOKUP(C27,'ITEM LIST'!B:M,12,0)*D27,0))</f>
        <v/>
      </c>
      <c r="H27" s="1"/>
    </row>
    <row r="28" spans="1:8" ht="14.25">
      <c r="A28" s="104" t="s">
        <v>64</v>
      </c>
      <c r="B28" s="29" t="s">
        <v>67</v>
      </c>
      <c r="C28" s="32" t="s">
        <v>22</v>
      </c>
      <c r="D28" s="31">
        <v>2</v>
      </c>
      <c r="E28" s="81">
        <f>IF(C28="","",IFERROR(VLOOKUP(C28,'ITEM LIST'!B:M,12,0)*D28,0))</f>
        <v>10.992136751979999</v>
      </c>
      <c r="H28" s="1"/>
    </row>
    <row r="29" spans="1:8" ht="14.25">
      <c r="A29" s="104" t="s">
        <v>64</v>
      </c>
      <c r="B29" s="29" t="s">
        <v>67</v>
      </c>
      <c r="C29" s="29" t="s">
        <v>546</v>
      </c>
      <c r="D29" s="30">
        <v>43</v>
      </c>
      <c r="E29" s="81">
        <f>IF(C29="","",IFERROR(VLOOKUP(C29,'ITEM LIST'!B:M,12,0)*D29,0))</f>
        <v>11.588070000000002</v>
      </c>
      <c r="H29" s="1"/>
    </row>
    <row r="30" spans="1:8" ht="14.25">
      <c r="A30" s="104" t="s">
        <v>64</v>
      </c>
      <c r="B30" s="29" t="s">
        <v>67</v>
      </c>
      <c r="C30" s="29" t="s">
        <v>120</v>
      </c>
      <c r="D30" s="30">
        <v>53</v>
      </c>
      <c r="E30" s="81">
        <f>IF(C30="","",IFERROR(VLOOKUP(C30,'ITEM LIST'!B:M,12,0)*D30,0))</f>
        <v>1.4311519168756719</v>
      </c>
      <c r="H30" s="1"/>
    </row>
    <row r="31" spans="1:8" ht="14.25">
      <c r="A31" s="104" t="s">
        <v>64</v>
      </c>
      <c r="B31" s="29" t="s">
        <v>67</v>
      </c>
      <c r="C31" s="29" t="s">
        <v>16</v>
      </c>
      <c r="D31" s="30">
        <v>161</v>
      </c>
      <c r="E31" s="81">
        <f>IF(C31="","",IFERROR(VLOOKUP(C31,'ITEM LIST'!B:M,12,0)*D31,0))</f>
        <v>6.0644365384615373</v>
      </c>
      <c r="H31" s="1"/>
    </row>
    <row r="32" spans="1:8" ht="14.25">
      <c r="A32" s="104"/>
      <c r="B32" s="29" t="s">
        <v>371</v>
      </c>
      <c r="C32" s="29" t="s">
        <v>371</v>
      </c>
      <c r="D32" s="31"/>
      <c r="E32" s="81" t="str">
        <f>IF(C32="","",IFERROR(VLOOKUP(C32,'ITEM LIST'!B:M,12,0)*D32,0))</f>
        <v/>
      </c>
      <c r="H32" s="1"/>
    </row>
    <row r="33" spans="1:8" ht="14.25">
      <c r="A33" s="104" t="s">
        <v>64</v>
      </c>
      <c r="B33" s="29" t="s">
        <v>68</v>
      </c>
      <c r="C33" s="29" t="s">
        <v>539</v>
      </c>
      <c r="D33" s="30">
        <v>165</v>
      </c>
      <c r="E33" s="81">
        <f>IF(C33="","",IFERROR(VLOOKUP(C33,'ITEM LIST'!B:M,12,0)*D33,0))</f>
        <v>7.593055555555555</v>
      </c>
      <c r="H33" s="1"/>
    </row>
    <row r="34" spans="1:8" ht="14.25">
      <c r="A34" s="104" t="s">
        <v>64</v>
      </c>
      <c r="B34" s="29" t="s">
        <v>68</v>
      </c>
      <c r="C34" s="134" t="s">
        <v>540</v>
      </c>
      <c r="D34" s="30">
        <v>102</v>
      </c>
      <c r="E34" s="81">
        <f>IF(C34="","",IFERROR(VLOOKUP(C34,'ITEM LIST'!B:M,12,0)*D34,0))</f>
        <v>6.1731794870195991</v>
      </c>
      <c r="H34" s="1"/>
    </row>
    <row r="35" spans="1:8" ht="14.25">
      <c r="A35" s="104" t="s">
        <v>64</v>
      </c>
      <c r="B35" s="29" t="s">
        <v>68</v>
      </c>
      <c r="C35" s="29" t="s">
        <v>538</v>
      </c>
      <c r="D35" s="30">
        <v>125</v>
      </c>
      <c r="E35" s="81">
        <f>IF(C35="","",IFERROR(VLOOKUP(C35,'ITEM LIST'!B:M,12,0)*D35,0))</f>
        <v>6.7166666666666668</v>
      </c>
      <c r="H35" s="1"/>
    </row>
    <row r="36" spans="1:8" ht="14.25">
      <c r="A36" s="104" t="s">
        <v>64</v>
      </c>
      <c r="B36" s="29" t="s">
        <v>68</v>
      </c>
      <c r="C36" s="29" t="s">
        <v>546</v>
      </c>
      <c r="D36" s="30">
        <v>43</v>
      </c>
      <c r="E36" s="81">
        <f>IF(C36="","",IFERROR(VLOOKUP(C36,'ITEM LIST'!B:M,12,0)*D36,0))</f>
        <v>11.588070000000002</v>
      </c>
      <c r="H36" s="1"/>
    </row>
    <row r="37" spans="1:8" ht="14.25">
      <c r="A37" s="104" t="s">
        <v>64</v>
      </c>
      <c r="B37" s="29" t="s">
        <v>68</v>
      </c>
      <c r="C37" s="29" t="s">
        <v>16</v>
      </c>
      <c r="D37" s="30">
        <v>161</v>
      </c>
      <c r="E37" s="81">
        <f>IF(C37="","",IFERROR(VLOOKUP(C37,'ITEM LIST'!B:M,12,0)*D37,0))</f>
        <v>6.0644365384615373</v>
      </c>
      <c r="H37" s="1"/>
    </row>
    <row r="38" spans="1:8" ht="14.25">
      <c r="A38" s="104" t="s">
        <v>64</v>
      </c>
      <c r="B38" s="29" t="s">
        <v>68</v>
      </c>
      <c r="C38" s="29" t="s">
        <v>120</v>
      </c>
      <c r="D38" s="30">
        <v>53</v>
      </c>
      <c r="E38" s="81">
        <f>IF(C38="","",IFERROR(VLOOKUP(C38,'ITEM LIST'!B:M,12,0)*D38,0))</f>
        <v>1.4311519168756719</v>
      </c>
      <c r="H38" s="1"/>
    </row>
    <row r="39" spans="1:8" ht="14.25">
      <c r="A39" s="104"/>
      <c r="B39" s="29" t="s">
        <v>371</v>
      </c>
      <c r="C39" s="29" t="s">
        <v>371</v>
      </c>
      <c r="D39" s="31"/>
      <c r="E39" s="81" t="str">
        <f>IF(C39="","",IFERROR(VLOOKUP(C39,'ITEM LIST'!B:M,12,0)*D39,0))</f>
        <v/>
      </c>
      <c r="H39" s="1"/>
    </row>
    <row r="40" spans="1:8" ht="14.25">
      <c r="A40" s="139" t="s">
        <v>64</v>
      </c>
      <c r="B40" s="138" t="s">
        <v>124</v>
      </c>
      <c r="C40" s="138" t="s">
        <v>282</v>
      </c>
      <c r="D40" s="31">
        <v>2</v>
      </c>
      <c r="E40" s="81">
        <f>IF(C40="","",IFERROR(VLOOKUP(C40,'ITEM LIST'!B:M,12,0)*D40,0))</f>
        <v>24.649777778189598</v>
      </c>
      <c r="H40" s="1"/>
    </row>
    <row r="41" spans="1:8" ht="14.25">
      <c r="A41" s="139" t="s">
        <v>64</v>
      </c>
      <c r="B41" s="138" t="s">
        <v>124</v>
      </c>
      <c r="C41" s="29" t="s">
        <v>546</v>
      </c>
      <c r="D41" s="30">
        <v>43</v>
      </c>
      <c r="E41" s="81">
        <f>IF(C41="","",IFERROR(VLOOKUP(C41,'ITEM LIST'!B:M,12,0)*D41,0))</f>
        <v>11.588070000000002</v>
      </c>
      <c r="H41" s="1"/>
    </row>
    <row r="42" spans="1:8" ht="14.25">
      <c r="A42" s="139" t="s">
        <v>64</v>
      </c>
      <c r="B42" s="138" t="s">
        <v>124</v>
      </c>
      <c r="C42" s="29" t="s">
        <v>16</v>
      </c>
      <c r="D42" s="30">
        <v>161</v>
      </c>
      <c r="E42" s="81">
        <f>IF(C42="","",IFERROR(VLOOKUP(C42,'ITEM LIST'!B:M,12,0)*D42,0))</f>
        <v>6.0644365384615373</v>
      </c>
      <c r="H42" s="1"/>
    </row>
    <row r="43" spans="1:8" ht="14.25">
      <c r="A43" s="139" t="s">
        <v>64</v>
      </c>
      <c r="B43" s="138" t="s">
        <v>124</v>
      </c>
      <c r="C43" s="29" t="s">
        <v>120</v>
      </c>
      <c r="D43" s="30">
        <v>53</v>
      </c>
      <c r="E43" s="81">
        <f>IF(C43="","",IFERROR(VLOOKUP(C43,'ITEM LIST'!B:M,12,0)*D43,0))</f>
        <v>1.4311519168756719</v>
      </c>
      <c r="H43" s="1"/>
    </row>
    <row r="44" spans="1:8" ht="14.25">
      <c r="A44" s="104"/>
      <c r="B44" s="29" t="s">
        <v>371</v>
      </c>
      <c r="C44" s="29"/>
      <c r="D44" s="31"/>
      <c r="E44" s="81" t="str">
        <f>IF(C44="","",IFERROR(VLOOKUP(C44,'ITEM LIST'!B:M,12,0)*D44,0))</f>
        <v/>
      </c>
      <c r="H44" s="1"/>
    </row>
    <row r="45" spans="1:8" ht="14.25">
      <c r="A45" s="139" t="s">
        <v>64</v>
      </c>
      <c r="B45" s="167" t="s">
        <v>567</v>
      </c>
      <c r="C45" s="138" t="s">
        <v>282</v>
      </c>
      <c r="D45" s="31">
        <v>1</v>
      </c>
      <c r="E45" s="81">
        <f>IF(C45="","",IFERROR(VLOOKUP(C45,'ITEM LIST'!B:M,12,0)*D45,0))</f>
        <v>12.324888889094799</v>
      </c>
      <c r="H45" s="1"/>
    </row>
    <row r="46" spans="1:8" ht="14.25">
      <c r="A46" s="139" t="s">
        <v>64</v>
      </c>
      <c r="B46" s="138" t="s">
        <v>567</v>
      </c>
      <c r="C46" s="29" t="s">
        <v>546</v>
      </c>
      <c r="D46" s="30">
        <v>43</v>
      </c>
      <c r="E46" s="81">
        <f>IF(C46="","",IFERROR(VLOOKUP(C46,'ITEM LIST'!B:M,12,0)*D46,0))</f>
        <v>11.588070000000002</v>
      </c>
      <c r="H46" s="1"/>
    </row>
    <row r="47" spans="1:8" ht="14.25">
      <c r="A47" s="139" t="s">
        <v>64</v>
      </c>
      <c r="B47" s="138" t="s">
        <v>567</v>
      </c>
      <c r="C47" s="29" t="s">
        <v>16</v>
      </c>
      <c r="D47" s="30">
        <v>161</v>
      </c>
      <c r="E47" s="81">
        <f>IF(C47="","",IFERROR(VLOOKUP(C47,'ITEM LIST'!B:M,12,0)*D47,0))</f>
        <v>6.0644365384615373</v>
      </c>
      <c r="H47" s="1"/>
    </row>
    <row r="48" spans="1:8" ht="14.25">
      <c r="A48" s="139" t="s">
        <v>64</v>
      </c>
      <c r="B48" s="138" t="s">
        <v>567</v>
      </c>
      <c r="C48" s="29" t="s">
        <v>120</v>
      </c>
      <c r="D48" s="30">
        <v>53</v>
      </c>
      <c r="E48" s="81">
        <f>IF(C48="","",IFERROR(VLOOKUP(C48,'ITEM LIST'!B:M,12,0)*D48,0))</f>
        <v>1.4311519168756719</v>
      </c>
      <c r="H48" s="1"/>
    </row>
    <row r="49" spans="1:8" ht="14.25">
      <c r="A49" s="139" t="s">
        <v>64</v>
      </c>
      <c r="B49" s="138" t="s">
        <v>567</v>
      </c>
      <c r="C49" s="138" t="s">
        <v>22</v>
      </c>
      <c r="D49" s="31">
        <v>1</v>
      </c>
      <c r="E49" s="81">
        <f>IF(C49="","",IFERROR(VLOOKUP(C49,'ITEM LIST'!B:M,12,0)*D49,0))</f>
        <v>5.4960683759899993</v>
      </c>
      <c r="H49" s="1"/>
    </row>
    <row r="50" spans="1:8" ht="14.25">
      <c r="A50" s="104"/>
      <c r="B50" s="29" t="s">
        <v>371</v>
      </c>
      <c r="C50" s="29"/>
      <c r="D50" s="31"/>
      <c r="E50" s="81" t="str">
        <f>IF(C50="","",IFERROR(VLOOKUP(C50,'ITEM LIST'!B:M,12,0)*D50,0))</f>
        <v/>
      </c>
      <c r="H50" s="1"/>
    </row>
    <row r="51" spans="1:8" ht="14.25">
      <c r="A51" s="104" t="s">
        <v>64</v>
      </c>
      <c r="B51" s="29" t="s">
        <v>69</v>
      </c>
      <c r="C51" s="29" t="s">
        <v>538</v>
      </c>
      <c r="D51" s="30">
        <v>125</v>
      </c>
      <c r="E51" s="81">
        <f>IF(C51="","",IFERROR(VLOOKUP(C51,'ITEM LIST'!B:M,12,0)*D51,0))</f>
        <v>6.7166666666666668</v>
      </c>
      <c r="F51" s="5"/>
      <c r="G51" s="267"/>
      <c r="H51" s="12"/>
    </row>
    <row r="52" spans="1:8" ht="14.25">
      <c r="A52" s="104" t="s">
        <v>64</v>
      </c>
      <c r="B52" s="29" t="s">
        <v>69</v>
      </c>
      <c r="C52" s="29" t="s">
        <v>546</v>
      </c>
      <c r="D52" s="30">
        <v>43</v>
      </c>
      <c r="E52" s="81">
        <f>IF(C52="","",IFERROR(VLOOKUP(C52,'ITEM LIST'!B:M,12,0)*D52,0))</f>
        <v>11.588070000000002</v>
      </c>
      <c r="F52" s="5"/>
      <c r="G52" s="265"/>
      <c r="H52" s="1"/>
    </row>
    <row r="53" spans="1:8" ht="14.25">
      <c r="A53" s="104" t="s">
        <v>64</v>
      </c>
      <c r="B53" s="29" t="s">
        <v>69</v>
      </c>
      <c r="C53" s="29" t="s">
        <v>120</v>
      </c>
      <c r="D53" s="30">
        <v>90</v>
      </c>
      <c r="E53" s="81">
        <f>IF(C53="","",IFERROR(VLOOKUP(C53,'ITEM LIST'!B:M,12,0)*D53,0))</f>
        <v>2.430257972053028</v>
      </c>
      <c r="H53" s="1"/>
    </row>
    <row r="54" spans="1:8" ht="14.25">
      <c r="A54" s="104" t="s">
        <v>64</v>
      </c>
      <c r="B54" s="29" t="s">
        <v>69</v>
      </c>
      <c r="C54" s="29" t="s">
        <v>546</v>
      </c>
      <c r="D54" s="30">
        <v>52</v>
      </c>
      <c r="E54" s="81">
        <f>IF(C54="","",IFERROR(VLOOKUP(C54,'ITEM LIST'!B:M,12,0)*D54,0))</f>
        <v>14.013480000000003</v>
      </c>
      <c r="H54" s="1"/>
    </row>
    <row r="55" spans="1:8" ht="14.25">
      <c r="A55" s="104" t="s">
        <v>64</v>
      </c>
      <c r="B55" s="29" t="s">
        <v>69</v>
      </c>
      <c r="C55" s="29" t="s">
        <v>120</v>
      </c>
      <c r="D55" s="30">
        <v>36</v>
      </c>
      <c r="E55" s="81">
        <f>IF(C55="","",IFERROR(VLOOKUP(C55,'ITEM LIST'!B:M,12,0)*D55,0))</f>
        <v>0.97210318882121105</v>
      </c>
      <c r="H55" s="1"/>
    </row>
    <row r="56" spans="1:8" ht="14.25">
      <c r="A56" s="104" t="s">
        <v>64</v>
      </c>
      <c r="B56" s="29" t="s">
        <v>69</v>
      </c>
      <c r="C56" s="29" t="s">
        <v>16</v>
      </c>
      <c r="D56" s="30">
        <v>161</v>
      </c>
      <c r="E56" s="81">
        <f>IF(C56="","",IFERROR(VLOOKUP(C56,'ITEM LIST'!B:M,12,0)*D56,0))</f>
        <v>6.0644365384615373</v>
      </c>
      <c r="H56" s="1"/>
    </row>
    <row r="57" spans="1:8" ht="14.25">
      <c r="A57" s="104" t="s">
        <v>64</v>
      </c>
      <c r="B57" s="29" t="s">
        <v>69</v>
      </c>
      <c r="C57" s="29" t="s">
        <v>539</v>
      </c>
      <c r="D57" s="30">
        <v>165</v>
      </c>
      <c r="E57" s="81">
        <f>IF(C57="","",IFERROR(VLOOKUP(C57,'ITEM LIST'!B:M,12,0)*D57,0))</f>
        <v>7.593055555555555</v>
      </c>
      <c r="H57" s="1"/>
    </row>
    <row r="58" spans="1:8" ht="14.25">
      <c r="A58" s="104"/>
      <c r="B58" s="29" t="s">
        <v>371</v>
      </c>
      <c r="C58" s="29" t="s">
        <v>371</v>
      </c>
      <c r="D58" s="31"/>
      <c r="E58" s="81" t="str">
        <f>IF(C58="","",IFERROR(VLOOKUP(C58,'ITEM LIST'!B:M,12,0)*D58,0))</f>
        <v/>
      </c>
      <c r="H58" s="1"/>
    </row>
    <row r="59" spans="1:8" ht="14.25">
      <c r="A59" s="104" t="s">
        <v>64</v>
      </c>
      <c r="B59" s="29" t="s">
        <v>70</v>
      </c>
      <c r="C59" s="29" t="s">
        <v>17</v>
      </c>
      <c r="D59" s="30">
        <v>14</v>
      </c>
      <c r="E59" s="81">
        <f>IF(C59="","",IFERROR(VLOOKUP(C59,'ITEM LIST'!B:M,12,0)*D59,0))</f>
        <v>3.7800000000000002</v>
      </c>
      <c r="H59" s="1"/>
    </row>
    <row r="60" spans="1:8" ht="14.25">
      <c r="A60" s="104" t="s">
        <v>64</v>
      </c>
      <c r="B60" s="29" t="s">
        <v>70</v>
      </c>
      <c r="C60" s="29" t="s">
        <v>538</v>
      </c>
      <c r="D60" s="30">
        <v>136</v>
      </c>
      <c r="E60" s="81">
        <f>IF(C60="","",IFERROR(VLOOKUP(C60,'ITEM LIST'!B:M,12,0)*D60,0))</f>
        <v>7.3077333333333332</v>
      </c>
      <c r="H60" s="1"/>
    </row>
    <row r="61" spans="1:8" ht="14.25">
      <c r="A61" s="104" t="s">
        <v>64</v>
      </c>
      <c r="B61" s="29" t="s">
        <v>70</v>
      </c>
      <c r="C61" s="29" t="s">
        <v>34</v>
      </c>
      <c r="D61" s="30">
        <v>6</v>
      </c>
      <c r="E61" s="81">
        <f>IF(C61="","",IFERROR(VLOOKUP(C61,'ITEM LIST'!B:M,12,0)*D61,0))</f>
        <v>0.54</v>
      </c>
      <c r="H61" s="1"/>
    </row>
    <row r="62" spans="1:8" ht="14.25">
      <c r="A62" s="104" t="s">
        <v>64</v>
      </c>
      <c r="B62" s="29" t="s">
        <v>70</v>
      </c>
      <c r="C62" s="29" t="s">
        <v>32</v>
      </c>
      <c r="D62" s="30">
        <v>6</v>
      </c>
      <c r="E62" s="81">
        <f>IF(C62="","",IFERROR(VLOOKUP(C62,'ITEM LIST'!B:M,12,0)*D62,0))</f>
        <v>0.21000000000000002</v>
      </c>
      <c r="H62" s="1"/>
    </row>
    <row r="63" spans="1:8" ht="14.25">
      <c r="A63" s="104" t="s">
        <v>64</v>
      </c>
      <c r="B63" s="29" t="s">
        <v>70</v>
      </c>
      <c r="C63" s="29" t="s">
        <v>16</v>
      </c>
      <c r="D63" s="30">
        <v>161</v>
      </c>
      <c r="E63" s="81">
        <f>IF(C63="","",IFERROR(VLOOKUP(C63,'ITEM LIST'!B:M,12,0)*D63,0))</f>
        <v>6.0644365384615373</v>
      </c>
      <c r="H63" s="1"/>
    </row>
    <row r="64" spans="1:8" ht="14.25">
      <c r="A64" s="104" t="s">
        <v>64</v>
      </c>
      <c r="B64" s="29" t="s">
        <v>70</v>
      </c>
      <c r="C64" s="29" t="s">
        <v>31</v>
      </c>
      <c r="D64" s="30">
        <v>48</v>
      </c>
      <c r="E64" s="81">
        <f>IF(C64="","",IFERROR(VLOOKUP(C64,'ITEM LIST'!B:M,12,0)*D64,0))</f>
        <v>0.76800000000000002</v>
      </c>
      <c r="H64" s="1"/>
    </row>
    <row r="65" spans="1:8" ht="14.25">
      <c r="A65" s="104" t="s">
        <v>64</v>
      </c>
      <c r="B65" s="29" t="s">
        <v>70</v>
      </c>
      <c r="C65" s="29" t="s">
        <v>546</v>
      </c>
      <c r="D65" s="30">
        <v>43</v>
      </c>
      <c r="E65" s="81">
        <f>IF(C65="","",IFERROR(VLOOKUP(C65,'ITEM LIST'!B:M,12,0)*D65,0))</f>
        <v>11.588070000000002</v>
      </c>
      <c r="H65" s="1"/>
    </row>
    <row r="66" spans="1:8" ht="14.25">
      <c r="A66" s="104" t="s">
        <v>64</v>
      </c>
      <c r="B66" s="29" t="s">
        <v>70</v>
      </c>
      <c r="C66" s="29" t="s">
        <v>120</v>
      </c>
      <c r="D66" s="30">
        <v>53</v>
      </c>
      <c r="E66" s="81">
        <f>IF(C66="","",IFERROR(VLOOKUP(C66,'ITEM LIST'!B:M,12,0)*D66,0))</f>
        <v>1.4311519168756719</v>
      </c>
      <c r="H66" s="1"/>
    </row>
    <row r="67" spans="1:8" ht="14.25">
      <c r="A67" s="104"/>
      <c r="B67" s="29"/>
      <c r="C67" s="29"/>
      <c r="D67" s="30"/>
      <c r="E67" s="81"/>
      <c r="H67" s="1"/>
    </row>
    <row r="68" spans="1:8" ht="14.25">
      <c r="A68" s="104" t="s">
        <v>64</v>
      </c>
      <c r="B68" s="29" t="s">
        <v>109</v>
      </c>
      <c r="C68" s="29" t="s">
        <v>20</v>
      </c>
      <c r="D68" s="30">
        <v>80</v>
      </c>
      <c r="E68" s="81">
        <f>IF(C68="","",IFERROR(VLOOKUP(C68,'ITEM LIST'!B:M,12,0)*D68,0))</f>
        <v>1.52</v>
      </c>
      <c r="H68" s="1"/>
    </row>
    <row r="69" spans="1:8" ht="14.25">
      <c r="A69" s="104" t="s">
        <v>64</v>
      </c>
      <c r="B69" s="29" t="s">
        <v>109</v>
      </c>
      <c r="C69" s="29" t="s">
        <v>23</v>
      </c>
      <c r="D69" s="30">
        <v>4</v>
      </c>
      <c r="E69" s="81">
        <f>IF(C69="","",IFERROR(VLOOKUP(C69,'ITEM LIST'!B:M,12,0)*D69,0))</f>
        <v>0.58399999999999996</v>
      </c>
      <c r="H69" s="1"/>
    </row>
    <row r="70" spans="1:8" ht="14.25">
      <c r="A70" s="104" t="s">
        <v>64</v>
      </c>
      <c r="B70" s="29" t="s">
        <v>109</v>
      </c>
      <c r="C70" s="29" t="s">
        <v>114</v>
      </c>
      <c r="D70" s="30">
        <v>3</v>
      </c>
      <c r="E70" s="81">
        <f>IF(C70="","",IFERROR(VLOOKUP(C70,'ITEM LIST'!B:M,12,0)*D70,0))</f>
        <v>8.4000000000000005E-2</v>
      </c>
      <c r="H70" s="1"/>
    </row>
    <row r="71" spans="1:8" ht="14.25">
      <c r="A71" s="104" t="s">
        <v>64</v>
      </c>
      <c r="B71" s="29" t="s">
        <v>109</v>
      </c>
      <c r="C71" s="29" t="s">
        <v>12</v>
      </c>
      <c r="D71" s="30">
        <v>3</v>
      </c>
      <c r="E71" s="81">
        <f>IF(C71="","",IFERROR(VLOOKUP(C71,'ITEM LIST'!B:M,12,0)*D71,0))</f>
        <v>0.29100000000000004</v>
      </c>
      <c r="H71" s="1"/>
    </row>
    <row r="72" spans="1:8" ht="14.25">
      <c r="A72" s="104" t="s">
        <v>64</v>
      </c>
      <c r="B72" s="29" t="s">
        <v>109</v>
      </c>
      <c r="C72" s="29" t="s">
        <v>347</v>
      </c>
      <c r="D72" s="30">
        <v>3</v>
      </c>
      <c r="E72" s="81">
        <f>IF(C72="","",IFERROR(VLOOKUP(C72,'ITEM LIST'!B:M,12,0)*D72,0))</f>
        <v>2.04</v>
      </c>
      <c r="H72" s="1"/>
    </row>
    <row r="73" spans="1:8" ht="14.25">
      <c r="A73" s="104" t="s">
        <v>64</v>
      </c>
      <c r="B73" s="29" t="s">
        <v>109</v>
      </c>
      <c r="C73" s="29" t="s">
        <v>19</v>
      </c>
      <c r="D73" s="30">
        <v>40</v>
      </c>
      <c r="E73" s="81">
        <f>IF(C73="","",IFERROR(VLOOKUP(C73,'ITEM LIST'!B:M,12,0)*D73,0))</f>
        <v>0.64</v>
      </c>
      <c r="H73" s="1"/>
    </row>
    <row r="74" spans="1:8" ht="14.25">
      <c r="A74" s="104" t="s">
        <v>64</v>
      </c>
      <c r="B74" s="29" t="s">
        <v>109</v>
      </c>
      <c r="C74" s="134" t="s">
        <v>538</v>
      </c>
      <c r="D74" s="31">
        <v>160</v>
      </c>
      <c r="E74" s="81">
        <f>IF(C74="","",IFERROR(VLOOKUP(C74,'ITEM LIST'!B:M,12,0)*D74,0))</f>
        <v>8.5973333333333333</v>
      </c>
      <c r="H74" s="1"/>
    </row>
    <row r="75" spans="1:8" ht="14.25">
      <c r="A75" s="104" t="s">
        <v>64</v>
      </c>
      <c r="B75" s="29" t="s">
        <v>109</v>
      </c>
      <c r="C75" s="29" t="s">
        <v>546</v>
      </c>
      <c r="D75" s="30">
        <v>43</v>
      </c>
      <c r="E75" s="81">
        <f>IF(C75="","",IFERROR(VLOOKUP(C75,'ITEM LIST'!B:M,12,0)*D75,0))</f>
        <v>11.588070000000002</v>
      </c>
      <c r="H75" s="1"/>
    </row>
    <row r="76" spans="1:8" ht="14.25">
      <c r="A76" s="104" t="s">
        <v>64</v>
      </c>
      <c r="B76" s="29" t="s">
        <v>109</v>
      </c>
      <c r="C76" s="29" t="s">
        <v>120</v>
      </c>
      <c r="D76" s="30">
        <v>53</v>
      </c>
      <c r="E76" s="81">
        <f>IF(C76="","",IFERROR(VLOOKUP(C76,'ITEM LIST'!B:M,12,0)*D76,0))</f>
        <v>1.4311519168756719</v>
      </c>
      <c r="H76" s="1"/>
    </row>
    <row r="77" spans="1:8" ht="14.25">
      <c r="A77" s="104" t="s">
        <v>64</v>
      </c>
      <c r="B77" s="29" t="s">
        <v>109</v>
      </c>
      <c r="C77" s="29" t="s">
        <v>16</v>
      </c>
      <c r="D77" s="30">
        <v>161</v>
      </c>
      <c r="E77" s="81">
        <f>IF(C77="","",IFERROR(VLOOKUP(C77,'ITEM LIST'!B:M,12,0)*D77,0))</f>
        <v>6.0644365384615373</v>
      </c>
      <c r="H77" s="1"/>
    </row>
    <row r="78" spans="1:8" ht="14.25">
      <c r="A78" s="104"/>
      <c r="B78" s="29" t="s">
        <v>371</v>
      </c>
      <c r="C78" s="196"/>
      <c r="D78" s="197"/>
      <c r="E78" s="81"/>
      <c r="H78" s="1"/>
    </row>
    <row r="79" spans="1:8" ht="14.25">
      <c r="A79" s="108" t="s">
        <v>64</v>
      </c>
      <c r="B79" s="50" t="s">
        <v>129</v>
      </c>
      <c r="C79" s="146" t="s">
        <v>568</v>
      </c>
      <c r="D79" s="31">
        <v>1</v>
      </c>
      <c r="E79" s="81">
        <f>IF(C79="","",IFERROR(VLOOKUP(C79,'ITEM LIST'!B:M,12,0)*D79,0))</f>
        <v>5.5636666666666663</v>
      </c>
      <c r="H79" s="1"/>
    </row>
    <row r="80" spans="1:8" ht="14.25">
      <c r="A80" s="108" t="s">
        <v>64</v>
      </c>
      <c r="B80" s="50" t="s">
        <v>129</v>
      </c>
      <c r="C80" s="146" t="s">
        <v>285</v>
      </c>
      <c r="D80" s="147">
        <v>1</v>
      </c>
      <c r="E80" s="81">
        <f>IF(C80="","",IFERROR(VLOOKUP(C80,'ITEM LIST'!B:M,12,0)*D80,0))</f>
        <v>6.0542740740740744</v>
      </c>
      <c r="H80" s="1"/>
    </row>
    <row r="81" spans="1:9" ht="14.25">
      <c r="A81" s="108" t="s">
        <v>64</v>
      </c>
      <c r="B81" s="50" t="s">
        <v>129</v>
      </c>
      <c r="C81" s="146" t="s">
        <v>22</v>
      </c>
      <c r="D81" s="147">
        <v>1</v>
      </c>
      <c r="E81" s="81">
        <f>IF(C81="","",IFERROR(VLOOKUP(C81,'ITEM LIST'!B:M,12,0)*D81,0))</f>
        <v>5.4960683759899993</v>
      </c>
      <c r="H81" s="1"/>
    </row>
    <row r="82" spans="1:9" ht="14.25">
      <c r="A82" s="108" t="s">
        <v>64</v>
      </c>
      <c r="B82" s="50" t="s">
        <v>129</v>
      </c>
      <c r="C82" s="146" t="s">
        <v>282</v>
      </c>
      <c r="D82" s="147">
        <v>1</v>
      </c>
      <c r="E82" s="81">
        <f>IF(C82="","",IFERROR(VLOOKUP(C82,'ITEM LIST'!B:M,12,0)*D82,0))</f>
        <v>12.324888889094799</v>
      </c>
      <c r="H82" s="1"/>
    </row>
    <row r="83" spans="1:9" ht="14.25">
      <c r="A83" s="108" t="s">
        <v>64</v>
      </c>
      <c r="B83" s="50" t="s">
        <v>129</v>
      </c>
      <c r="C83" s="146" t="s">
        <v>16</v>
      </c>
      <c r="D83" s="147">
        <v>175</v>
      </c>
      <c r="E83" s="81">
        <f>IF(C83="","",IFERROR(VLOOKUP(C83,'ITEM LIST'!B:M,12,0)*D83,0))</f>
        <v>6.5917788461538454</v>
      </c>
      <c r="H83" s="1"/>
    </row>
    <row r="84" spans="1:9" ht="14.25">
      <c r="A84" s="108" t="s">
        <v>64</v>
      </c>
      <c r="B84" s="50" t="s">
        <v>129</v>
      </c>
      <c r="C84" s="146" t="s">
        <v>546</v>
      </c>
      <c r="D84" s="147">
        <v>53</v>
      </c>
      <c r="E84" s="81">
        <f>IF(C84="","",IFERROR(VLOOKUP(C84,'ITEM LIST'!B:M,12,0)*D84,0))</f>
        <v>14.282970000000004</v>
      </c>
      <c r="H84" s="1"/>
    </row>
    <row r="85" spans="1:9" ht="14.25">
      <c r="A85" s="108" t="s">
        <v>64</v>
      </c>
      <c r="B85" s="50" t="s">
        <v>129</v>
      </c>
      <c r="C85" s="146" t="s">
        <v>120</v>
      </c>
      <c r="D85" s="147">
        <v>53</v>
      </c>
      <c r="E85" s="81">
        <f>IF(C85="","",IFERROR(VLOOKUP(C85,'ITEM LIST'!B:M,12,0)*D85,0))</f>
        <v>1.4311519168756719</v>
      </c>
      <c r="H85" s="1"/>
    </row>
    <row r="86" spans="1:9" ht="12.75">
      <c r="I86" s="1"/>
    </row>
    <row r="87" spans="1:9" ht="12.75">
      <c r="I87" s="1"/>
    </row>
    <row r="88" spans="1:9" ht="12.75">
      <c r="I88" s="1"/>
    </row>
    <row r="89" spans="1:9" ht="12.75">
      <c r="I89" s="1"/>
    </row>
    <row r="90" spans="1:9" ht="12.75">
      <c r="I90" s="1"/>
    </row>
    <row r="91" spans="1:9" ht="12.75">
      <c r="I91" s="1"/>
    </row>
    <row r="92" spans="1:9" ht="12.75">
      <c r="I92" s="1"/>
    </row>
    <row r="93" spans="1:9" ht="12.75">
      <c r="I93" s="1"/>
    </row>
    <row r="94" spans="1:9" ht="12.75">
      <c r="I94" s="1"/>
    </row>
    <row r="95" spans="1:9" ht="12.75">
      <c r="I95" s="1"/>
    </row>
    <row r="96" spans="1:9" ht="12.75">
      <c r="I96" s="1"/>
    </row>
    <row r="97" spans="9:9" ht="12.75">
      <c r="I97" s="1"/>
    </row>
    <row r="98" spans="9:9" ht="12.75">
      <c r="I98" s="1"/>
    </row>
    <row r="99" spans="9:9" ht="12.75">
      <c r="I99" s="1"/>
    </row>
    <row r="100" spans="9:9" ht="12.75">
      <c r="I100" s="1"/>
    </row>
    <row r="101" spans="9:9" ht="12.75">
      <c r="I101" s="1"/>
    </row>
    <row r="102" spans="9:9" ht="12.75">
      <c r="I102" s="1"/>
    </row>
    <row r="103" spans="9:9" ht="12.75">
      <c r="I103" s="1"/>
    </row>
    <row r="104" spans="9:9" ht="12.75">
      <c r="I104" s="1"/>
    </row>
    <row r="105" spans="9:9" ht="12.75">
      <c r="I105" s="1"/>
    </row>
    <row r="106" spans="9:9" ht="12.75">
      <c r="I106" s="1"/>
    </row>
    <row r="107" spans="9:9" ht="12.75">
      <c r="I107" s="1"/>
    </row>
    <row r="108" spans="9:9" ht="12.75">
      <c r="I108" s="1"/>
    </row>
    <row r="109" spans="9:9" ht="12.75">
      <c r="I109" s="1"/>
    </row>
    <row r="110" spans="9:9" ht="12.75">
      <c r="I110" s="1"/>
    </row>
    <row r="111" spans="9:9" ht="12.75">
      <c r="I111" s="1"/>
    </row>
    <row r="112" spans="9:9" ht="12.75">
      <c r="I112" s="1"/>
    </row>
    <row r="113" spans="9:9" ht="12.75">
      <c r="I113" s="1"/>
    </row>
    <row r="114" spans="9:9" ht="12.75">
      <c r="I114" s="1"/>
    </row>
    <row r="115" spans="9:9" ht="12.75">
      <c r="I115" s="1"/>
    </row>
    <row r="116" spans="9:9" ht="12.75">
      <c r="I116" s="1"/>
    </row>
    <row r="117" spans="9:9" ht="12.75">
      <c r="I117" s="1"/>
    </row>
    <row r="118" spans="9:9" ht="12.75">
      <c r="I118" s="1"/>
    </row>
    <row r="119" spans="9:9" ht="12.75">
      <c r="I119" s="1"/>
    </row>
    <row r="120" spans="9:9" ht="12.75">
      <c r="I120" s="1"/>
    </row>
    <row r="121" spans="9:9" ht="12.75">
      <c r="I121" s="1"/>
    </row>
  </sheetData>
  <sheetProtection selectLockedCells="1"/>
  <mergeCells count="2">
    <mergeCell ref="A1:E1"/>
    <mergeCell ref="G51:G52"/>
  </mergeCells>
  <dataValidations count="1">
    <dataValidation type="list" allowBlank="1" showErrorMessage="1" sqref="A3:A85" xr:uid="{00000000-0002-0000-0700-000000000000}">
      <formula1>"Chaat,Chinese,Breads,Drinks &amp; Beverage,Grill Special,Kulfi,North Indian,South Indian,Specials,Sweets,Namkeen"</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ErrorMessage="1" xr:uid="{00000000-0002-0000-0700-000001000000}">
          <x14:formula1>
            <xm:f>'ITEM LIST'!$B$1:$B$1003</xm:f>
          </x14:formula1>
          <xm:sqref>C29:C31 C68:C77 C79 C63 C46:C48 C41:C43 C51:C56 C3:C27 C35:C38 C58:C60 C65:C66</xm:sqref>
        </x14:dataValidation>
        <x14:dataValidation type="list" allowBlank="1" xr:uid="{00000000-0002-0000-0700-000002000000}">
          <x14:formula1>
            <xm:f>'ITEM LIST'!$B$2:$B$1003</xm:f>
          </x14:formula1>
          <xm:sqref>C32:C34 C49:C50 C44:C45 C39:C40 C57 C68:C73</xm:sqref>
        </x14:dataValidation>
        <x14:dataValidation type="list" allowBlank="1" xr:uid="{064BC040-B170-46FB-A7B8-B619AF22F6E9}">
          <x14:formula1>
            <xm:f>'ITEM LIST'!$B$2:$B$479</xm:f>
          </x14:formula1>
          <xm:sqref>C61:C62 C67 C64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E375F"/>
    <outlinePr summaryBelow="0" summaryRight="0"/>
  </sheetPr>
  <dimension ref="A1:G1006"/>
  <sheetViews>
    <sheetView zoomScaleNormal="100" workbookViewId="0">
      <selection activeCell="C12" sqref="C12"/>
    </sheetView>
  </sheetViews>
  <sheetFormatPr defaultColWidth="12.5703125" defaultRowHeight="15.75" customHeight="1"/>
  <cols>
    <col min="1" max="1" width="23.140625" customWidth="1"/>
    <col min="2" max="2" width="20.42578125" customWidth="1"/>
    <col min="3" max="3" width="19.85546875" customWidth="1"/>
    <col min="4" max="4" width="24.5703125" customWidth="1"/>
    <col min="6" max="6" width="14.5703125" customWidth="1"/>
  </cols>
  <sheetData>
    <row r="1" spans="1:7" ht="23.25">
      <c r="A1" s="268" t="s">
        <v>304</v>
      </c>
      <c r="B1" s="269"/>
      <c r="C1" s="269"/>
      <c r="D1" s="269"/>
      <c r="E1" s="270"/>
      <c r="F1" s="25"/>
    </row>
    <row r="2" spans="1:7" ht="15.75" customHeight="1">
      <c r="A2" s="101" t="s">
        <v>125</v>
      </c>
      <c r="B2" s="102" t="s">
        <v>126</v>
      </c>
      <c r="C2" s="102" t="s">
        <v>302</v>
      </c>
      <c r="D2" s="102" t="s">
        <v>303</v>
      </c>
      <c r="E2" s="103" t="s">
        <v>128</v>
      </c>
    </row>
    <row r="3" spans="1:7" ht="15.75" customHeight="1">
      <c r="A3" s="86" t="s">
        <v>71</v>
      </c>
      <c r="B3" s="26" t="s">
        <v>72</v>
      </c>
      <c r="C3" s="26" t="s">
        <v>17</v>
      </c>
      <c r="D3" s="27">
        <v>250</v>
      </c>
      <c r="E3" s="81">
        <f>IF(C3="","",IFERROR(VLOOKUP(C3,'ITEM LIST'!B:M,12,0)*D3,0))</f>
        <v>67.5</v>
      </c>
      <c r="F3" s="6"/>
      <c r="G3" s="20"/>
    </row>
    <row r="4" spans="1:7" ht="15.75" customHeight="1">
      <c r="A4" s="86" t="s">
        <v>71</v>
      </c>
      <c r="B4" s="26" t="s">
        <v>72</v>
      </c>
      <c r="C4" s="26" t="s">
        <v>20</v>
      </c>
      <c r="D4" s="27">
        <v>20</v>
      </c>
      <c r="E4" s="81">
        <f>IF(C4="","",IFERROR(VLOOKUP(C4,'ITEM LIST'!B:M,12,0)*D4,0))</f>
        <v>0.38</v>
      </c>
      <c r="F4" s="6"/>
      <c r="G4" s="20"/>
    </row>
    <row r="5" spans="1:7" ht="15.75" customHeight="1">
      <c r="A5" s="86" t="s">
        <v>71</v>
      </c>
      <c r="B5" s="26" t="s">
        <v>72</v>
      </c>
      <c r="C5" s="26" t="s">
        <v>338</v>
      </c>
      <c r="D5" s="27">
        <v>3.85</v>
      </c>
      <c r="E5" s="81">
        <f>IF(C5="","",IFERROR(VLOOKUP(C5,'ITEM LIST'!B:M,12,0)*D5,0))</f>
        <v>0.30415000000000003</v>
      </c>
      <c r="F5" s="6"/>
      <c r="G5" s="20"/>
    </row>
    <row r="6" spans="1:7" ht="15.75" customHeight="1">
      <c r="A6" s="86" t="s">
        <v>71</v>
      </c>
      <c r="B6" s="26" t="s">
        <v>72</v>
      </c>
      <c r="C6" s="26" t="s">
        <v>332</v>
      </c>
      <c r="D6" s="27">
        <v>2.7</v>
      </c>
      <c r="E6" s="81">
        <f>IF(C6="","",IFERROR(VLOOKUP(C6,'ITEM LIST'!B:M,12,0)*D6,0))</f>
        <v>0.94499999999999995</v>
      </c>
      <c r="F6" s="6"/>
      <c r="G6" s="20"/>
    </row>
    <row r="7" spans="1:7" ht="15.75" customHeight="1">
      <c r="A7" s="86" t="s">
        <v>71</v>
      </c>
      <c r="B7" s="26" t="s">
        <v>72</v>
      </c>
      <c r="C7" s="26" t="s">
        <v>335</v>
      </c>
      <c r="D7" s="27">
        <v>3.2</v>
      </c>
      <c r="E7" s="81">
        <f>IF(C7="","",IFERROR(VLOOKUP(C7,'ITEM LIST'!B:M,12,0)*D7,0))</f>
        <v>0.96</v>
      </c>
      <c r="F7" s="6"/>
      <c r="G7" s="20"/>
    </row>
    <row r="8" spans="1:7" ht="15.75" customHeight="1">
      <c r="A8" s="86" t="s">
        <v>71</v>
      </c>
      <c r="B8" s="26" t="s">
        <v>72</v>
      </c>
      <c r="C8" s="26" t="s">
        <v>547</v>
      </c>
      <c r="D8" s="27">
        <v>3.7</v>
      </c>
      <c r="E8" s="81">
        <f>IF(C8="","",IFERROR(VLOOKUP(C8,'ITEM LIST'!B:M,12,0)*D8,0))</f>
        <v>2.9600000000000004</v>
      </c>
      <c r="F8" s="6"/>
      <c r="G8" s="20"/>
    </row>
    <row r="9" spans="1:7" ht="15.75" customHeight="1">
      <c r="A9" s="86" t="s">
        <v>71</v>
      </c>
      <c r="B9" s="26" t="s">
        <v>72</v>
      </c>
      <c r="C9" s="26" t="s">
        <v>9</v>
      </c>
      <c r="D9" s="27">
        <v>2.4500000000000002</v>
      </c>
      <c r="E9" s="81">
        <f>IF(C9="","",IFERROR(VLOOKUP(C9,'ITEM LIST'!B:M,12,0)*D9,0))</f>
        <v>0</v>
      </c>
      <c r="F9" s="6"/>
      <c r="G9" s="20"/>
    </row>
    <row r="10" spans="1:7" ht="15.75" customHeight="1">
      <c r="A10" s="86" t="s">
        <v>71</v>
      </c>
      <c r="B10" s="26" t="s">
        <v>72</v>
      </c>
      <c r="C10" s="26" t="s">
        <v>347</v>
      </c>
      <c r="D10" s="27">
        <v>2.6</v>
      </c>
      <c r="E10" s="81">
        <f>IF(C10="","",IFERROR(VLOOKUP(C10,'ITEM LIST'!B:M,12,0)*D10,0))</f>
        <v>1.7680000000000002</v>
      </c>
      <c r="F10" s="6"/>
      <c r="G10" s="20"/>
    </row>
    <row r="11" spans="1:7" ht="15.75" customHeight="1">
      <c r="A11" s="86" t="s">
        <v>71</v>
      </c>
      <c r="B11" s="26" t="s">
        <v>72</v>
      </c>
      <c r="C11" s="26" t="s">
        <v>12</v>
      </c>
      <c r="D11" s="27">
        <v>1.6</v>
      </c>
      <c r="E11" s="81">
        <f>IF(C11="","",IFERROR(VLOOKUP(C11,'ITEM LIST'!B:M,12,0)*D11,0))</f>
        <v>0.1552</v>
      </c>
      <c r="F11" s="6"/>
      <c r="G11" s="20"/>
    </row>
    <row r="12" spans="1:7" ht="15.75" customHeight="1">
      <c r="A12" s="86" t="s">
        <v>71</v>
      </c>
      <c r="B12" s="26" t="s">
        <v>72</v>
      </c>
      <c r="C12" s="26" t="s">
        <v>24</v>
      </c>
      <c r="D12" s="27">
        <v>30</v>
      </c>
      <c r="E12" s="81">
        <f>IF(C12="","",IFERROR(VLOOKUP(C12,'ITEM LIST'!B:M,12,0)*D12,0))</f>
        <v>2.1</v>
      </c>
      <c r="F12" s="6"/>
      <c r="G12" s="20"/>
    </row>
    <row r="13" spans="1:7" ht="15.75" customHeight="1">
      <c r="A13" s="86" t="s">
        <v>71</v>
      </c>
      <c r="B13" s="26" t="s">
        <v>72</v>
      </c>
      <c r="C13" s="26" t="s">
        <v>670</v>
      </c>
      <c r="D13" s="27">
        <v>40</v>
      </c>
      <c r="E13" s="81">
        <f>IF(C13="","",IFERROR(VLOOKUP(C13,'ITEM LIST'!B:M,12,0)*D13,0))</f>
        <v>4.8</v>
      </c>
      <c r="F13" s="6"/>
      <c r="G13" s="20"/>
    </row>
    <row r="14" spans="1:7" ht="15.75" customHeight="1">
      <c r="A14" s="86" t="s">
        <v>71</v>
      </c>
      <c r="B14" s="26" t="s">
        <v>72</v>
      </c>
      <c r="C14" s="26" t="s">
        <v>2</v>
      </c>
      <c r="D14" s="27">
        <v>0.2</v>
      </c>
      <c r="E14" s="81">
        <f>IF(C14="","",IFERROR(VLOOKUP(C14,'ITEM LIST'!B:M,12,0)*D14,0))</f>
        <v>9.6000000000000002E-2</v>
      </c>
      <c r="F14" s="6"/>
      <c r="G14" s="20"/>
    </row>
    <row r="15" spans="1:7" ht="15.75" customHeight="1">
      <c r="A15" s="86" t="s">
        <v>71</v>
      </c>
      <c r="B15" s="26" t="s">
        <v>72</v>
      </c>
      <c r="C15" s="26" t="s">
        <v>427</v>
      </c>
      <c r="D15" s="27">
        <v>80</v>
      </c>
      <c r="E15" s="81">
        <f>IF(C15="","",IFERROR(VLOOKUP(C15,'ITEM LIST'!B:M,12,0)*D15,0))</f>
        <v>3.84</v>
      </c>
      <c r="F15" s="6"/>
      <c r="G15" s="20"/>
    </row>
    <row r="16" spans="1:7" ht="15.75" customHeight="1">
      <c r="A16" s="86" t="s">
        <v>71</v>
      </c>
      <c r="B16" s="26" t="s">
        <v>72</v>
      </c>
      <c r="C16" s="26" t="s">
        <v>118</v>
      </c>
      <c r="D16" s="27">
        <v>6</v>
      </c>
      <c r="E16" s="81">
        <f>IF(C16="","",IFERROR(VLOOKUP(C16,'ITEM LIST'!B:M,12,0)*D16,0))</f>
        <v>0.72</v>
      </c>
      <c r="F16" s="6"/>
      <c r="G16" s="20"/>
    </row>
    <row r="17" spans="1:7" ht="15.75" customHeight="1">
      <c r="A17" s="86" t="s">
        <v>71</v>
      </c>
      <c r="B17" s="26" t="s">
        <v>72</v>
      </c>
      <c r="C17" s="26" t="s">
        <v>25</v>
      </c>
      <c r="D17" s="27">
        <v>3</v>
      </c>
      <c r="E17" s="81">
        <f>IF(C17="","",IFERROR(VLOOKUP(C17,'ITEM LIST'!B:M,12,0)*D17,0))</f>
        <v>8.4000000000000005E-2</v>
      </c>
      <c r="F17" s="6"/>
      <c r="G17" s="20"/>
    </row>
    <row r="18" spans="1:7" ht="15.75" customHeight="1">
      <c r="A18" s="86" t="s">
        <v>71</v>
      </c>
      <c r="B18" s="26" t="s">
        <v>72</v>
      </c>
      <c r="C18" s="26" t="s">
        <v>19</v>
      </c>
      <c r="D18" s="27">
        <v>7</v>
      </c>
      <c r="E18" s="81">
        <f>IF(C18="","",IFERROR(VLOOKUP(C18,'ITEM LIST'!B:M,12,0)*D18,0))</f>
        <v>0.112</v>
      </c>
      <c r="F18" s="6"/>
      <c r="G18" s="20"/>
    </row>
    <row r="19" spans="1:7" ht="15.75" customHeight="1">
      <c r="A19" s="86" t="s">
        <v>71</v>
      </c>
      <c r="B19" s="26" t="s">
        <v>72</v>
      </c>
      <c r="C19" s="26" t="s">
        <v>26</v>
      </c>
      <c r="D19" s="27">
        <v>6.25</v>
      </c>
      <c r="E19" s="81">
        <f>IF(C19="","",IFERROR(VLOOKUP(C19,'ITEM LIST'!B:M,12,0)*D19,0))</f>
        <v>0.73125000000000007</v>
      </c>
      <c r="F19" s="6"/>
      <c r="G19" s="20"/>
    </row>
    <row r="20" spans="1:7" ht="15.75" customHeight="1">
      <c r="A20" s="86"/>
      <c r="B20" s="26"/>
      <c r="C20" s="26" t="s">
        <v>371</v>
      </c>
      <c r="D20" s="27"/>
      <c r="E20" s="81"/>
      <c r="G20" s="20"/>
    </row>
    <row r="21" spans="1:7" ht="14.25">
      <c r="A21" s="86" t="s">
        <v>71</v>
      </c>
      <c r="B21" s="26" t="s">
        <v>73</v>
      </c>
      <c r="C21" s="135" t="s">
        <v>492</v>
      </c>
      <c r="D21" s="27">
        <v>210</v>
      </c>
      <c r="E21" s="81">
        <f>IF(C21="","",IFERROR(VLOOKUP(C21,'ITEM LIST'!B:M,12,0)*D21,0))</f>
        <v>16.8</v>
      </c>
      <c r="G21" s="20"/>
    </row>
    <row r="22" spans="1:7" ht="14.25">
      <c r="A22" s="86" t="s">
        <v>71</v>
      </c>
      <c r="B22" s="26" t="s">
        <v>73</v>
      </c>
      <c r="C22" s="26" t="s">
        <v>20</v>
      </c>
      <c r="D22" s="27">
        <v>20</v>
      </c>
      <c r="E22" s="81">
        <f>IF(C22="","",IFERROR(VLOOKUP(C22,'ITEM LIST'!B:M,12,0)*D22,0))</f>
        <v>0.38</v>
      </c>
      <c r="G22" s="20"/>
    </row>
    <row r="23" spans="1:7" ht="14.25">
      <c r="A23" s="86" t="s">
        <v>71</v>
      </c>
      <c r="B23" s="26" t="s">
        <v>73</v>
      </c>
      <c r="C23" s="26" t="s">
        <v>338</v>
      </c>
      <c r="D23" s="27">
        <v>3.85</v>
      </c>
      <c r="E23" s="81">
        <f>IF(C23="","",IFERROR(VLOOKUP(C23,'ITEM LIST'!B:M,12,0)*D23,0))</f>
        <v>0.30415000000000003</v>
      </c>
      <c r="G23" s="20"/>
    </row>
    <row r="24" spans="1:7" ht="14.25">
      <c r="A24" s="86" t="s">
        <v>71</v>
      </c>
      <c r="B24" s="26" t="s">
        <v>73</v>
      </c>
      <c r="C24" s="26" t="s">
        <v>332</v>
      </c>
      <c r="D24" s="27">
        <v>2.7</v>
      </c>
      <c r="E24" s="81">
        <f>IF(C24="","",IFERROR(VLOOKUP(C24,'ITEM LIST'!B:M,12,0)*D24,0))</f>
        <v>0.94499999999999995</v>
      </c>
      <c r="G24" s="20"/>
    </row>
    <row r="25" spans="1:7" ht="14.25">
      <c r="A25" s="86" t="s">
        <v>71</v>
      </c>
      <c r="B25" s="26" t="s">
        <v>73</v>
      </c>
      <c r="C25" s="26" t="s">
        <v>335</v>
      </c>
      <c r="D25" s="27">
        <v>3.2</v>
      </c>
      <c r="E25" s="81">
        <f>IF(C25="","",IFERROR(VLOOKUP(C25,'ITEM LIST'!B:M,12,0)*D25,0))</f>
        <v>0.96</v>
      </c>
      <c r="G25" s="20"/>
    </row>
    <row r="26" spans="1:7" ht="14.25">
      <c r="A26" s="86" t="s">
        <v>71</v>
      </c>
      <c r="B26" s="26" t="s">
        <v>73</v>
      </c>
      <c r="C26" s="26" t="s">
        <v>547</v>
      </c>
      <c r="D26" s="27">
        <v>3.7</v>
      </c>
      <c r="E26" s="81">
        <f>IF(C26="","",IFERROR(VLOOKUP(C26,'ITEM LIST'!B:M,12,0)*D26,0))</f>
        <v>2.9600000000000004</v>
      </c>
      <c r="G26" s="20"/>
    </row>
    <row r="27" spans="1:7" ht="14.25">
      <c r="A27" s="86" t="s">
        <v>71</v>
      </c>
      <c r="B27" s="26" t="s">
        <v>73</v>
      </c>
      <c r="C27" s="26" t="s">
        <v>9</v>
      </c>
      <c r="D27" s="27">
        <v>2.4500000000000002</v>
      </c>
      <c r="E27" s="81">
        <f>IF(C27="","",IFERROR(VLOOKUP(C27,'ITEM LIST'!B:M,12,0)*D27,0))</f>
        <v>0</v>
      </c>
      <c r="G27" s="20"/>
    </row>
    <row r="28" spans="1:7" ht="14.25">
      <c r="A28" s="86" t="s">
        <v>71</v>
      </c>
      <c r="B28" s="26" t="s">
        <v>73</v>
      </c>
      <c r="C28" s="26" t="s">
        <v>347</v>
      </c>
      <c r="D28" s="27">
        <v>2.6</v>
      </c>
      <c r="E28" s="81">
        <f>IF(C28="","",IFERROR(VLOOKUP(C28,'ITEM LIST'!B:M,12,0)*D28,0))</f>
        <v>1.7680000000000002</v>
      </c>
      <c r="G28" s="20"/>
    </row>
    <row r="29" spans="1:7" ht="14.25">
      <c r="A29" s="86" t="s">
        <v>71</v>
      </c>
      <c r="B29" s="26" t="s">
        <v>73</v>
      </c>
      <c r="C29" s="26" t="s">
        <v>12</v>
      </c>
      <c r="D29" s="27">
        <v>1.6</v>
      </c>
      <c r="E29" s="81">
        <f>IF(C29="","",IFERROR(VLOOKUP(C29,'ITEM LIST'!B:M,12,0)*D29,0))</f>
        <v>0.1552</v>
      </c>
      <c r="G29" s="20"/>
    </row>
    <row r="30" spans="1:7" ht="14.25">
      <c r="A30" s="86" t="s">
        <v>71</v>
      </c>
      <c r="B30" s="26" t="s">
        <v>73</v>
      </c>
      <c r="C30" s="26" t="s">
        <v>24</v>
      </c>
      <c r="D30" s="27">
        <v>30</v>
      </c>
      <c r="E30" s="81">
        <f>IF(C30="","",IFERROR(VLOOKUP(C30,'ITEM LIST'!B:M,12,0)*D30,0))</f>
        <v>2.1</v>
      </c>
      <c r="G30" s="20"/>
    </row>
    <row r="31" spans="1:7" ht="14.25">
      <c r="A31" s="86" t="s">
        <v>71</v>
      </c>
      <c r="B31" s="26" t="s">
        <v>73</v>
      </c>
      <c r="C31" s="26" t="s">
        <v>670</v>
      </c>
      <c r="D31" s="27">
        <v>40</v>
      </c>
      <c r="E31" s="81">
        <f>IF(C31="","",IFERROR(VLOOKUP(C31,'ITEM LIST'!B:M,12,0)*D31,0))</f>
        <v>4.8</v>
      </c>
      <c r="G31" s="20"/>
    </row>
    <row r="32" spans="1:7" ht="14.25">
      <c r="A32" s="86" t="s">
        <v>71</v>
      </c>
      <c r="B32" s="26" t="s">
        <v>73</v>
      </c>
      <c r="C32" s="26" t="s">
        <v>2</v>
      </c>
      <c r="D32" s="27">
        <v>0.2</v>
      </c>
      <c r="E32" s="81">
        <f>IF(C32="","",IFERROR(VLOOKUP(C32,'ITEM LIST'!B:M,12,0)*D32,0))</f>
        <v>9.6000000000000002E-2</v>
      </c>
      <c r="G32" s="20"/>
    </row>
    <row r="33" spans="1:7" ht="14.25">
      <c r="A33" s="86" t="s">
        <v>71</v>
      </c>
      <c r="B33" s="26" t="s">
        <v>73</v>
      </c>
      <c r="C33" s="26" t="s">
        <v>427</v>
      </c>
      <c r="D33" s="27">
        <v>80</v>
      </c>
      <c r="E33" s="81">
        <f>IF(C33="","",IFERROR(VLOOKUP(C33,'ITEM LIST'!B:M,12,0)*D33,0))</f>
        <v>3.84</v>
      </c>
      <c r="G33" s="20"/>
    </row>
    <row r="34" spans="1:7" ht="14.25">
      <c r="A34" s="86" t="s">
        <v>71</v>
      </c>
      <c r="B34" s="26" t="s">
        <v>73</v>
      </c>
      <c r="C34" s="26" t="s">
        <v>27</v>
      </c>
      <c r="D34" s="27">
        <v>5</v>
      </c>
      <c r="E34" s="81">
        <f>IF(C34="","",IFERROR(VLOOKUP(C34,'ITEM LIST'!B:M,12,0)*D34,0))</f>
        <v>0.4</v>
      </c>
      <c r="G34" s="20"/>
    </row>
    <row r="35" spans="1:7" ht="14.25">
      <c r="A35" s="86" t="s">
        <v>71</v>
      </c>
      <c r="B35" s="26" t="s">
        <v>73</v>
      </c>
      <c r="C35" s="26" t="s">
        <v>25</v>
      </c>
      <c r="D35" s="27">
        <v>3</v>
      </c>
      <c r="E35" s="81">
        <f>IF(C35="","",IFERROR(VLOOKUP(C35,'ITEM LIST'!B:M,12,0)*D35,0))</f>
        <v>8.4000000000000005E-2</v>
      </c>
      <c r="G35" s="20"/>
    </row>
    <row r="36" spans="1:7" ht="14.25">
      <c r="A36" s="86" t="s">
        <v>71</v>
      </c>
      <c r="B36" s="26" t="s">
        <v>73</v>
      </c>
      <c r="C36" s="26" t="s">
        <v>19</v>
      </c>
      <c r="D36" s="27">
        <v>7</v>
      </c>
      <c r="E36" s="81">
        <f>IF(C36="","",IFERROR(VLOOKUP(C36,'ITEM LIST'!B:M,12,0)*D36,0))</f>
        <v>0.112</v>
      </c>
      <c r="G36" s="20"/>
    </row>
    <row r="37" spans="1:7" ht="14.25">
      <c r="A37" s="86" t="s">
        <v>71</v>
      </c>
      <c r="B37" s="26" t="s">
        <v>73</v>
      </c>
      <c r="C37" s="26" t="s">
        <v>26</v>
      </c>
      <c r="D37" s="27">
        <v>6.25</v>
      </c>
      <c r="E37" s="81">
        <f>IF(C37="","",IFERROR(VLOOKUP(C37,'ITEM LIST'!B:M,12,0)*D37,0))</f>
        <v>0.73125000000000007</v>
      </c>
      <c r="G37" s="20"/>
    </row>
    <row r="38" spans="1:7" ht="14.25">
      <c r="A38" s="86"/>
      <c r="B38" s="26"/>
      <c r="C38" s="26" t="s">
        <v>371</v>
      </c>
      <c r="D38" s="28"/>
      <c r="E38" s="81" t="str">
        <f>IF(C38="","",IFERROR(VLOOKUP(C38,'ITEM LIST'!B:M,12,0)*D38,0))</f>
        <v/>
      </c>
      <c r="G38" s="20"/>
    </row>
    <row r="39" spans="1:7" ht="14.25">
      <c r="A39" s="86" t="s">
        <v>71</v>
      </c>
      <c r="B39" s="26" t="s">
        <v>74</v>
      </c>
      <c r="C39" s="26" t="s">
        <v>28</v>
      </c>
      <c r="D39" s="27">
        <v>220</v>
      </c>
      <c r="E39" s="81">
        <f>IF(C39="","",IFERROR(VLOOKUP(C39,'ITEM LIST'!B:M,12,0)*D39,0))</f>
        <v>35.200000000000003</v>
      </c>
      <c r="G39" s="20"/>
    </row>
    <row r="40" spans="1:7" ht="14.25">
      <c r="A40" s="86" t="s">
        <v>71</v>
      </c>
      <c r="B40" s="26" t="s">
        <v>74</v>
      </c>
      <c r="C40" s="26" t="s">
        <v>20</v>
      </c>
      <c r="D40" s="27">
        <v>20</v>
      </c>
      <c r="E40" s="81">
        <f>IF(C40="","",IFERROR(VLOOKUP(C40,'ITEM LIST'!B:M,12,0)*D40,0))</f>
        <v>0.38</v>
      </c>
      <c r="G40" s="20"/>
    </row>
    <row r="41" spans="1:7" ht="14.25">
      <c r="A41" s="86" t="s">
        <v>71</v>
      </c>
      <c r="B41" s="26" t="s">
        <v>74</v>
      </c>
      <c r="C41" s="26" t="s">
        <v>338</v>
      </c>
      <c r="D41" s="27">
        <v>3.85</v>
      </c>
      <c r="E41" s="81">
        <f>IF(C41="","",IFERROR(VLOOKUP(C41,'ITEM LIST'!B:M,12,0)*D41,0))</f>
        <v>0.30415000000000003</v>
      </c>
      <c r="G41" s="20"/>
    </row>
    <row r="42" spans="1:7" ht="14.25">
      <c r="A42" s="86" t="s">
        <v>71</v>
      </c>
      <c r="B42" s="26" t="s">
        <v>74</v>
      </c>
      <c r="C42" s="26" t="s">
        <v>332</v>
      </c>
      <c r="D42" s="27">
        <v>2.7</v>
      </c>
      <c r="E42" s="81">
        <f>IF(C42="","",IFERROR(VLOOKUP(C42,'ITEM LIST'!B:M,12,0)*D42,0))</f>
        <v>0.94499999999999995</v>
      </c>
      <c r="G42" s="20"/>
    </row>
    <row r="43" spans="1:7" ht="14.25">
      <c r="A43" s="86" t="s">
        <v>71</v>
      </c>
      <c r="B43" s="26" t="s">
        <v>74</v>
      </c>
      <c r="C43" s="26" t="s">
        <v>335</v>
      </c>
      <c r="D43" s="27">
        <v>3.2</v>
      </c>
      <c r="E43" s="81">
        <f>IF(C43="","",IFERROR(VLOOKUP(C43,'ITEM LIST'!B:M,12,0)*D43,0))</f>
        <v>0.96</v>
      </c>
      <c r="G43" s="20"/>
    </row>
    <row r="44" spans="1:7" ht="14.25">
      <c r="A44" s="86" t="s">
        <v>71</v>
      </c>
      <c r="B44" s="26" t="s">
        <v>74</v>
      </c>
      <c r="C44" s="26" t="s">
        <v>547</v>
      </c>
      <c r="D44" s="27">
        <v>3.7</v>
      </c>
      <c r="E44" s="81">
        <f>IF(C44="","",IFERROR(VLOOKUP(C44,'ITEM LIST'!B:M,12,0)*D44,0))</f>
        <v>2.9600000000000004</v>
      </c>
      <c r="G44" s="20"/>
    </row>
    <row r="45" spans="1:7" ht="14.25">
      <c r="A45" s="86" t="s">
        <v>71</v>
      </c>
      <c r="B45" s="26" t="s">
        <v>74</v>
      </c>
      <c r="C45" s="26" t="s">
        <v>9</v>
      </c>
      <c r="D45" s="27">
        <v>2.4500000000000002</v>
      </c>
      <c r="E45" s="81">
        <f>IF(C45="","",IFERROR(VLOOKUP(C45,'ITEM LIST'!B:M,12,0)*D45,0))</f>
        <v>0</v>
      </c>
      <c r="G45" s="20"/>
    </row>
    <row r="46" spans="1:7" ht="14.25">
      <c r="A46" s="86" t="s">
        <v>71</v>
      </c>
      <c r="B46" s="26" t="s">
        <v>74</v>
      </c>
      <c r="C46" s="26" t="s">
        <v>347</v>
      </c>
      <c r="D46" s="27">
        <v>2.6</v>
      </c>
      <c r="E46" s="81">
        <f>IF(C46="","",IFERROR(VLOOKUP(C46,'ITEM LIST'!B:M,12,0)*D46,0))</f>
        <v>1.7680000000000002</v>
      </c>
      <c r="G46" s="20"/>
    </row>
    <row r="47" spans="1:7" ht="14.25">
      <c r="A47" s="86" t="s">
        <v>71</v>
      </c>
      <c r="B47" s="26" t="s">
        <v>74</v>
      </c>
      <c r="C47" s="26" t="s">
        <v>12</v>
      </c>
      <c r="D47" s="27">
        <v>1.6</v>
      </c>
      <c r="E47" s="81">
        <f>IF(C47="","",IFERROR(VLOOKUP(C47,'ITEM LIST'!B:M,12,0)*D47,0))</f>
        <v>0.1552</v>
      </c>
      <c r="G47" s="20"/>
    </row>
    <row r="48" spans="1:7" ht="14.25">
      <c r="A48" s="86" t="s">
        <v>71</v>
      </c>
      <c r="B48" s="26" t="s">
        <v>74</v>
      </c>
      <c r="C48" s="26" t="s">
        <v>24</v>
      </c>
      <c r="D48" s="27">
        <v>30</v>
      </c>
      <c r="E48" s="81">
        <f>IF(C48="","",IFERROR(VLOOKUP(C48,'ITEM LIST'!B:M,12,0)*D48,0))</f>
        <v>2.1</v>
      </c>
      <c r="G48" s="20"/>
    </row>
    <row r="49" spans="1:7" ht="14.25">
      <c r="A49" s="86" t="s">
        <v>71</v>
      </c>
      <c r="B49" s="26" t="s">
        <v>74</v>
      </c>
      <c r="C49" s="26" t="s">
        <v>670</v>
      </c>
      <c r="D49" s="27">
        <v>40</v>
      </c>
      <c r="E49" s="81">
        <f>IF(C49="","",IFERROR(VLOOKUP(C49,'ITEM LIST'!B:M,12,0)*D49,0))</f>
        <v>4.8</v>
      </c>
      <c r="G49" s="20"/>
    </row>
    <row r="50" spans="1:7" ht="14.25">
      <c r="A50" s="86" t="s">
        <v>71</v>
      </c>
      <c r="B50" s="26" t="s">
        <v>74</v>
      </c>
      <c r="C50" s="26" t="s">
        <v>2</v>
      </c>
      <c r="D50" s="27">
        <v>0.2</v>
      </c>
      <c r="E50" s="81">
        <f>IF(C50="","",IFERROR(VLOOKUP(C50,'ITEM LIST'!B:M,12,0)*D50,0))</f>
        <v>9.6000000000000002E-2</v>
      </c>
      <c r="G50" s="20"/>
    </row>
    <row r="51" spans="1:7" ht="14.25">
      <c r="A51" s="86" t="s">
        <v>71</v>
      </c>
      <c r="B51" s="26" t="s">
        <v>74</v>
      </c>
      <c r="C51" s="26" t="s">
        <v>427</v>
      </c>
      <c r="D51" s="27">
        <v>80</v>
      </c>
      <c r="E51" s="81">
        <f>IF(C51="","",IFERROR(VLOOKUP(C51,'ITEM LIST'!B:M,12,0)*D51,0))</f>
        <v>3.84</v>
      </c>
      <c r="G51" s="20"/>
    </row>
    <row r="52" spans="1:7" ht="14.25">
      <c r="A52" s="86" t="s">
        <v>71</v>
      </c>
      <c r="B52" s="26" t="s">
        <v>74</v>
      </c>
      <c r="C52" s="26" t="s">
        <v>27</v>
      </c>
      <c r="D52" s="27">
        <v>5</v>
      </c>
      <c r="E52" s="81">
        <f>IF(C52="","",IFERROR(VLOOKUP(C52,'ITEM LIST'!B:M,12,0)*D52,0))</f>
        <v>0.4</v>
      </c>
      <c r="G52" s="20"/>
    </row>
    <row r="53" spans="1:7" ht="14.25">
      <c r="A53" s="86" t="s">
        <v>71</v>
      </c>
      <c r="B53" s="26" t="s">
        <v>74</v>
      </c>
      <c r="C53" s="26" t="s">
        <v>25</v>
      </c>
      <c r="D53" s="27">
        <v>3</v>
      </c>
      <c r="E53" s="81">
        <f>IF(C53="","",IFERROR(VLOOKUP(C53,'ITEM LIST'!B:M,12,0)*D53,0))</f>
        <v>8.4000000000000005E-2</v>
      </c>
      <c r="G53" s="20"/>
    </row>
    <row r="54" spans="1:7" ht="14.25">
      <c r="A54" s="86" t="s">
        <v>71</v>
      </c>
      <c r="B54" s="26" t="s">
        <v>74</v>
      </c>
      <c r="C54" s="26" t="s">
        <v>19</v>
      </c>
      <c r="D54" s="27">
        <v>7</v>
      </c>
      <c r="E54" s="81">
        <f>IF(C54="","",IFERROR(VLOOKUP(C54,'ITEM LIST'!B:M,12,0)*D54,0))</f>
        <v>0.112</v>
      </c>
      <c r="G54" s="20"/>
    </row>
    <row r="55" spans="1:7" ht="14.25">
      <c r="A55" s="86" t="s">
        <v>71</v>
      </c>
      <c r="B55" s="26" t="s">
        <v>74</v>
      </c>
      <c r="C55" s="26" t="s">
        <v>26</v>
      </c>
      <c r="D55" s="27">
        <v>6.25</v>
      </c>
      <c r="E55" s="81">
        <f>IF(C55="","",IFERROR(VLOOKUP(C55,'ITEM LIST'!B:M,12,0)*D55,0))</f>
        <v>0.73125000000000007</v>
      </c>
      <c r="G55" s="20"/>
    </row>
    <row r="56" spans="1:7" ht="14.25">
      <c r="A56" s="86"/>
      <c r="B56" s="26"/>
      <c r="C56" s="26" t="s">
        <v>371</v>
      </c>
      <c r="D56" s="28"/>
      <c r="E56" s="81" t="str">
        <f>IF(C56="","",IFERROR(VLOOKUP(C56,'ITEM LIST'!B:M,12,0)*D56,0))</f>
        <v/>
      </c>
      <c r="G56" s="20"/>
    </row>
    <row r="57" spans="1:7" ht="14.25">
      <c r="A57" s="86" t="s">
        <v>71</v>
      </c>
      <c r="B57" s="26" t="s">
        <v>75</v>
      </c>
      <c r="C57" s="26" t="s">
        <v>4</v>
      </c>
      <c r="D57" s="27">
        <v>65</v>
      </c>
      <c r="E57" s="81">
        <f>IF(C57="","",IFERROR(VLOOKUP(C57,'ITEM LIST'!B:M,12,0)*D57,0))</f>
        <v>13.844999999999999</v>
      </c>
      <c r="G57" s="20"/>
    </row>
    <row r="58" spans="1:7" ht="14.25">
      <c r="A58" s="86" t="s">
        <v>71</v>
      </c>
      <c r="B58" s="26" t="s">
        <v>75</v>
      </c>
      <c r="C58" s="26" t="s">
        <v>17</v>
      </c>
      <c r="D58" s="27">
        <v>250</v>
      </c>
      <c r="E58" s="81">
        <f>IF(C58="","",IFERROR(VLOOKUP(C58,'ITEM LIST'!B:M,12,0)*D58,0))</f>
        <v>67.5</v>
      </c>
      <c r="G58" s="20"/>
    </row>
    <row r="59" spans="1:7" ht="14.25">
      <c r="A59" s="86" t="s">
        <v>71</v>
      </c>
      <c r="B59" s="26" t="s">
        <v>75</v>
      </c>
      <c r="C59" s="26" t="s">
        <v>20</v>
      </c>
      <c r="D59" s="27">
        <v>20</v>
      </c>
      <c r="E59" s="81">
        <f>IF(C59="","",IFERROR(VLOOKUP(C59,'ITEM LIST'!B:M,12,0)*D59,0))</f>
        <v>0.38</v>
      </c>
      <c r="G59" s="20"/>
    </row>
    <row r="60" spans="1:7" ht="14.25">
      <c r="A60" s="86" t="s">
        <v>71</v>
      </c>
      <c r="B60" s="26" t="s">
        <v>75</v>
      </c>
      <c r="C60" s="26" t="s">
        <v>338</v>
      </c>
      <c r="D60" s="27">
        <v>3.85</v>
      </c>
      <c r="E60" s="81">
        <f>IF(C60="","",IFERROR(VLOOKUP(C60,'ITEM LIST'!B:M,12,0)*D60,0))</f>
        <v>0.30415000000000003</v>
      </c>
      <c r="G60" s="20"/>
    </row>
    <row r="61" spans="1:7" ht="14.25">
      <c r="A61" s="86" t="s">
        <v>71</v>
      </c>
      <c r="B61" s="26" t="s">
        <v>75</v>
      </c>
      <c r="C61" s="26" t="s">
        <v>332</v>
      </c>
      <c r="D61" s="27">
        <v>2.7</v>
      </c>
      <c r="E61" s="81">
        <f>IF(C61="","",IFERROR(VLOOKUP(C61,'ITEM LIST'!B:M,12,0)*D61,0))</f>
        <v>0.94499999999999995</v>
      </c>
      <c r="G61" s="20"/>
    </row>
    <row r="62" spans="1:7" ht="14.25">
      <c r="A62" s="86" t="s">
        <v>71</v>
      </c>
      <c r="B62" s="26" t="s">
        <v>75</v>
      </c>
      <c r="C62" s="26" t="s">
        <v>335</v>
      </c>
      <c r="D62" s="27">
        <v>3.2</v>
      </c>
      <c r="E62" s="81">
        <f>IF(C62="","",IFERROR(VLOOKUP(C62,'ITEM LIST'!B:M,12,0)*D62,0))</f>
        <v>0.96</v>
      </c>
      <c r="G62" s="20"/>
    </row>
    <row r="63" spans="1:7" ht="14.25">
      <c r="A63" s="86" t="s">
        <v>71</v>
      </c>
      <c r="B63" s="26" t="s">
        <v>75</v>
      </c>
      <c r="C63" s="26" t="s">
        <v>547</v>
      </c>
      <c r="D63" s="27">
        <v>3.7</v>
      </c>
      <c r="E63" s="81">
        <f>IF(C63="","",IFERROR(VLOOKUP(C63,'ITEM LIST'!B:M,12,0)*D63,0))</f>
        <v>2.9600000000000004</v>
      </c>
      <c r="G63" s="20"/>
    </row>
    <row r="64" spans="1:7" ht="14.25">
      <c r="A64" s="86" t="s">
        <v>71</v>
      </c>
      <c r="B64" s="26" t="s">
        <v>75</v>
      </c>
      <c r="C64" s="26" t="s">
        <v>9</v>
      </c>
      <c r="D64" s="27">
        <v>2.4500000000000002</v>
      </c>
      <c r="E64" s="81">
        <f>IF(C64="","",IFERROR(VLOOKUP(C64,'ITEM LIST'!B:M,12,0)*D64,0))</f>
        <v>0</v>
      </c>
      <c r="G64" s="20"/>
    </row>
    <row r="65" spans="1:7" ht="14.25">
      <c r="A65" s="86" t="s">
        <v>71</v>
      </c>
      <c r="B65" s="26" t="s">
        <v>75</v>
      </c>
      <c r="C65" s="26" t="s">
        <v>347</v>
      </c>
      <c r="D65" s="27">
        <v>2.6</v>
      </c>
      <c r="E65" s="81">
        <f>IF(C65="","",IFERROR(VLOOKUP(C65,'ITEM LIST'!B:M,12,0)*D65,0))</f>
        <v>1.7680000000000002</v>
      </c>
      <c r="G65" s="20"/>
    </row>
    <row r="66" spans="1:7" ht="14.25">
      <c r="A66" s="86" t="s">
        <v>71</v>
      </c>
      <c r="B66" s="26" t="s">
        <v>75</v>
      </c>
      <c r="C66" s="26" t="s">
        <v>12</v>
      </c>
      <c r="D66" s="27">
        <v>1.6</v>
      </c>
      <c r="E66" s="81">
        <f>IF(C66="","",IFERROR(VLOOKUP(C66,'ITEM LIST'!B:M,12,0)*D66,0))</f>
        <v>0.1552</v>
      </c>
      <c r="G66" s="20"/>
    </row>
    <row r="67" spans="1:7" ht="14.25">
      <c r="A67" s="86" t="s">
        <v>71</v>
      </c>
      <c r="B67" s="26" t="s">
        <v>75</v>
      </c>
      <c r="C67" s="26" t="s">
        <v>24</v>
      </c>
      <c r="D67" s="27">
        <v>30</v>
      </c>
      <c r="E67" s="81">
        <f>IF(C67="","",IFERROR(VLOOKUP(C67,'ITEM LIST'!B:M,12,0)*D67,0))</f>
        <v>2.1</v>
      </c>
      <c r="G67" s="20"/>
    </row>
    <row r="68" spans="1:7" ht="14.25">
      <c r="A68" s="86" t="s">
        <v>71</v>
      </c>
      <c r="B68" s="26" t="s">
        <v>75</v>
      </c>
      <c r="C68" s="26" t="s">
        <v>670</v>
      </c>
      <c r="D68" s="27">
        <v>40</v>
      </c>
      <c r="E68" s="81">
        <f>IF(C68="","",IFERROR(VLOOKUP(C68,'ITEM LIST'!B:M,12,0)*D68,0))</f>
        <v>4.8</v>
      </c>
      <c r="G68" s="20"/>
    </row>
    <row r="69" spans="1:7" ht="14.25">
      <c r="A69" s="86" t="s">
        <v>71</v>
      </c>
      <c r="B69" s="26" t="s">
        <v>75</v>
      </c>
      <c r="C69" s="26" t="s">
        <v>2</v>
      </c>
      <c r="D69" s="27">
        <v>0.2</v>
      </c>
      <c r="E69" s="81">
        <f>IF(C69="","",IFERROR(VLOOKUP(C69,'ITEM LIST'!B:M,12,0)*D69,0))</f>
        <v>9.6000000000000002E-2</v>
      </c>
      <c r="G69" s="20"/>
    </row>
    <row r="70" spans="1:7" ht="14.25">
      <c r="A70" s="86" t="s">
        <v>71</v>
      </c>
      <c r="B70" s="26" t="s">
        <v>75</v>
      </c>
      <c r="C70" s="26" t="s">
        <v>427</v>
      </c>
      <c r="D70" s="27">
        <v>80</v>
      </c>
      <c r="E70" s="81">
        <f>IF(C70="","",IFERROR(VLOOKUP(C70,'ITEM LIST'!B:M,12,0)*D70,0))</f>
        <v>3.84</v>
      </c>
      <c r="G70" s="20"/>
    </row>
    <row r="71" spans="1:7" ht="14.25">
      <c r="A71" s="86" t="s">
        <v>71</v>
      </c>
      <c r="B71" s="26" t="s">
        <v>75</v>
      </c>
      <c r="C71" s="26" t="s">
        <v>27</v>
      </c>
      <c r="D71" s="27">
        <v>5</v>
      </c>
      <c r="E71" s="81">
        <f>IF(C71="","",IFERROR(VLOOKUP(C71,'ITEM LIST'!B:M,12,0)*D71,0))</f>
        <v>0.4</v>
      </c>
      <c r="G71" s="20"/>
    </row>
    <row r="72" spans="1:7" ht="14.25">
      <c r="A72" s="86" t="s">
        <v>71</v>
      </c>
      <c r="B72" s="26" t="s">
        <v>75</v>
      </c>
      <c r="C72" s="26" t="s">
        <v>25</v>
      </c>
      <c r="D72" s="27">
        <v>3</v>
      </c>
      <c r="E72" s="81">
        <f>IF(C72="","",IFERROR(VLOOKUP(C72,'ITEM LIST'!B:M,12,0)*D72,0))</f>
        <v>8.4000000000000005E-2</v>
      </c>
      <c r="G72" s="20"/>
    </row>
    <row r="73" spans="1:7" ht="14.25">
      <c r="A73" s="86" t="s">
        <v>71</v>
      </c>
      <c r="B73" s="26" t="s">
        <v>75</v>
      </c>
      <c r="C73" s="26" t="s">
        <v>19</v>
      </c>
      <c r="D73" s="27">
        <v>7</v>
      </c>
      <c r="E73" s="81">
        <f>IF(C73="","",IFERROR(VLOOKUP(C73,'ITEM LIST'!B:M,12,0)*D73,0))</f>
        <v>0.112</v>
      </c>
      <c r="G73" s="20"/>
    </row>
    <row r="74" spans="1:7" ht="14.25">
      <c r="A74" s="86" t="s">
        <v>71</v>
      </c>
      <c r="B74" s="26" t="s">
        <v>75</v>
      </c>
      <c r="C74" s="26" t="s">
        <v>26</v>
      </c>
      <c r="D74" s="27">
        <v>6.25</v>
      </c>
      <c r="E74" s="81">
        <f>IF(C74="","",IFERROR(VLOOKUP(C74,'ITEM LIST'!B:M,12,0)*D74,0))</f>
        <v>0.73125000000000007</v>
      </c>
      <c r="G74" s="20"/>
    </row>
    <row r="75" spans="1:7" ht="14.25">
      <c r="A75" s="86"/>
      <c r="B75" s="26"/>
      <c r="C75" s="26" t="s">
        <v>371</v>
      </c>
      <c r="D75" s="28"/>
      <c r="E75" s="81" t="str">
        <f>IF(C75="","",IFERROR(VLOOKUP(C75,'ITEM LIST'!B:M,12,0)*D75,0))</f>
        <v/>
      </c>
      <c r="G75" s="20"/>
    </row>
    <row r="76" spans="1:7" ht="14.25">
      <c r="A76" s="86" t="s">
        <v>71</v>
      </c>
      <c r="B76" s="26" t="s">
        <v>76</v>
      </c>
      <c r="C76" s="26" t="s">
        <v>4</v>
      </c>
      <c r="D76" s="27">
        <v>65</v>
      </c>
      <c r="E76" s="81">
        <f>IF(C76="","",IFERROR(VLOOKUP(C76,'ITEM LIST'!B:M,12,0)*D76,0))</f>
        <v>13.844999999999999</v>
      </c>
      <c r="G76" s="20"/>
    </row>
    <row r="77" spans="1:7" ht="14.25">
      <c r="A77" s="86" t="s">
        <v>71</v>
      </c>
      <c r="B77" s="26" t="s">
        <v>76</v>
      </c>
      <c r="C77" s="26" t="s">
        <v>17</v>
      </c>
      <c r="D77" s="27">
        <v>250</v>
      </c>
      <c r="E77" s="81">
        <f>IF(C77="","",IFERROR(VLOOKUP(C77,'ITEM LIST'!B:M,12,0)*D77,0))</f>
        <v>67.5</v>
      </c>
      <c r="G77" s="20"/>
    </row>
    <row r="78" spans="1:7" ht="14.25">
      <c r="A78" s="86" t="s">
        <v>71</v>
      </c>
      <c r="B78" s="26" t="s">
        <v>76</v>
      </c>
      <c r="C78" s="26" t="s">
        <v>20</v>
      </c>
      <c r="D78" s="27">
        <v>20</v>
      </c>
      <c r="E78" s="81">
        <f>IF(C78="","",IFERROR(VLOOKUP(C78,'ITEM LIST'!B:M,12,0)*D78,0))</f>
        <v>0.38</v>
      </c>
      <c r="G78" s="20"/>
    </row>
    <row r="79" spans="1:7" ht="14.25">
      <c r="A79" s="86" t="s">
        <v>71</v>
      </c>
      <c r="B79" s="26" t="s">
        <v>76</v>
      </c>
      <c r="C79" s="26" t="s">
        <v>338</v>
      </c>
      <c r="D79" s="27">
        <v>3.85</v>
      </c>
      <c r="E79" s="81">
        <f>IF(C79="","",IFERROR(VLOOKUP(C79,'ITEM LIST'!B:M,12,0)*D79,0))</f>
        <v>0.30415000000000003</v>
      </c>
      <c r="G79" s="20"/>
    </row>
    <row r="80" spans="1:7" ht="14.25">
      <c r="A80" s="86" t="s">
        <v>71</v>
      </c>
      <c r="B80" s="26" t="s">
        <v>76</v>
      </c>
      <c r="C80" s="26" t="s">
        <v>332</v>
      </c>
      <c r="D80" s="27">
        <v>2.7</v>
      </c>
      <c r="E80" s="81">
        <f>IF(C80="","",IFERROR(VLOOKUP(C80,'ITEM LIST'!B:M,12,0)*D80,0))</f>
        <v>0.94499999999999995</v>
      </c>
      <c r="G80" s="20"/>
    </row>
    <row r="81" spans="1:7" ht="14.25">
      <c r="A81" s="86" t="s">
        <v>71</v>
      </c>
      <c r="B81" s="26" t="s">
        <v>76</v>
      </c>
      <c r="C81" s="26" t="s">
        <v>335</v>
      </c>
      <c r="D81" s="27">
        <v>3.2</v>
      </c>
      <c r="E81" s="81">
        <f>IF(C81="","",IFERROR(VLOOKUP(C81,'ITEM LIST'!B:M,12,0)*D81,0))</f>
        <v>0.96</v>
      </c>
      <c r="G81" s="20"/>
    </row>
    <row r="82" spans="1:7" ht="14.25">
      <c r="A82" s="86" t="s">
        <v>71</v>
      </c>
      <c r="B82" s="26" t="s">
        <v>76</v>
      </c>
      <c r="C82" s="26" t="s">
        <v>547</v>
      </c>
      <c r="D82" s="27">
        <v>3.7</v>
      </c>
      <c r="E82" s="81">
        <f>IF(C82="","",IFERROR(VLOOKUP(C82,'ITEM LIST'!B:M,12,0)*D82,0))</f>
        <v>2.9600000000000004</v>
      </c>
      <c r="G82" s="20"/>
    </row>
    <row r="83" spans="1:7" ht="14.25">
      <c r="A83" s="86" t="s">
        <v>71</v>
      </c>
      <c r="B83" s="26" t="s">
        <v>76</v>
      </c>
      <c r="C83" s="26" t="s">
        <v>9</v>
      </c>
      <c r="D83" s="27">
        <v>2.4500000000000002</v>
      </c>
      <c r="E83" s="81">
        <f>IF(C83="","",IFERROR(VLOOKUP(C83,'ITEM LIST'!B:M,12,0)*D83,0))</f>
        <v>0</v>
      </c>
      <c r="G83" s="20"/>
    </row>
    <row r="84" spans="1:7" ht="14.25">
      <c r="A84" s="86" t="s">
        <v>71</v>
      </c>
      <c r="B84" s="26" t="s">
        <v>76</v>
      </c>
      <c r="C84" s="26" t="s">
        <v>347</v>
      </c>
      <c r="D84" s="27">
        <v>2.6</v>
      </c>
      <c r="E84" s="81">
        <f>IF(C84="","",IFERROR(VLOOKUP(C84,'ITEM LIST'!B:M,12,0)*D84,0))</f>
        <v>1.7680000000000002</v>
      </c>
      <c r="G84" s="20"/>
    </row>
    <row r="85" spans="1:7" ht="14.25">
      <c r="A85" s="86" t="s">
        <v>71</v>
      </c>
      <c r="B85" s="26" t="s">
        <v>76</v>
      </c>
      <c r="C85" s="26" t="s">
        <v>12</v>
      </c>
      <c r="D85" s="27">
        <v>1.6</v>
      </c>
      <c r="E85" s="81">
        <f>IF(C85="","",IFERROR(VLOOKUP(C85,'ITEM LIST'!B:M,12,0)*D85,0))</f>
        <v>0.1552</v>
      </c>
      <c r="G85" s="20"/>
    </row>
    <row r="86" spans="1:7" ht="14.25">
      <c r="A86" s="86" t="s">
        <v>71</v>
      </c>
      <c r="B86" s="26" t="s">
        <v>76</v>
      </c>
      <c r="C86" s="26" t="s">
        <v>24</v>
      </c>
      <c r="D86" s="27">
        <v>30</v>
      </c>
      <c r="E86" s="81">
        <f>IF(C86="","",IFERROR(VLOOKUP(C86,'ITEM LIST'!B:M,12,0)*D86,0))</f>
        <v>2.1</v>
      </c>
      <c r="G86" s="20"/>
    </row>
    <row r="87" spans="1:7" ht="14.25">
      <c r="A87" s="86" t="s">
        <v>71</v>
      </c>
      <c r="B87" s="26" t="s">
        <v>76</v>
      </c>
      <c r="C87" s="26" t="s">
        <v>670</v>
      </c>
      <c r="D87" s="27">
        <v>40</v>
      </c>
      <c r="E87" s="81">
        <f>IF(C87="","",IFERROR(VLOOKUP(C87,'ITEM LIST'!B:M,12,0)*D87,0))</f>
        <v>4.8</v>
      </c>
      <c r="G87" s="20"/>
    </row>
    <row r="88" spans="1:7" ht="14.25">
      <c r="A88" s="86" t="s">
        <v>71</v>
      </c>
      <c r="B88" s="26" t="s">
        <v>76</v>
      </c>
      <c r="C88" s="26" t="s">
        <v>2</v>
      </c>
      <c r="D88" s="27">
        <v>0.2</v>
      </c>
      <c r="E88" s="81">
        <f>IF(C88="","",IFERROR(VLOOKUP(C88,'ITEM LIST'!B:M,12,0)*D88,0))</f>
        <v>9.6000000000000002E-2</v>
      </c>
      <c r="G88" s="20"/>
    </row>
    <row r="89" spans="1:7" ht="14.25">
      <c r="A89" s="86" t="s">
        <v>71</v>
      </c>
      <c r="B89" s="26" t="s">
        <v>76</v>
      </c>
      <c r="C89" s="26" t="s">
        <v>427</v>
      </c>
      <c r="D89" s="27">
        <v>80</v>
      </c>
      <c r="E89" s="81">
        <f>IF(C89="","",IFERROR(VLOOKUP(C89,'ITEM LIST'!B:M,12,0)*D89,0))</f>
        <v>3.84</v>
      </c>
      <c r="G89" s="20"/>
    </row>
    <row r="90" spans="1:7" ht="14.25">
      <c r="A90" s="86" t="s">
        <v>71</v>
      </c>
      <c r="B90" s="26" t="s">
        <v>76</v>
      </c>
      <c r="C90" s="26" t="s">
        <v>27</v>
      </c>
      <c r="D90" s="27">
        <v>5</v>
      </c>
      <c r="E90" s="81">
        <f>IF(C90="","",IFERROR(VLOOKUP(C90,'ITEM LIST'!B:M,12,0)*D90,0))</f>
        <v>0.4</v>
      </c>
      <c r="G90" s="20"/>
    </row>
    <row r="91" spans="1:7" ht="14.25">
      <c r="A91" s="86" t="s">
        <v>71</v>
      </c>
      <c r="B91" s="26" t="s">
        <v>76</v>
      </c>
      <c r="C91" s="26" t="s">
        <v>25</v>
      </c>
      <c r="D91" s="27">
        <v>3</v>
      </c>
      <c r="E91" s="81">
        <f>IF(C91="","",IFERROR(VLOOKUP(C91,'ITEM LIST'!B:M,12,0)*D91,0))</f>
        <v>8.4000000000000005E-2</v>
      </c>
      <c r="G91" s="20"/>
    </row>
    <row r="92" spans="1:7" ht="14.25">
      <c r="A92" s="86" t="s">
        <v>71</v>
      </c>
      <c r="B92" s="26" t="s">
        <v>76</v>
      </c>
      <c r="C92" s="26" t="s">
        <v>19</v>
      </c>
      <c r="D92" s="27">
        <v>7</v>
      </c>
      <c r="E92" s="81">
        <f>IF(C92="","",IFERROR(VLOOKUP(C92,'ITEM LIST'!B:M,12,0)*D92,0))</f>
        <v>0.112</v>
      </c>
      <c r="G92" s="20"/>
    </row>
    <row r="93" spans="1:7" ht="14.25">
      <c r="A93" s="86" t="s">
        <v>71</v>
      </c>
      <c r="B93" s="26" t="s">
        <v>76</v>
      </c>
      <c r="C93" s="26" t="s">
        <v>26</v>
      </c>
      <c r="D93" s="27">
        <v>6.25</v>
      </c>
      <c r="E93" s="81">
        <f>IF(C93="","",IFERROR(VLOOKUP(C93,'ITEM LIST'!B:M,12,0)*D93,0))</f>
        <v>0.73125000000000007</v>
      </c>
      <c r="G93" s="20"/>
    </row>
    <row r="94" spans="1:7" ht="14.25">
      <c r="A94" s="86"/>
      <c r="B94" s="26"/>
      <c r="C94" s="26" t="s">
        <v>371</v>
      </c>
      <c r="D94" s="28"/>
      <c r="E94" s="81" t="str">
        <f>IF(C94="","",IFERROR(VLOOKUP(C94,'ITEM LIST'!B:M,12,0)*D94,0))</f>
        <v/>
      </c>
      <c r="G94" s="20"/>
    </row>
    <row r="95" spans="1:7" ht="14.25">
      <c r="A95" s="86" t="s">
        <v>71</v>
      </c>
      <c r="B95" s="26" t="s">
        <v>77</v>
      </c>
      <c r="C95" s="26" t="s">
        <v>29</v>
      </c>
      <c r="D95" s="28">
        <v>2</v>
      </c>
      <c r="E95" s="81">
        <f>IF(C95="","",IFERROR(VLOOKUP(C95,'ITEM LIST'!B:M,12,0)*D95,0))</f>
        <v>10</v>
      </c>
      <c r="G95" s="20"/>
    </row>
    <row r="96" spans="1:7" ht="14.25">
      <c r="A96" s="86" t="s">
        <v>71</v>
      </c>
      <c r="B96" s="26" t="s">
        <v>77</v>
      </c>
      <c r="C96" s="135" t="s">
        <v>492</v>
      </c>
      <c r="D96" s="27">
        <v>210</v>
      </c>
      <c r="E96" s="81">
        <f>IF(C96="","",IFERROR(VLOOKUP(C96,'ITEM LIST'!B:M,12,0)*D96,0))</f>
        <v>16.8</v>
      </c>
      <c r="G96" s="20"/>
    </row>
    <row r="97" spans="1:7" ht="14.25">
      <c r="A97" s="86" t="s">
        <v>71</v>
      </c>
      <c r="B97" s="26" t="s">
        <v>77</v>
      </c>
      <c r="C97" s="26" t="s">
        <v>20</v>
      </c>
      <c r="D97" s="27">
        <v>20</v>
      </c>
      <c r="E97" s="81">
        <f>IF(C97="","",IFERROR(VLOOKUP(C97,'ITEM LIST'!B:M,12,0)*D97,0))</f>
        <v>0.38</v>
      </c>
      <c r="G97" s="20"/>
    </row>
    <row r="98" spans="1:7" ht="14.25">
      <c r="A98" s="86" t="s">
        <v>71</v>
      </c>
      <c r="B98" s="26" t="s">
        <v>77</v>
      </c>
      <c r="C98" s="26" t="s">
        <v>338</v>
      </c>
      <c r="D98" s="27">
        <v>3.85</v>
      </c>
      <c r="E98" s="81">
        <f>IF(C98="","",IFERROR(VLOOKUP(C98,'ITEM LIST'!B:M,12,0)*D98,0))</f>
        <v>0.30415000000000003</v>
      </c>
      <c r="G98" s="20"/>
    </row>
    <row r="99" spans="1:7" ht="14.25">
      <c r="A99" s="86" t="s">
        <v>71</v>
      </c>
      <c r="B99" s="26" t="s">
        <v>77</v>
      </c>
      <c r="C99" s="26" t="s">
        <v>332</v>
      </c>
      <c r="D99" s="27">
        <v>2.7</v>
      </c>
      <c r="E99" s="81">
        <f>IF(C99="","",IFERROR(VLOOKUP(C99,'ITEM LIST'!B:M,12,0)*D99,0))</f>
        <v>0.94499999999999995</v>
      </c>
      <c r="G99" s="20"/>
    </row>
    <row r="100" spans="1:7" ht="14.25">
      <c r="A100" s="86" t="s">
        <v>71</v>
      </c>
      <c r="B100" s="26" t="s">
        <v>77</v>
      </c>
      <c r="C100" s="26" t="s">
        <v>335</v>
      </c>
      <c r="D100" s="27">
        <v>3.2</v>
      </c>
      <c r="E100" s="81">
        <f>IF(C100="","",IFERROR(VLOOKUP(C100,'ITEM LIST'!B:M,12,0)*D100,0))</f>
        <v>0.96</v>
      </c>
      <c r="G100" s="20"/>
    </row>
    <row r="101" spans="1:7" ht="14.25">
      <c r="A101" s="86" t="s">
        <v>71</v>
      </c>
      <c r="B101" s="26" t="s">
        <v>77</v>
      </c>
      <c r="C101" s="26" t="s">
        <v>547</v>
      </c>
      <c r="D101" s="27">
        <v>3.7</v>
      </c>
      <c r="E101" s="81">
        <f>IF(C101="","",IFERROR(VLOOKUP(C101,'ITEM LIST'!B:M,12,0)*D101,0))</f>
        <v>2.9600000000000004</v>
      </c>
      <c r="G101" s="20"/>
    </row>
    <row r="102" spans="1:7" ht="14.25">
      <c r="A102" s="86" t="s">
        <v>71</v>
      </c>
      <c r="B102" s="26" t="s">
        <v>77</v>
      </c>
      <c r="C102" s="26" t="s">
        <v>9</v>
      </c>
      <c r="D102" s="27">
        <v>2.4500000000000002</v>
      </c>
      <c r="E102" s="81">
        <f>IF(C102="","",IFERROR(VLOOKUP(C102,'ITEM LIST'!B:M,12,0)*D102,0))</f>
        <v>0</v>
      </c>
      <c r="G102" s="20"/>
    </row>
    <row r="103" spans="1:7" ht="14.25">
      <c r="A103" s="86" t="s">
        <v>71</v>
      </c>
      <c r="B103" s="26" t="s">
        <v>77</v>
      </c>
      <c r="C103" s="26" t="s">
        <v>347</v>
      </c>
      <c r="D103" s="27">
        <v>2.6</v>
      </c>
      <c r="E103" s="81">
        <f>IF(C103="","",IFERROR(VLOOKUP(C103,'ITEM LIST'!B:M,12,0)*D103,0))</f>
        <v>1.7680000000000002</v>
      </c>
      <c r="G103" s="20"/>
    </row>
    <row r="104" spans="1:7" ht="14.25">
      <c r="A104" s="86" t="s">
        <v>71</v>
      </c>
      <c r="B104" s="26" t="s">
        <v>77</v>
      </c>
      <c r="C104" s="26" t="s">
        <v>12</v>
      </c>
      <c r="D104" s="27">
        <v>1.6</v>
      </c>
      <c r="E104" s="81">
        <f>IF(C104="","",IFERROR(VLOOKUP(C104,'ITEM LIST'!B:M,12,0)*D104,0))</f>
        <v>0.1552</v>
      </c>
      <c r="G104" s="20"/>
    </row>
    <row r="105" spans="1:7" ht="14.25">
      <c r="A105" s="86" t="s">
        <v>71</v>
      </c>
      <c r="B105" s="26" t="s">
        <v>77</v>
      </c>
      <c r="C105" s="26" t="s">
        <v>24</v>
      </c>
      <c r="D105" s="27">
        <v>30</v>
      </c>
      <c r="E105" s="81">
        <f>IF(C105="","",IFERROR(VLOOKUP(C105,'ITEM LIST'!B:M,12,0)*D105,0))</f>
        <v>2.1</v>
      </c>
      <c r="G105" s="20"/>
    </row>
    <row r="106" spans="1:7" ht="14.25">
      <c r="A106" s="86" t="s">
        <v>71</v>
      </c>
      <c r="B106" s="26" t="s">
        <v>77</v>
      </c>
      <c r="C106" s="26" t="s">
        <v>670</v>
      </c>
      <c r="D106" s="27">
        <v>40</v>
      </c>
      <c r="E106" s="81">
        <f>IF(C106="","",IFERROR(VLOOKUP(C106,'ITEM LIST'!B:M,12,0)*D106,0))</f>
        <v>4.8</v>
      </c>
      <c r="G106" s="20"/>
    </row>
    <row r="107" spans="1:7" ht="14.25">
      <c r="A107" s="86" t="s">
        <v>71</v>
      </c>
      <c r="B107" s="26" t="s">
        <v>77</v>
      </c>
      <c r="C107" s="26" t="s">
        <v>2</v>
      </c>
      <c r="D107" s="27">
        <v>0.2</v>
      </c>
      <c r="E107" s="81">
        <f>IF(C107="","",IFERROR(VLOOKUP(C107,'ITEM LIST'!B:M,12,0)*D107,0))</f>
        <v>9.6000000000000002E-2</v>
      </c>
      <c r="G107" s="20"/>
    </row>
    <row r="108" spans="1:7" ht="14.25">
      <c r="A108" s="86" t="s">
        <v>71</v>
      </c>
      <c r="B108" s="26" t="s">
        <v>77</v>
      </c>
      <c r="C108" s="26" t="s">
        <v>427</v>
      </c>
      <c r="D108" s="27">
        <v>80</v>
      </c>
      <c r="E108" s="81">
        <f>IF(C108="","",IFERROR(VLOOKUP(C108,'ITEM LIST'!B:M,12,0)*D108,0))</f>
        <v>3.84</v>
      </c>
      <c r="G108" s="20"/>
    </row>
    <row r="109" spans="1:7" ht="14.25">
      <c r="A109" s="86" t="s">
        <v>71</v>
      </c>
      <c r="B109" s="26" t="s">
        <v>77</v>
      </c>
      <c r="C109" s="26" t="s">
        <v>27</v>
      </c>
      <c r="D109" s="27">
        <v>5</v>
      </c>
      <c r="E109" s="81">
        <f>IF(C109="","",IFERROR(VLOOKUP(C109,'ITEM LIST'!B:M,12,0)*D109,0))</f>
        <v>0.4</v>
      </c>
      <c r="G109" s="20"/>
    </row>
    <row r="110" spans="1:7" ht="14.25">
      <c r="A110" s="86" t="s">
        <v>71</v>
      </c>
      <c r="B110" s="26" t="s">
        <v>77</v>
      </c>
      <c r="C110" s="26" t="s">
        <v>25</v>
      </c>
      <c r="D110" s="27">
        <v>3</v>
      </c>
      <c r="E110" s="81">
        <f>IF(C110="","",IFERROR(VLOOKUP(C110,'ITEM LIST'!B:M,12,0)*D110,0))</f>
        <v>8.4000000000000005E-2</v>
      </c>
      <c r="G110" s="20"/>
    </row>
    <row r="111" spans="1:7" ht="14.25">
      <c r="A111" s="86" t="s">
        <v>71</v>
      </c>
      <c r="B111" s="26" t="s">
        <v>77</v>
      </c>
      <c r="C111" s="26" t="s">
        <v>19</v>
      </c>
      <c r="D111" s="27">
        <v>7</v>
      </c>
      <c r="E111" s="81">
        <f>IF(C111="","",IFERROR(VLOOKUP(C111,'ITEM LIST'!B:M,12,0)*D111,0))</f>
        <v>0.112</v>
      </c>
      <c r="G111" s="20"/>
    </row>
    <row r="112" spans="1:7" ht="14.25">
      <c r="A112" s="86" t="s">
        <v>71</v>
      </c>
      <c r="B112" s="26" t="s">
        <v>77</v>
      </c>
      <c r="C112" s="26" t="s">
        <v>26</v>
      </c>
      <c r="D112" s="27">
        <v>6.25</v>
      </c>
      <c r="E112" s="81">
        <f>IF(C112="","",IFERROR(VLOOKUP(C112,'ITEM LIST'!B:M,12,0)*D112,0))</f>
        <v>0.73125000000000007</v>
      </c>
      <c r="G112" s="20"/>
    </row>
    <row r="113" spans="1:7" ht="14.25">
      <c r="A113" s="86" t="s">
        <v>71</v>
      </c>
      <c r="B113" s="26" t="s">
        <v>77</v>
      </c>
      <c r="C113" s="26" t="s">
        <v>26</v>
      </c>
      <c r="D113" s="27">
        <v>6.25</v>
      </c>
      <c r="E113" s="81">
        <f>IF(C113="","",IFERROR(VLOOKUP(C113,'ITEM LIST'!B:M,12,0)*D113,0))</f>
        <v>0.73125000000000007</v>
      </c>
      <c r="G113" s="20"/>
    </row>
    <row r="114" spans="1:7" ht="14.25">
      <c r="A114" s="86" t="s">
        <v>71</v>
      </c>
      <c r="B114" s="26" t="s">
        <v>77</v>
      </c>
      <c r="C114" s="149" t="s">
        <v>4</v>
      </c>
      <c r="D114" s="28">
        <v>65</v>
      </c>
      <c r="E114" s="81">
        <f>IF(C114="","",IFERROR(VLOOKUP(C114,'ITEM LIST'!B:M,12,0)*D114,0))</f>
        <v>13.844999999999999</v>
      </c>
      <c r="G114" s="20"/>
    </row>
    <row r="115" spans="1:7" ht="14.25">
      <c r="A115" s="86" t="s">
        <v>71</v>
      </c>
      <c r="B115" s="26" t="s">
        <v>78</v>
      </c>
      <c r="C115" s="26" t="s">
        <v>6</v>
      </c>
      <c r="D115" s="27">
        <v>10</v>
      </c>
      <c r="E115" s="81">
        <f>IF(C115="","",IFERROR(VLOOKUP(C115,'ITEM LIST'!B:M,12,0)*D115,0))</f>
        <v>0</v>
      </c>
      <c r="G115" s="20"/>
    </row>
    <row r="116" spans="1:7" ht="14.25">
      <c r="A116" s="86" t="s">
        <v>71</v>
      </c>
      <c r="B116" s="26" t="s">
        <v>78</v>
      </c>
      <c r="C116" s="26" t="s">
        <v>492</v>
      </c>
      <c r="D116" s="27">
        <v>210</v>
      </c>
      <c r="E116" s="81">
        <f>IF(C116="","",IFERROR(VLOOKUP(C116,'ITEM LIST'!B:M,12,0)*D116,0))</f>
        <v>16.8</v>
      </c>
      <c r="G116" s="20"/>
    </row>
    <row r="117" spans="1:7" ht="14.25">
      <c r="A117" s="86" t="s">
        <v>71</v>
      </c>
      <c r="B117" s="26" t="s">
        <v>78</v>
      </c>
      <c r="C117" s="26" t="s">
        <v>20</v>
      </c>
      <c r="D117" s="27">
        <v>20</v>
      </c>
      <c r="E117" s="81">
        <f>IF(C117="","",IFERROR(VLOOKUP(C117,'ITEM LIST'!B:M,12,0)*D117,0))</f>
        <v>0.38</v>
      </c>
      <c r="G117" s="20"/>
    </row>
    <row r="118" spans="1:7" ht="14.25">
      <c r="A118" s="86" t="s">
        <v>71</v>
      </c>
      <c r="B118" s="26" t="s">
        <v>78</v>
      </c>
      <c r="C118" s="26" t="s">
        <v>338</v>
      </c>
      <c r="D118" s="27">
        <v>3.85</v>
      </c>
      <c r="E118" s="81">
        <f>IF(C118="","",IFERROR(VLOOKUP(C118,'ITEM LIST'!B:M,12,0)*D118,0))</f>
        <v>0.30415000000000003</v>
      </c>
      <c r="G118" s="20"/>
    </row>
    <row r="119" spans="1:7" ht="14.25">
      <c r="A119" s="86" t="s">
        <v>71</v>
      </c>
      <c r="B119" s="26" t="s">
        <v>78</v>
      </c>
      <c r="C119" s="26" t="s">
        <v>332</v>
      </c>
      <c r="D119" s="27">
        <v>2.7</v>
      </c>
      <c r="E119" s="81">
        <f>IF(C119="","",IFERROR(VLOOKUP(C119,'ITEM LIST'!B:M,12,0)*D119,0))</f>
        <v>0.94499999999999995</v>
      </c>
      <c r="G119" s="20"/>
    </row>
    <row r="120" spans="1:7" ht="14.25">
      <c r="A120" s="86" t="s">
        <v>71</v>
      </c>
      <c r="B120" s="26" t="s">
        <v>78</v>
      </c>
      <c r="C120" s="26" t="s">
        <v>335</v>
      </c>
      <c r="D120" s="27">
        <v>3.2</v>
      </c>
      <c r="E120" s="81">
        <f>IF(C120="","",IFERROR(VLOOKUP(C120,'ITEM LIST'!B:M,12,0)*D120,0))</f>
        <v>0.96</v>
      </c>
      <c r="G120" s="20"/>
    </row>
    <row r="121" spans="1:7" ht="14.25">
      <c r="A121" s="86" t="s">
        <v>71</v>
      </c>
      <c r="B121" s="26" t="s">
        <v>78</v>
      </c>
      <c r="C121" s="26" t="s">
        <v>547</v>
      </c>
      <c r="D121" s="27">
        <v>3.7</v>
      </c>
      <c r="E121" s="81">
        <f>IF(C121="","",IFERROR(VLOOKUP(C121,'ITEM LIST'!B:M,12,0)*D121,0))</f>
        <v>2.9600000000000004</v>
      </c>
      <c r="G121" s="20"/>
    </row>
    <row r="122" spans="1:7" ht="14.25">
      <c r="A122" s="86" t="s">
        <v>71</v>
      </c>
      <c r="B122" s="26" t="s">
        <v>78</v>
      </c>
      <c r="C122" s="26" t="s">
        <v>9</v>
      </c>
      <c r="D122" s="27">
        <v>2.4500000000000002</v>
      </c>
      <c r="E122" s="81">
        <f>IF(C122="","",IFERROR(VLOOKUP(C122,'ITEM LIST'!B:M,12,0)*D122,0))</f>
        <v>0</v>
      </c>
      <c r="G122" s="20"/>
    </row>
    <row r="123" spans="1:7" ht="14.25">
      <c r="A123" s="86" t="s">
        <v>71</v>
      </c>
      <c r="B123" s="26" t="s">
        <v>78</v>
      </c>
      <c r="C123" s="26" t="s">
        <v>347</v>
      </c>
      <c r="D123" s="27">
        <v>2.6</v>
      </c>
      <c r="E123" s="81">
        <f>IF(C123="","",IFERROR(VLOOKUP(C123,'ITEM LIST'!B:M,12,0)*D123,0))</f>
        <v>1.7680000000000002</v>
      </c>
      <c r="G123" s="20"/>
    </row>
    <row r="124" spans="1:7" ht="14.25">
      <c r="A124" s="86" t="s">
        <v>71</v>
      </c>
      <c r="B124" s="26" t="s">
        <v>78</v>
      </c>
      <c r="C124" s="26" t="s">
        <v>12</v>
      </c>
      <c r="D124" s="27">
        <v>1.6</v>
      </c>
      <c r="E124" s="81">
        <f>IF(C124="","",IFERROR(VLOOKUP(C124,'ITEM LIST'!B:M,12,0)*D124,0))</f>
        <v>0.1552</v>
      </c>
      <c r="G124" s="20"/>
    </row>
    <row r="125" spans="1:7" ht="14.25">
      <c r="A125" s="86" t="s">
        <v>71</v>
      </c>
      <c r="B125" s="26" t="s">
        <v>78</v>
      </c>
      <c r="C125" s="26" t="s">
        <v>24</v>
      </c>
      <c r="D125" s="27">
        <v>30</v>
      </c>
      <c r="E125" s="81">
        <f>IF(C125="","",IFERROR(VLOOKUP(C125,'ITEM LIST'!B:M,12,0)*D125,0))</f>
        <v>2.1</v>
      </c>
      <c r="G125" s="20"/>
    </row>
    <row r="126" spans="1:7" ht="14.25">
      <c r="A126" s="86" t="s">
        <v>71</v>
      </c>
      <c r="B126" s="26" t="s">
        <v>78</v>
      </c>
      <c r="C126" s="26" t="s">
        <v>670</v>
      </c>
      <c r="D126" s="27">
        <v>40</v>
      </c>
      <c r="E126" s="81">
        <f>IF(C126="","",IFERROR(VLOOKUP(C126,'ITEM LIST'!B:M,12,0)*D126,0))</f>
        <v>4.8</v>
      </c>
      <c r="G126" s="20"/>
    </row>
    <row r="127" spans="1:7" ht="14.25">
      <c r="A127" s="86" t="s">
        <v>71</v>
      </c>
      <c r="B127" s="26" t="s">
        <v>78</v>
      </c>
      <c r="C127" s="26" t="s">
        <v>2</v>
      </c>
      <c r="D127" s="27">
        <v>0.2</v>
      </c>
      <c r="E127" s="81">
        <f>IF(C127="","",IFERROR(VLOOKUP(C127,'ITEM LIST'!B:M,12,0)*D127,0))</f>
        <v>9.6000000000000002E-2</v>
      </c>
      <c r="G127" s="20"/>
    </row>
    <row r="128" spans="1:7" ht="14.25">
      <c r="A128" s="86" t="s">
        <v>71</v>
      </c>
      <c r="B128" s="26" t="s">
        <v>78</v>
      </c>
      <c r="C128" s="26" t="s">
        <v>427</v>
      </c>
      <c r="D128" s="27">
        <v>80</v>
      </c>
      <c r="E128" s="81">
        <f>IF(C128="","",IFERROR(VLOOKUP(C128,'ITEM LIST'!B:M,12,0)*D128,0))</f>
        <v>3.84</v>
      </c>
      <c r="G128" s="20"/>
    </row>
    <row r="129" spans="1:7" ht="14.25">
      <c r="A129" s="86" t="s">
        <v>71</v>
      </c>
      <c r="B129" s="26" t="s">
        <v>78</v>
      </c>
      <c r="C129" s="26" t="s">
        <v>27</v>
      </c>
      <c r="D129" s="27">
        <v>5</v>
      </c>
      <c r="E129" s="81">
        <f>IF(C129="","",IFERROR(VLOOKUP(C129,'ITEM LIST'!B:M,12,0)*D129,0))</f>
        <v>0.4</v>
      </c>
      <c r="G129" s="20"/>
    </row>
    <row r="130" spans="1:7" ht="14.25">
      <c r="A130" s="86" t="s">
        <v>71</v>
      </c>
      <c r="B130" s="26" t="s">
        <v>78</v>
      </c>
      <c r="C130" s="26" t="s">
        <v>25</v>
      </c>
      <c r="D130" s="27">
        <v>3</v>
      </c>
      <c r="E130" s="81">
        <f>IF(C130="","",IFERROR(VLOOKUP(C130,'ITEM LIST'!B:M,12,0)*D130,0))</f>
        <v>8.4000000000000005E-2</v>
      </c>
      <c r="G130" s="20"/>
    </row>
    <row r="131" spans="1:7" ht="14.25">
      <c r="A131" s="86" t="s">
        <v>71</v>
      </c>
      <c r="B131" s="26" t="s">
        <v>78</v>
      </c>
      <c r="C131" s="26" t="s">
        <v>19</v>
      </c>
      <c r="D131" s="27">
        <v>7</v>
      </c>
      <c r="E131" s="81">
        <f>IF(C131="","",IFERROR(VLOOKUP(C131,'ITEM LIST'!B:M,12,0)*D131,0))</f>
        <v>0.112</v>
      </c>
      <c r="G131" s="20"/>
    </row>
    <row r="132" spans="1:7" ht="14.25">
      <c r="A132" s="86" t="s">
        <v>71</v>
      </c>
      <c r="B132" s="26" t="s">
        <v>78</v>
      </c>
      <c r="C132" s="26" t="s">
        <v>26</v>
      </c>
      <c r="D132" s="27">
        <v>6.25</v>
      </c>
      <c r="E132" s="81">
        <f>IF(C132="","",IFERROR(VLOOKUP(C132,'ITEM LIST'!B:M,12,0)*D132,0))</f>
        <v>0.73125000000000007</v>
      </c>
      <c r="G132" s="20"/>
    </row>
    <row r="133" spans="1:7" ht="14.25">
      <c r="A133" s="86"/>
      <c r="B133" s="26"/>
      <c r="C133" s="26" t="s">
        <v>371</v>
      </c>
      <c r="D133" s="28"/>
      <c r="E133" s="81" t="str">
        <f>IF(C133="","",IFERROR(VLOOKUP(C133,'ITEM LIST'!B:M,12,0)*D133,0))</f>
        <v/>
      </c>
      <c r="G133" s="20"/>
    </row>
    <row r="134" spans="1:7" ht="14.25">
      <c r="A134" s="86" t="s">
        <v>71</v>
      </c>
      <c r="B134" s="26" t="s">
        <v>79</v>
      </c>
      <c r="C134" s="26" t="s">
        <v>29</v>
      </c>
      <c r="D134" s="28">
        <v>2</v>
      </c>
      <c r="E134" s="81">
        <f>IF(C134="","",IFERROR(VLOOKUP(C134,'ITEM LIST'!B:M,12,0)*D134,0))</f>
        <v>10</v>
      </c>
      <c r="G134" s="20"/>
    </row>
    <row r="135" spans="1:7" ht="14.25">
      <c r="A135" s="86" t="s">
        <v>71</v>
      </c>
      <c r="B135" s="26" t="s">
        <v>79</v>
      </c>
      <c r="C135" s="26" t="s">
        <v>17</v>
      </c>
      <c r="D135" s="27">
        <v>250</v>
      </c>
      <c r="E135" s="81">
        <f>IF(C135="","",IFERROR(VLOOKUP(C135,'ITEM LIST'!B:M,12,0)*D135,0))</f>
        <v>67.5</v>
      </c>
      <c r="G135" s="20"/>
    </row>
    <row r="136" spans="1:7" ht="14.25">
      <c r="A136" s="86" t="s">
        <v>71</v>
      </c>
      <c r="B136" s="26" t="s">
        <v>79</v>
      </c>
      <c r="C136" s="26" t="s">
        <v>20</v>
      </c>
      <c r="D136" s="27">
        <v>20</v>
      </c>
      <c r="E136" s="81">
        <f>IF(C136="","",IFERROR(VLOOKUP(C136,'ITEM LIST'!B:M,12,0)*D136,0))</f>
        <v>0.38</v>
      </c>
      <c r="G136" s="20"/>
    </row>
    <row r="137" spans="1:7" ht="14.25">
      <c r="A137" s="86" t="s">
        <v>71</v>
      </c>
      <c r="B137" s="26" t="s">
        <v>79</v>
      </c>
      <c r="C137" s="26" t="s">
        <v>338</v>
      </c>
      <c r="D137" s="27">
        <v>3.85</v>
      </c>
      <c r="E137" s="81">
        <f>IF(C137="","",IFERROR(VLOOKUP(C137,'ITEM LIST'!B:M,12,0)*D137,0))</f>
        <v>0.30415000000000003</v>
      </c>
      <c r="G137" s="20"/>
    </row>
    <row r="138" spans="1:7" ht="14.25">
      <c r="A138" s="86" t="s">
        <v>71</v>
      </c>
      <c r="B138" s="26" t="s">
        <v>79</v>
      </c>
      <c r="C138" s="26" t="s">
        <v>332</v>
      </c>
      <c r="D138" s="27">
        <v>2.7</v>
      </c>
      <c r="E138" s="81">
        <f>IF(C138="","",IFERROR(VLOOKUP(C138,'ITEM LIST'!B:M,12,0)*D138,0))</f>
        <v>0.94499999999999995</v>
      </c>
      <c r="G138" s="20"/>
    </row>
    <row r="139" spans="1:7" ht="14.25">
      <c r="A139" s="86" t="s">
        <v>71</v>
      </c>
      <c r="B139" s="26" t="s">
        <v>79</v>
      </c>
      <c r="C139" s="26" t="s">
        <v>335</v>
      </c>
      <c r="D139" s="27">
        <v>3.2</v>
      </c>
      <c r="E139" s="81">
        <f>IF(C139="","",IFERROR(VLOOKUP(C139,'ITEM LIST'!B:M,12,0)*D139,0))</f>
        <v>0.96</v>
      </c>
      <c r="G139" s="20"/>
    </row>
    <row r="140" spans="1:7" ht="14.25">
      <c r="A140" s="86" t="s">
        <v>71</v>
      </c>
      <c r="B140" s="26" t="s">
        <v>79</v>
      </c>
      <c r="C140" s="26" t="s">
        <v>547</v>
      </c>
      <c r="D140" s="27">
        <v>3.7</v>
      </c>
      <c r="E140" s="81">
        <f>IF(C140="","",IFERROR(VLOOKUP(C140,'ITEM LIST'!B:M,12,0)*D140,0))</f>
        <v>2.9600000000000004</v>
      </c>
      <c r="G140" s="20"/>
    </row>
    <row r="141" spans="1:7" ht="14.25">
      <c r="A141" s="86" t="s">
        <v>71</v>
      </c>
      <c r="B141" s="26" t="s">
        <v>79</v>
      </c>
      <c r="C141" s="26" t="s">
        <v>9</v>
      </c>
      <c r="D141" s="27">
        <v>2.4500000000000002</v>
      </c>
      <c r="E141" s="81">
        <f>IF(C141="","",IFERROR(VLOOKUP(C141,'ITEM LIST'!B:M,12,0)*D141,0))</f>
        <v>0</v>
      </c>
      <c r="G141" s="20"/>
    </row>
    <row r="142" spans="1:7" ht="14.25">
      <c r="A142" s="86" t="s">
        <v>71</v>
      </c>
      <c r="B142" s="26" t="s">
        <v>79</v>
      </c>
      <c r="C142" s="26" t="s">
        <v>347</v>
      </c>
      <c r="D142" s="27">
        <v>2.6</v>
      </c>
      <c r="E142" s="81">
        <f>IF(C142="","",IFERROR(VLOOKUP(C142,'ITEM LIST'!B:M,12,0)*D142,0))</f>
        <v>1.7680000000000002</v>
      </c>
      <c r="G142" s="20"/>
    </row>
    <row r="143" spans="1:7" ht="14.25">
      <c r="A143" s="86" t="s">
        <v>71</v>
      </c>
      <c r="B143" s="26" t="s">
        <v>79</v>
      </c>
      <c r="C143" s="26" t="s">
        <v>12</v>
      </c>
      <c r="D143" s="27">
        <v>1.6</v>
      </c>
      <c r="E143" s="81">
        <f>IF(C143="","",IFERROR(VLOOKUP(C143,'ITEM LIST'!B:M,12,0)*D143,0))</f>
        <v>0.1552</v>
      </c>
      <c r="G143" s="20"/>
    </row>
    <row r="144" spans="1:7" ht="14.25">
      <c r="A144" s="86" t="s">
        <v>71</v>
      </c>
      <c r="B144" s="26" t="s">
        <v>79</v>
      </c>
      <c r="C144" s="26" t="s">
        <v>24</v>
      </c>
      <c r="D144" s="27">
        <v>30</v>
      </c>
      <c r="E144" s="81">
        <f>IF(C144="","",IFERROR(VLOOKUP(C144,'ITEM LIST'!B:M,12,0)*D144,0))</f>
        <v>2.1</v>
      </c>
      <c r="G144" s="20"/>
    </row>
    <row r="145" spans="1:7" ht="14.25">
      <c r="A145" s="86" t="s">
        <v>71</v>
      </c>
      <c r="B145" s="26" t="s">
        <v>79</v>
      </c>
      <c r="C145" s="26" t="s">
        <v>670</v>
      </c>
      <c r="D145" s="27">
        <v>40</v>
      </c>
      <c r="E145" s="81">
        <f>IF(C145="","",IFERROR(VLOOKUP(C145,'ITEM LIST'!B:M,12,0)*D145,0))</f>
        <v>4.8</v>
      </c>
      <c r="G145" s="20"/>
    </row>
    <row r="146" spans="1:7" ht="14.25">
      <c r="A146" s="86" t="s">
        <v>71</v>
      </c>
      <c r="B146" s="26" t="s">
        <v>79</v>
      </c>
      <c r="C146" s="26" t="s">
        <v>2</v>
      </c>
      <c r="D146" s="27">
        <v>0.2</v>
      </c>
      <c r="E146" s="81">
        <f>IF(C146="","",IFERROR(VLOOKUP(C146,'ITEM LIST'!B:M,12,0)*D146,0))</f>
        <v>9.6000000000000002E-2</v>
      </c>
      <c r="G146" s="20"/>
    </row>
    <row r="147" spans="1:7" ht="14.25">
      <c r="A147" s="86" t="s">
        <v>71</v>
      </c>
      <c r="B147" s="26" t="s">
        <v>79</v>
      </c>
      <c r="C147" s="26" t="s">
        <v>427</v>
      </c>
      <c r="D147" s="27">
        <v>80</v>
      </c>
      <c r="E147" s="81">
        <f>IF(C147="","",IFERROR(VLOOKUP(C147,'ITEM LIST'!B:M,12,0)*D147,0))</f>
        <v>3.84</v>
      </c>
      <c r="G147" s="20"/>
    </row>
    <row r="148" spans="1:7" ht="14.25">
      <c r="A148" s="86" t="s">
        <v>71</v>
      </c>
      <c r="B148" s="26" t="s">
        <v>79</v>
      </c>
      <c r="C148" s="26" t="s">
        <v>27</v>
      </c>
      <c r="D148" s="27">
        <v>5</v>
      </c>
      <c r="E148" s="81">
        <f>IF(C148="","",IFERROR(VLOOKUP(C148,'ITEM LIST'!B:M,12,0)*D148,0))</f>
        <v>0.4</v>
      </c>
      <c r="G148" s="20"/>
    </row>
    <row r="149" spans="1:7" ht="14.25">
      <c r="A149" s="86" t="s">
        <v>71</v>
      </c>
      <c r="B149" s="26" t="s">
        <v>79</v>
      </c>
      <c r="C149" s="26" t="s">
        <v>25</v>
      </c>
      <c r="D149" s="27">
        <v>3</v>
      </c>
      <c r="E149" s="81">
        <f>IF(C149="","",IFERROR(VLOOKUP(C149,'ITEM LIST'!B:M,12,0)*D149,0))</f>
        <v>8.4000000000000005E-2</v>
      </c>
      <c r="G149" s="20"/>
    </row>
    <row r="150" spans="1:7" ht="14.25">
      <c r="A150" s="86" t="s">
        <v>71</v>
      </c>
      <c r="B150" s="26" t="s">
        <v>79</v>
      </c>
      <c r="C150" s="26" t="s">
        <v>19</v>
      </c>
      <c r="D150" s="27">
        <v>7</v>
      </c>
      <c r="E150" s="81">
        <f>IF(C150="","",IFERROR(VLOOKUP(C150,'ITEM LIST'!B:M,12,0)*D150,0))</f>
        <v>0.112</v>
      </c>
      <c r="G150" s="20"/>
    </row>
    <row r="151" spans="1:7" ht="14.25">
      <c r="A151" s="86" t="s">
        <v>71</v>
      </c>
      <c r="B151" s="26" t="s">
        <v>79</v>
      </c>
      <c r="C151" s="26" t="s">
        <v>26</v>
      </c>
      <c r="D151" s="27">
        <v>6.25</v>
      </c>
      <c r="E151" s="81">
        <f>IF(C151="","",IFERROR(VLOOKUP(C151,'ITEM LIST'!B:M,12,0)*D151,0))</f>
        <v>0.73125000000000007</v>
      </c>
      <c r="G151" s="20"/>
    </row>
    <row r="152" spans="1:7" ht="14.25">
      <c r="A152" s="86"/>
      <c r="B152" s="26"/>
      <c r="C152" s="26" t="s">
        <v>371</v>
      </c>
      <c r="D152" s="28"/>
      <c r="E152" s="81" t="str">
        <f>IF(C152="","",IFERROR(VLOOKUP(C152,'ITEM LIST'!B:M,12,0)*D152,0))</f>
        <v/>
      </c>
      <c r="G152" s="20"/>
    </row>
    <row r="153" spans="1:7" ht="14.25">
      <c r="A153" s="86" t="s">
        <v>71</v>
      </c>
      <c r="B153" s="26" t="s">
        <v>80</v>
      </c>
      <c r="C153" s="26" t="s">
        <v>29</v>
      </c>
      <c r="D153" s="28">
        <v>2</v>
      </c>
      <c r="E153" s="81">
        <f>IF(C153="","",IFERROR(VLOOKUP(C153,'ITEM LIST'!B:M,12,0)*D153,0))</f>
        <v>10</v>
      </c>
      <c r="G153" s="20"/>
    </row>
    <row r="154" spans="1:7" ht="14.25">
      <c r="A154" s="86" t="s">
        <v>71</v>
      </c>
      <c r="B154" s="26" t="s">
        <v>80</v>
      </c>
      <c r="C154" s="26" t="s">
        <v>28</v>
      </c>
      <c r="D154" s="27">
        <v>220</v>
      </c>
      <c r="E154" s="81">
        <f>IF(C154="","",IFERROR(VLOOKUP(C154,'ITEM LIST'!B:M,12,0)*D154,0))</f>
        <v>35.200000000000003</v>
      </c>
      <c r="G154" s="20"/>
    </row>
    <row r="155" spans="1:7" ht="14.25">
      <c r="A155" s="86" t="s">
        <v>71</v>
      </c>
      <c r="B155" s="26" t="s">
        <v>80</v>
      </c>
      <c r="C155" s="26" t="s">
        <v>20</v>
      </c>
      <c r="D155" s="27">
        <v>20</v>
      </c>
      <c r="E155" s="81">
        <f>IF(C155="","",IFERROR(VLOOKUP(C155,'ITEM LIST'!B:M,12,0)*D155,0))</f>
        <v>0.38</v>
      </c>
      <c r="G155" s="20"/>
    </row>
    <row r="156" spans="1:7" ht="14.25">
      <c r="A156" s="86" t="s">
        <v>71</v>
      </c>
      <c r="B156" s="26" t="s">
        <v>80</v>
      </c>
      <c r="C156" s="26" t="s">
        <v>338</v>
      </c>
      <c r="D156" s="27">
        <v>3.85</v>
      </c>
      <c r="E156" s="81">
        <f>IF(C156="","",IFERROR(VLOOKUP(C156,'ITEM LIST'!B:M,12,0)*D156,0))</f>
        <v>0.30415000000000003</v>
      </c>
      <c r="G156" s="20"/>
    </row>
    <row r="157" spans="1:7" ht="14.25">
      <c r="A157" s="86" t="s">
        <v>71</v>
      </c>
      <c r="B157" s="26" t="s">
        <v>80</v>
      </c>
      <c r="C157" s="26" t="s">
        <v>332</v>
      </c>
      <c r="D157" s="27">
        <v>2.7</v>
      </c>
      <c r="E157" s="81">
        <f>IF(C157="","",IFERROR(VLOOKUP(C157,'ITEM LIST'!B:M,12,0)*D157,0))</f>
        <v>0.94499999999999995</v>
      </c>
      <c r="G157" s="20"/>
    </row>
    <row r="158" spans="1:7" ht="14.25">
      <c r="A158" s="86" t="s">
        <v>71</v>
      </c>
      <c r="B158" s="26" t="s">
        <v>80</v>
      </c>
      <c r="C158" s="26" t="s">
        <v>335</v>
      </c>
      <c r="D158" s="27">
        <v>3.2</v>
      </c>
      <c r="E158" s="81">
        <f>IF(C158="","",IFERROR(VLOOKUP(C158,'ITEM LIST'!B:M,12,0)*D158,0))</f>
        <v>0.96</v>
      </c>
      <c r="G158" s="20"/>
    </row>
    <row r="159" spans="1:7" ht="14.25">
      <c r="A159" s="86" t="s">
        <v>71</v>
      </c>
      <c r="B159" s="26" t="s">
        <v>80</v>
      </c>
      <c r="C159" s="26" t="s">
        <v>547</v>
      </c>
      <c r="D159" s="27">
        <v>3.7</v>
      </c>
      <c r="E159" s="81">
        <f>IF(C159="","",IFERROR(VLOOKUP(C159,'ITEM LIST'!B:M,12,0)*D159,0))</f>
        <v>2.9600000000000004</v>
      </c>
      <c r="G159" s="20"/>
    </row>
    <row r="160" spans="1:7" ht="14.25">
      <c r="A160" s="86" t="s">
        <v>71</v>
      </c>
      <c r="B160" s="26" t="s">
        <v>80</v>
      </c>
      <c r="C160" s="26" t="s">
        <v>9</v>
      </c>
      <c r="D160" s="27">
        <v>2.4500000000000002</v>
      </c>
      <c r="E160" s="81">
        <f>IF(C160="","",IFERROR(VLOOKUP(C160,'ITEM LIST'!B:M,12,0)*D160,0))</f>
        <v>0</v>
      </c>
      <c r="G160" s="20"/>
    </row>
    <row r="161" spans="1:7" ht="14.25">
      <c r="A161" s="86" t="s">
        <v>71</v>
      </c>
      <c r="B161" s="26" t="s">
        <v>80</v>
      </c>
      <c r="C161" s="26" t="s">
        <v>347</v>
      </c>
      <c r="D161" s="27">
        <v>2.6</v>
      </c>
      <c r="E161" s="81">
        <f>IF(C161="","",IFERROR(VLOOKUP(C161,'ITEM LIST'!B:M,12,0)*D161,0))</f>
        <v>1.7680000000000002</v>
      </c>
      <c r="G161" s="20"/>
    </row>
    <row r="162" spans="1:7" ht="14.25">
      <c r="A162" s="86" t="s">
        <v>71</v>
      </c>
      <c r="B162" s="26" t="s">
        <v>80</v>
      </c>
      <c r="C162" s="26" t="s">
        <v>12</v>
      </c>
      <c r="D162" s="27">
        <v>1.6</v>
      </c>
      <c r="E162" s="81">
        <f>IF(C162="","",IFERROR(VLOOKUP(C162,'ITEM LIST'!B:M,12,0)*D162,0))</f>
        <v>0.1552</v>
      </c>
      <c r="G162" s="20"/>
    </row>
    <row r="163" spans="1:7" ht="14.25">
      <c r="A163" s="86" t="s">
        <v>71</v>
      </c>
      <c r="B163" s="26" t="s">
        <v>80</v>
      </c>
      <c r="C163" s="26" t="s">
        <v>24</v>
      </c>
      <c r="D163" s="27">
        <v>30</v>
      </c>
      <c r="E163" s="81">
        <f>IF(C163="","",IFERROR(VLOOKUP(C163,'ITEM LIST'!B:M,12,0)*D163,0))</f>
        <v>2.1</v>
      </c>
      <c r="G163" s="20"/>
    </row>
    <row r="164" spans="1:7" ht="14.25">
      <c r="A164" s="86" t="s">
        <v>71</v>
      </c>
      <c r="B164" s="26" t="s">
        <v>80</v>
      </c>
      <c r="C164" s="26" t="s">
        <v>670</v>
      </c>
      <c r="D164" s="27">
        <v>40</v>
      </c>
      <c r="E164" s="81">
        <f>IF(C164="","",IFERROR(VLOOKUP(C164,'ITEM LIST'!B:M,12,0)*D164,0))</f>
        <v>4.8</v>
      </c>
      <c r="G164" s="20"/>
    </row>
    <row r="165" spans="1:7" ht="14.25">
      <c r="A165" s="86" t="s">
        <v>71</v>
      </c>
      <c r="B165" s="26" t="s">
        <v>80</v>
      </c>
      <c r="C165" s="26" t="s">
        <v>2</v>
      </c>
      <c r="D165" s="27">
        <v>0.2</v>
      </c>
      <c r="E165" s="81">
        <f>IF(C165="","",IFERROR(VLOOKUP(C165,'ITEM LIST'!B:M,12,0)*D165,0))</f>
        <v>9.6000000000000002E-2</v>
      </c>
      <c r="G165" s="20"/>
    </row>
    <row r="166" spans="1:7" ht="14.25">
      <c r="A166" s="86" t="s">
        <v>71</v>
      </c>
      <c r="B166" s="26" t="s">
        <v>80</v>
      </c>
      <c r="C166" s="26" t="s">
        <v>427</v>
      </c>
      <c r="D166" s="27">
        <v>80</v>
      </c>
      <c r="E166" s="81">
        <f>IF(C166="","",IFERROR(VLOOKUP(C166,'ITEM LIST'!B:M,12,0)*D166,0))</f>
        <v>3.84</v>
      </c>
      <c r="G166" s="20"/>
    </row>
    <row r="167" spans="1:7" ht="14.25">
      <c r="A167" s="86" t="s">
        <v>71</v>
      </c>
      <c r="B167" s="26" t="s">
        <v>80</v>
      </c>
      <c r="C167" s="26" t="s">
        <v>27</v>
      </c>
      <c r="D167" s="27">
        <v>5</v>
      </c>
      <c r="E167" s="81">
        <f>IF(C167="","",IFERROR(VLOOKUP(C167,'ITEM LIST'!B:M,12,0)*D167,0))</f>
        <v>0.4</v>
      </c>
      <c r="G167" s="20"/>
    </row>
    <row r="168" spans="1:7" ht="14.25">
      <c r="A168" s="86" t="s">
        <v>71</v>
      </c>
      <c r="B168" s="26" t="s">
        <v>80</v>
      </c>
      <c r="C168" s="26" t="s">
        <v>25</v>
      </c>
      <c r="D168" s="27">
        <v>3</v>
      </c>
      <c r="E168" s="81">
        <f>IF(C168="","",IFERROR(VLOOKUP(C168,'ITEM LIST'!B:M,12,0)*D168,0))</f>
        <v>8.4000000000000005E-2</v>
      </c>
      <c r="G168" s="20"/>
    </row>
    <row r="169" spans="1:7" ht="14.25">
      <c r="A169" s="86" t="s">
        <v>71</v>
      </c>
      <c r="B169" s="26" t="s">
        <v>80</v>
      </c>
      <c r="C169" s="26" t="s">
        <v>19</v>
      </c>
      <c r="D169" s="27">
        <v>7</v>
      </c>
      <c r="E169" s="81">
        <f>IF(C169="","",IFERROR(VLOOKUP(C169,'ITEM LIST'!B:M,12,0)*D169,0))</f>
        <v>0.112</v>
      </c>
      <c r="G169" s="20"/>
    </row>
    <row r="170" spans="1:7" ht="14.25">
      <c r="A170" s="86" t="s">
        <v>71</v>
      </c>
      <c r="B170" s="26" t="s">
        <v>80</v>
      </c>
      <c r="C170" s="26" t="s">
        <v>26</v>
      </c>
      <c r="D170" s="27">
        <v>6.25</v>
      </c>
      <c r="E170" s="81">
        <f>IF(C170="","",IFERROR(VLOOKUP(C170,'ITEM LIST'!B:M,12,0)*D170,0))</f>
        <v>0.73125000000000007</v>
      </c>
      <c r="G170" s="20"/>
    </row>
    <row r="171" spans="1:7" ht="14.25">
      <c r="A171" s="86"/>
      <c r="B171" s="26"/>
      <c r="C171" s="26"/>
      <c r="D171" s="27"/>
      <c r="E171" s="81" t="str">
        <f>IF(C171="","",IFERROR(VLOOKUP(C171,'ITEM LIST'!B:M,12,0)*D171,0))</f>
        <v/>
      </c>
      <c r="G171" s="20"/>
    </row>
    <row r="172" spans="1:7" ht="14.25">
      <c r="A172" s="137" t="s">
        <v>71</v>
      </c>
      <c r="B172" s="26" t="s">
        <v>81</v>
      </c>
      <c r="C172" s="135" t="s">
        <v>492</v>
      </c>
      <c r="D172" s="27">
        <v>210</v>
      </c>
      <c r="E172" s="81">
        <f>IF(C172="","",IFERROR(VLOOKUP(C172,'ITEM LIST'!B:M,12,0)*D172,0))</f>
        <v>16.8</v>
      </c>
      <c r="G172" s="20"/>
    </row>
    <row r="173" spans="1:7" ht="14.25">
      <c r="A173" s="137" t="s">
        <v>71</v>
      </c>
      <c r="B173" s="26" t="s">
        <v>81</v>
      </c>
      <c r="C173" s="26" t="s">
        <v>20</v>
      </c>
      <c r="D173" s="27">
        <v>20</v>
      </c>
      <c r="E173" s="81">
        <f>IF(C173="","",IFERROR(VLOOKUP(C173,'ITEM LIST'!B:M,12,0)*D173,0))</f>
        <v>0.38</v>
      </c>
      <c r="G173" s="20"/>
    </row>
    <row r="174" spans="1:7" ht="14.25">
      <c r="A174" s="137" t="s">
        <v>71</v>
      </c>
      <c r="B174" s="26" t="s">
        <v>81</v>
      </c>
      <c r="C174" s="26" t="s">
        <v>338</v>
      </c>
      <c r="D174" s="27">
        <v>3.85</v>
      </c>
      <c r="E174" s="81">
        <f>IF(C174="","",IFERROR(VLOOKUP(C174,'ITEM LIST'!B:M,12,0)*D174,0))</f>
        <v>0.30415000000000003</v>
      </c>
      <c r="G174" s="20"/>
    </row>
    <row r="175" spans="1:7" ht="14.25">
      <c r="A175" s="137" t="s">
        <v>71</v>
      </c>
      <c r="B175" s="26" t="s">
        <v>81</v>
      </c>
      <c r="C175" s="26" t="s">
        <v>332</v>
      </c>
      <c r="D175" s="27">
        <v>2.7</v>
      </c>
      <c r="E175" s="81">
        <f>IF(C175="","",IFERROR(VLOOKUP(C175,'ITEM LIST'!B:M,12,0)*D175,0))</f>
        <v>0.94499999999999995</v>
      </c>
      <c r="G175" s="20"/>
    </row>
    <row r="176" spans="1:7" ht="14.25">
      <c r="A176" s="137" t="s">
        <v>71</v>
      </c>
      <c r="B176" s="26" t="s">
        <v>81</v>
      </c>
      <c r="C176" s="26" t="s">
        <v>335</v>
      </c>
      <c r="D176" s="27">
        <v>3.2</v>
      </c>
      <c r="E176" s="81">
        <f>IF(C176="","",IFERROR(VLOOKUP(C176,'ITEM LIST'!B:M,12,0)*D176,0))</f>
        <v>0.96</v>
      </c>
      <c r="G176" s="20"/>
    </row>
    <row r="177" spans="1:7" ht="14.25">
      <c r="A177" s="137" t="s">
        <v>71</v>
      </c>
      <c r="B177" s="26" t="s">
        <v>81</v>
      </c>
      <c r="C177" s="26" t="s">
        <v>547</v>
      </c>
      <c r="D177" s="27">
        <v>3.7</v>
      </c>
      <c r="E177" s="81">
        <f>IF(C177="","",IFERROR(VLOOKUP(C177,'ITEM LIST'!B:M,12,0)*D177,0))</f>
        <v>2.9600000000000004</v>
      </c>
      <c r="G177" s="20"/>
    </row>
    <row r="178" spans="1:7" ht="14.25">
      <c r="A178" s="137" t="s">
        <v>71</v>
      </c>
      <c r="B178" s="26" t="s">
        <v>81</v>
      </c>
      <c r="C178" s="26" t="s">
        <v>9</v>
      </c>
      <c r="D178" s="27">
        <v>2.4500000000000002</v>
      </c>
      <c r="E178" s="81">
        <f>IF(C178="","",IFERROR(VLOOKUP(C178,'ITEM LIST'!B:M,12,0)*D178,0))</f>
        <v>0</v>
      </c>
      <c r="G178" s="20"/>
    </row>
    <row r="179" spans="1:7" ht="14.25">
      <c r="A179" s="86" t="s">
        <v>71</v>
      </c>
      <c r="B179" s="26" t="s">
        <v>81</v>
      </c>
      <c r="C179" s="26" t="s">
        <v>347</v>
      </c>
      <c r="D179" s="27">
        <v>2.6</v>
      </c>
      <c r="E179" s="81">
        <f>IF(C179="","",IFERROR(VLOOKUP(C179,'ITEM LIST'!B:M,12,0)*D179,0))</f>
        <v>1.7680000000000002</v>
      </c>
      <c r="G179" s="20"/>
    </row>
    <row r="180" spans="1:7" ht="14.25">
      <c r="A180" s="86" t="s">
        <v>71</v>
      </c>
      <c r="B180" s="26" t="s">
        <v>81</v>
      </c>
      <c r="C180" s="26" t="s">
        <v>12</v>
      </c>
      <c r="D180" s="27">
        <v>1.6</v>
      </c>
      <c r="E180" s="81">
        <f>IF(C180="","",IFERROR(VLOOKUP(C180,'ITEM LIST'!B:M,12,0)*D180,0))</f>
        <v>0.1552</v>
      </c>
      <c r="G180" s="20"/>
    </row>
    <row r="181" spans="1:7" ht="14.25">
      <c r="A181" s="86" t="s">
        <v>71</v>
      </c>
      <c r="B181" s="26" t="s">
        <v>81</v>
      </c>
      <c r="C181" s="26" t="s">
        <v>24</v>
      </c>
      <c r="D181" s="27">
        <v>30</v>
      </c>
      <c r="E181" s="81">
        <f>IF(C181="","",IFERROR(VLOOKUP(C181,'ITEM LIST'!B:M,12,0)*D181,0))</f>
        <v>2.1</v>
      </c>
      <c r="G181" s="20"/>
    </row>
    <row r="182" spans="1:7" ht="14.25">
      <c r="A182" s="86" t="s">
        <v>71</v>
      </c>
      <c r="B182" s="26" t="s">
        <v>81</v>
      </c>
      <c r="C182" s="26" t="s">
        <v>670</v>
      </c>
      <c r="D182" s="27">
        <v>40</v>
      </c>
      <c r="E182" s="81">
        <f>IF(C182="","",IFERROR(VLOOKUP(C182,'ITEM LIST'!B:M,12,0)*D182,0))</f>
        <v>4.8</v>
      </c>
      <c r="G182" s="20"/>
    </row>
    <row r="183" spans="1:7" ht="14.25">
      <c r="A183" s="86" t="s">
        <v>71</v>
      </c>
      <c r="B183" s="26" t="s">
        <v>81</v>
      </c>
      <c r="C183" s="26" t="s">
        <v>2</v>
      </c>
      <c r="D183" s="27">
        <v>0.2</v>
      </c>
      <c r="E183" s="81">
        <f>IF(C183="","",IFERROR(VLOOKUP(C183,'ITEM LIST'!B:M,12,0)*D183,0))</f>
        <v>9.6000000000000002E-2</v>
      </c>
      <c r="G183" s="20"/>
    </row>
    <row r="184" spans="1:7" ht="14.25">
      <c r="A184" s="86" t="s">
        <v>71</v>
      </c>
      <c r="B184" s="26" t="s">
        <v>81</v>
      </c>
      <c r="C184" s="26" t="s">
        <v>427</v>
      </c>
      <c r="D184" s="27">
        <v>80</v>
      </c>
      <c r="E184" s="81">
        <f>IF(C184="","",IFERROR(VLOOKUP(C184,'ITEM LIST'!B:M,12,0)*D184,0))</f>
        <v>3.84</v>
      </c>
      <c r="G184" s="20"/>
    </row>
    <row r="185" spans="1:7" ht="14.25">
      <c r="A185" s="86" t="s">
        <v>71</v>
      </c>
      <c r="B185" s="26" t="s">
        <v>81</v>
      </c>
      <c r="C185" s="26" t="s">
        <v>27</v>
      </c>
      <c r="D185" s="27">
        <v>5</v>
      </c>
      <c r="E185" s="81">
        <f>IF(C185="","",IFERROR(VLOOKUP(C185,'ITEM LIST'!B:M,12,0)*D185,0))</f>
        <v>0.4</v>
      </c>
      <c r="G185" s="20"/>
    </row>
    <row r="186" spans="1:7" ht="14.25">
      <c r="A186" s="86" t="s">
        <v>71</v>
      </c>
      <c r="B186" s="26" t="s">
        <v>81</v>
      </c>
      <c r="C186" s="26" t="s">
        <v>25</v>
      </c>
      <c r="D186" s="27">
        <v>3</v>
      </c>
      <c r="E186" s="81">
        <f>IF(C186="","",IFERROR(VLOOKUP(C186,'ITEM LIST'!B:M,12,0)*D186,0))</f>
        <v>8.4000000000000005E-2</v>
      </c>
      <c r="G186" s="20"/>
    </row>
    <row r="187" spans="1:7" ht="14.25">
      <c r="A187" s="86" t="s">
        <v>71</v>
      </c>
      <c r="B187" s="26" t="s">
        <v>81</v>
      </c>
      <c r="C187" s="26" t="s">
        <v>19</v>
      </c>
      <c r="D187" s="27">
        <v>7</v>
      </c>
      <c r="E187" s="81">
        <f>IF(C187="","",IFERROR(VLOOKUP(C187,'ITEM LIST'!B:M,12,0)*D187,0))</f>
        <v>0.112</v>
      </c>
      <c r="G187" s="20"/>
    </row>
    <row r="188" spans="1:7" ht="14.25">
      <c r="A188" s="86" t="s">
        <v>71</v>
      </c>
      <c r="B188" s="26" t="s">
        <v>81</v>
      </c>
      <c r="C188" s="26" t="s">
        <v>26</v>
      </c>
      <c r="D188" s="27">
        <v>6.25</v>
      </c>
      <c r="E188" s="81">
        <f>IF(C188="","",IFERROR(VLOOKUP(C188,'ITEM LIST'!B:M,12,0)*D188,0))</f>
        <v>0.73125000000000007</v>
      </c>
      <c r="G188" s="20"/>
    </row>
    <row r="189" spans="1:7" ht="14.25">
      <c r="A189" s="91" t="s">
        <v>71</v>
      </c>
      <c r="B189" s="48" t="s">
        <v>81</v>
      </c>
      <c r="C189" s="48" t="s">
        <v>29</v>
      </c>
      <c r="D189" s="49">
        <v>2</v>
      </c>
      <c r="E189" s="85">
        <f>IF(C189="","",IFERROR(VLOOKUP(C189,'ITEM LIST'!B:M,12,0)*D189,0))</f>
        <v>10</v>
      </c>
      <c r="G189" s="20"/>
    </row>
    <row r="190" spans="1:7" ht="14.25">
      <c r="A190" s="86"/>
      <c r="B190" s="26"/>
      <c r="C190" s="26"/>
      <c r="D190" s="27"/>
      <c r="E190" s="81" t="str">
        <f>IF(C190="","",IFERROR(VLOOKUP(C190,'ITEM LIST'!B:M,12,0)*D190,0))</f>
        <v/>
      </c>
      <c r="G190" s="20"/>
    </row>
    <row r="191" spans="1:7" ht="14.25">
      <c r="A191" s="48" t="s">
        <v>71</v>
      </c>
      <c r="B191" s="48" t="s">
        <v>559</v>
      </c>
      <c r="C191" s="151" t="s">
        <v>74</v>
      </c>
      <c r="D191" s="27">
        <v>144</v>
      </c>
      <c r="E191" s="81">
        <f>IF(C191="","",IFERROR(VLOOKUP(C191,'ITEM LIST'!B:M,12,0)*D191,0))</f>
        <v>18.951183360000005</v>
      </c>
      <c r="G191" s="20"/>
    </row>
    <row r="192" spans="1:7" ht="14.25">
      <c r="A192" s="48" t="s">
        <v>71</v>
      </c>
      <c r="B192" s="48" t="s">
        <v>559</v>
      </c>
      <c r="C192" s="151" t="s">
        <v>73</v>
      </c>
      <c r="D192" s="27">
        <v>175</v>
      </c>
      <c r="E192" s="81">
        <f>IF(C192="","",IFERROR(VLOOKUP(C192,'ITEM LIST'!B:M,12,0)*D192,0))</f>
        <v>15.302951999999998</v>
      </c>
      <c r="G192" s="20"/>
    </row>
    <row r="193" spans="1:7" ht="14.25">
      <c r="A193" s="48" t="s">
        <v>71</v>
      </c>
      <c r="B193" s="48" t="s">
        <v>559</v>
      </c>
      <c r="C193" s="48" t="s">
        <v>72</v>
      </c>
      <c r="D193" s="27">
        <v>120</v>
      </c>
      <c r="E193" s="81">
        <f>IF(C193="","",IFERROR(VLOOKUP(C193,'ITEM LIST'!B:M,12,0)*D193,0))</f>
        <v>10.494671999999998</v>
      </c>
      <c r="G193" s="20"/>
    </row>
    <row r="194" spans="1:7" ht="14.25">
      <c r="A194" s="48" t="s">
        <v>71</v>
      </c>
      <c r="B194" s="48" t="s">
        <v>559</v>
      </c>
      <c r="C194" s="151" t="s">
        <v>339</v>
      </c>
      <c r="D194" s="27">
        <v>1</v>
      </c>
      <c r="E194" s="81">
        <f>IF(C194="","",IFERROR(VLOOKUP(C194,'ITEM LIST'!B:M,12,0)*D194,0))</f>
        <v>0.67</v>
      </c>
      <c r="G194" s="20"/>
    </row>
    <row r="195" spans="1:7" ht="14.25">
      <c r="A195" s="48" t="s">
        <v>71</v>
      </c>
      <c r="B195" s="48" t="s">
        <v>559</v>
      </c>
      <c r="C195" s="151" t="s">
        <v>18</v>
      </c>
      <c r="D195" s="27">
        <v>1</v>
      </c>
      <c r="E195" s="81">
        <f>IF(C195="","",IFERROR(VLOOKUP(C195,'ITEM LIST'!B:M,12,0)*D195,0))</f>
        <v>0.03</v>
      </c>
      <c r="G195" s="20"/>
    </row>
    <row r="196" spans="1:7" ht="14.25">
      <c r="A196" s="48" t="s">
        <v>71</v>
      </c>
      <c r="B196" s="48" t="s">
        <v>559</v>
      </c>
      <c r="C196" s="48" t="s">
        <v>149</v>
      </c>
      <c r="D196" s="27">
        <v>5</v>
      </c>
      <c r="E196" s="81">
        <f>IF(C196="","",IFERROR(VLOOKUP(C196,'ITEM LIST'!B:M,12,0)*D196,0))</f>
        <v>0.65</v>
      </c>
      <c r="G196" s="20"/>
    </row>
    <row r="197" spans="1:7" ht="14.25">
      <c r="A197" s="48" t="s">
        <v>71</v>
      </c>
      <c r="B197" s="48" t="s">
        <v>559</v>
      </c>
      <c r="C197" s="48" t="s">
        <v>76</v>
      </c>
      <c r="D197" s="27">
        <v>175</v>
      </c>
      <c r="E197" s="81">
        <f>IF(C197="","",IFERROR(VLOOKUP(C197,'ITEM LIST'!B:M,12,0)*D197,0))</f>
        <v>36.226790250000008</v>
      </c>
      <c r="G197" s="20"/>
    </row>
    <row r="198" spans="1:7" ht="14.25">
      <c r="A198" s="148"/>
      <c r="B198" s="149"/>
      <c r="C198" s="149"/>
      <c r="D198" s="150"/>
      <c r="E198" s="81"/>
      <c r="G198" s="20"/>
    </row>
    <row r="199" spans="1:7" ht="14.25">
      <c r="A199" s="148"/>
      <c r="B199" s="149"/>
      <c r="C199" s="149"/>
      <c r="D199" s="150"/>
      <c r="E199" s="81"/>
      <c r="G199" s="20"/>
    </row>
    <row r="200" spans="1:7" ht="14.25">
      <c r="A200" s="148"/>
      <c r="B200" s="149"/>
      <c r="C200" s="149"/>
      <c r="D200" s="150"/>
      <c r="E200" s="81" t="str">
        <f>IF(C200="","",IFERROR(VLOOKUP(C200,'ITEM LIST'!B:M,12,0)*D200,0))</f>
        <v/>
      </c>
    </row>
    <row r="201" spans="1:7" ht="12.75">
      <c r="A201" s="1"/>
      <c r="B201" s="1"/>
      <c r="C201" s="4"/>
    </row>
    <row r="202" spans="1:7" ht="12.75">
      <c r="B202" s="1"/>
      <c r="C202" s="1"/>
    </row>
    <row r="203" spans="1:7" ht="12.75">
      <c r="B203" s="1"/>
      <c r="C203" s="4"/>
    </row>
    <row r="204" spans="1:7" ht="12.75">
      <c r="B204" s="1"/>
      <c r="C204" s="4"/>
    </row>
    <row r="205" spans="1:7" ht="12.75">
      <c r="B205" s="1"/>
      <c r="C205" s="4"/>
    </row>
    <row r="206" spans="1:7" ht="12.75">
      <c r="B206" s="1"/>
      <c r="C206" s="4"/>
    </row>
    <row r="207" spans="1:7" ht="12.75">
      <c r="B207" s="1"/>
      <c r="C207" s="4"/>
    </row>
    <row r="208" spans="1:7" ht="12.75">
      <c r="B208" s="1"/>
      <c r="C208" s="4"/>
    </row>
    <row r="209" spans="1:3" ht="12.75">
      <c r="A209" s="1"/>
      <c r="B209" s="1"/>
      <c r="C209" s="4"/>
    </row>
    <row r="210" spans="1:3" ht="12.75">
      <c r="A210" s="1"/>
      <c r="B210" s="1"/>
      <c r="C210" s="4"/>
    </row>
    <row r="211" spans="1:3" ht="12.75">
      <c r="A211" s="1"/>
      <c r="B211" s="1"/>
      <c r="C211" s="4"/>
    </row>
    <row r="212" spans="1:3" ht="12.75">
      <c r="A212" s="1"/>
      <c r="B212" s="1"/>
      <c r="C212" s="4"/>
    </row>
    <row r="213" spans="1:3" ht="12.75">
      <c r="A213" s="1"/>
      <c r="B213" s="1"/>
      <c r="C213" s="4"/>
    </row>
    <row r="214" spans="1:3" ht="12.75">
      <c r="A214" s="1"/>
      <c r="B214" s="1"/>
      <c r="C214" s="4"/>
    </row>
    <row r="215" spans="1:3" ht="12.75">
      <c r="A215" s="1"/>
      <c r="B215" s="1"/>
      <c r="C215" s="4"/>
    </row>
    <row r="216" spans="1:3" ht="12.75">
      <c r="A216" s="1"/>
      <c r="B216" s="1"/>
      <c r="C216" s="4"/>
    </row>
    <row r="217" spans="1:3" ht="12.75">
      <c r="A217" s="1"/>
      <c r="B217" s="1"/>
      <c r="C217" s="4"/>
    </row>
    <row r="218" spans="1:3" ht="12.75">
      <c r="A218" s="1"/>
      <c r="B218" s="1"/>
      <c r="C218" s="4"/>
    </row>
    <row r="219" spans="1:3" ht="12.75">
      <c r="A219" s="1"/>
      <c r="B219" s="1"/>
      <c r="C219" s="4"/>
    </row>
    <row r="220" spans="1:3" ht="12.75">
      <c r="A220" s="1"/>
      <c r="B220" s="1"/>
      <c r="C220" s="4"/>
    </row>
    <row r="221" spans="1:3" ht="12.75">
      <c r="A221" s="1"/>
      <c r="B221" s="1"/>
      <c r="C221" s="4"/>
    </row>
    <row r="222" spans="1:3" ht="12.75">
      <c r="A222" s="1"/>
      <c r="B222" s="1"/>
      <c r="C222" s="4"/>
    </row>
    <row r="223" spans="1:3" ht="12.75">
      <c r="A223" s="1"/>
      <c r="B223" s="1"/>
      <c r="C223" s="4"/>
    </row>
    <row r="224" spans="1:3" ht="12.75">
      <c r="A224" s="1"/>
      <c r="B224" s="1"/>
      <c r="C224" s="4"/>
    </row>
    <row r="225" spans="3:3" ht="12.75">
      <c r="C225" s="9"/>
    </row>
    <row r="226" spans="3:3" ht="12.75">
      <c r="C226" s="9"/>
    </row>
    <row r="227" spans="3:3" ht="12.75">
      <c r="C227" s="9"/>
    </row>
    <row r="228" spans="3:3" ht="12.75">
      <c r="C228" s="9"/>
    </row>
    <row r="229" spans="3:3" ht="12.75">
      <c r="C229" s="9"/>
    </row>
    <row r="230" spans="3:3" ht="12.75">
      <c r="C230" s="9"/>
    </row>
    <row r="231" spans="3:3" ht="12.75">
      <c r="C231" s="9"/>
    </row>
    <row r="232" spans="3:3" ht="12.75">
      <c r="C232" s="9"/>
    </row>
    <row r="233" spans="3:3" ht="12.75">
      <c r="C233" s="9"/>
    </row>
    <row r="234" spans="3:3" ht="12.75">
      <c r="C234" s="9"/>
    </row>
    <row r="235" spans="3:3" ht="12.75">
      <c r="C235" s="9"/>
    </row>
    <row r="236" spans="3:3" ht="12.75">
      <c r="C236" s="9"/>
    </row>
    <row r="237" spans="3:3" ht="12.75">
      <c r="C237" s="9"/>
    </row>
    <row r="238" spans="3:3" ht="12.75">
      <c r="C238" s="9"/>
    </row>
    <row r="239" spans="3:3" ht="12.75">
      <c r="C239" s="9"/>
    </row>
    <row r="240" spans="3:3" ht="12.75">
      <c r="C240" s="9"/>
    </row>
    <row r="241" spans="3:3" ht="12.75">
      <c r="C241" s="9"/>
    </row>
    <row r="242" spans="3:3" ht="12.75">
      <c r="C242" s="9"/>
    </row>
    <row r="243" spans="3:3" ht="12.75">
      <c r="C243" s="9"/>
    </row>
    <row r="244" spans="3:3" ht="12.75">
      <c r="C244" s="9"/>
    </row>
    <row r="245" spans="3:3" ht="12.75">
      <c r="C245" s="9"/>
    </row>
    <row r="246" spans="3:3" ht="12.75">
      <c r="C246" s="9"/>
    </row>
    <row r="247" spans="3:3" ht="12.75">
      <c r="C247" s="9"/>
    </row>
    <row r="248" spans="3:3" ht="12.75">
      <c r="C248" s="9"/>
    </row>
    <row r="249" spans="3:3" ht="12.75">
      <c r="C249" s="9"/>
    </row>
    <row r="250" spans="3:3" ht="12.75">
      <c r="C250" s="9"/>
    </row>
    <row r="251" spans="3:3" ht="12.75">
      <c r="C251" s="9"/>
    </row>
    <row r="252" spans="3:3" ht="12.75">
      <c r="C252" s="9"/>
    </row>
    <row r="253" spans="3:3" ht="12.75">
      <c r="C253" s="9"/>
    </row>
    <row r="254" spans="3:3" ht="12.75">
      <c r="C254" s="9"/>
    </row>
    <row r="255" spans="3:3" ht="12.75">
      <c r="C255" s="9"/>
    </row>
    <row r="256" spans="3:3" ht="12.75">
      <c r="C256" s="9"/>
    </row>
    <row r="257" spans="3:3" ht="12.75">
      <c r="C257" s="9"/>
    </row>
    <row r="258" spans="3:3" ht="12.75">
      <c r="C258" s="9"/>
    </row>
    <row r="259" spans="3:3" ht="12.75">
      <c r="C259" s="9"/>
    </row>
    <row r="260" spans="3:3" ht="12.75">
      <c r="C260" s="9"/>
    </row>
    <row r="261" spans="3:3" ht="12.75">
      <c r="C261" s="9"/>
    </row>
    <row r="262" spans="3:3" ht="12.75">
      <c r="C262" s="9"/>
    </row>
    <row r="263" spans="3:3" ht="12.75">
      <c r="C263" s="9"/>
    </row>
    <row r="264" spans="3:3" ht="12.75">
      <c r="C264" s="9"/>
    </row>
    <row r="265" spans="3:3" ht="12.75">
      <c r="C265" s="9"/>
    </row>
    <row r="266" spans="3:3" ht="12.75">
      <c r="C266" s="9"/>
    </row>
    <row r="267" spans="3:3" ht="12.75">
      <c r="C267" s="9"/>
    </row>
    <row r="268" spans="3:3" ht="12.75">
      <c r="C268" s="9"/>
    </row>
    <row r="269" spans="3:3" ht="12.75">
      <c r="C269" s="9"/>
    </row>
    <row r="270" spans="3:3" ht="12.75">
      <c r="C270" s="9"/>
    </row>
    <row r="271" spans="3:3" ht="12.75">
      <c r="C271" s="9"/>
    </row>
    <row r="272" spans="3:3" ht="12.75">
      <c r="C272" s="9"/>
    </row>
    <row r="273" spans="3:3" ht="12.75">
      <c r="C273" s="9"/>
    </row>
    <row r="274" spans="3:3" ht="12.75">
      <c r="C274" s="9"/>
    </row>
    <row r="275" spans="3:3" ht="12.75">
      <c r="C275" s="9"/>
    </row>
    <row r="276" spans="3:3" ht="12.75">
      <c r="C276" s="9"/>
    </row>
    <row r="277" spans="3:3" ht="12.75">
      <c r="C277" s="9"/>
    </row>
    <row r="278" spans="3:3" ht="12.75">
      <c r="C278" s="9"/>
    </row>
    <row r="279" spans="3:3" ht="12.75">
      <c r="C279" s="9"/>
    </row>
    <row r="280" spans="3:3" ht="12.75">
      <c r="C280" s="9"/>
    </row>
    <row r="281" spans="3:3" ht="12.75">
      <c r="C281" s="9"/>
    </row>
    <row r="282" spans="3:3" ht="12.75">
      <c r="C282" s="9"/>
    </row>
    <row r="283" spans="3:3" ht="12.75">
      <c r="C283" s="9"/>
    </row>
    <row r="284" spans="3:3" ht="12.75">
      <c r="C284" s="9"/>
    </row>
    <row r="285" spans="3:3" ht="12.75">
      <c r="C285" s="9"/>
    </row>
    <row r="286" spans="3:3" ht="12.75">
      <c r="C286" s="9"/>
    </row>
    <row r="287" spans="3:3" ht="12.75">
      <c r="C287" s="9"/>
    </row>
    <row r="288" spans="3:3" ht="12.75">
      <c r="C288" s="9"/>
    </row>
    <row r="289" spans="3:3" ht="12.75">
      <c r="C289" s="9"/>
    </row>
    <row r="290" spans="3:3" ht="12.75">
      <c r="C290" s="9"/>
    </row>
    <row r="291" spans="3:3" ht="12.75">
      <c r="C291" s="9"/>
    </row>
    <row r="292" spans="3:3" ht="12.75">
      <c r="C292" s="9"/>
    </row>
    <row r="293" spans="3:3" ht="12.75">
      <c r="C293" s="9"/>
    </row>
    <row r="294" spans="3:3" ht="12.75">
      <c r="C294" s="9"/>
    </row>
    <row r="295" spans="3:3" ht="12.75">
      <c r="C295" s="9"/>
    </row>
    <row r="296" spans="3:3" ht="12.75">
      <c r="C296" s="9"/>
    </row>
    <row r="297" spans="3:3" ht="12.75">
      <c r="C297" s="9"/>
    </row>
    <row r="298" spans="3:3" ht="12.75">
      <c r="C298" s="9"/>
    </row>
    <row r="299" spans="3:3" ht="12.75">
      <c r="C299" s="9"/>
    </row>
    <row r="300" spans="3:3" ht="12.75">
      <c r="C300" s="9"/>
    </row>
    <row r="301" spans="3:3" ht="12.75">
      <c r="C301" s="9"/>
    </row>
    <row r="302" spans="3:3" ht="12.75">
      <c r="C302" s="9"/>
    </row>
    <row r="303" spans="3:3" ht="12.75">
      <c r="C303" s="9"/>
    </row>
    <row r="304" spans="3:3" ht="12.75">
      <c r="C304" s="9"/>
    </row>
    <row r="305" spans="3:3" ht="12.75">
      <c r="C305" s="9"/>
    </row>
    <row r="306" spans="3:3" ht="12.75">
      <c r="C306" s="9"/>
    </row>
    <row r="307" spans="3:3" ht="12.75">
      <c r="C307" s="9"/>
    </row>
    <row r="308" spans="3:3" ht="12.75">
      <c r="C308" s="9"/>
    </row>
    <row r="309" spans="3:3" ht="12.75">
      <c r="C309" s="9"/>
    </row>
    <row r="310" spans="3:3" ht="12.75">
      <c r="C310" s="9"/>
    </row>
    <row r="311" spans="3:3" ht="12.75">
      <c r="C311" s="9"/>
    </row>
    <row r="312" spans="3:3" ht="12.75">
      <c r="C312" s="9"/>
    </row>
    <row r="313" spans="3:3" ht="12.75">
      <c r="C313" s="9"/>
    </row>
    <row r="314" spans="3:3" ht="12.75">
      <c r="C314" s="9"/>
    </row>
    <row r="315" spans="3:3" ht="12.75">
      <c r="C315" s="9"/>
    </row>
    <row r="316" spans="3:3" ht="12.75">
      <c r="C316" s="9"/>
    </row>
    <row r="317" spans="3:3" ht="12.75">
      <c r="C317" s="9"/>
    </row>
    <row r="318" spans="3:3" ht="12.75">
      <c r="C318" s="9"/>
    </row>
    <row r="319" spans="3:3" ht="12.75">
      <c r="C319" s="9"/>
    </row>
    <row r="320" spans="3:3" ht="12.75">
      <c r="C320" s="9"/>
    </row>
    <row r="321" spans="3:3" ht="12.75">
      <c r="C321" s="9"/>
    </row>
    <row r="322" spans="3:3" ht="12.75">
      <c r="C322" s="9"/>
    </row>
    <row r="323" spans="3:3" ht="12.75">
      <c r="C323" s="9"/>
    </row>
    <row r="324" spans="3:3" ht="12.75">
      <c r="C324" s="9"/>
    </row>
    <row r="325" spans="3:3" ht="12.75">
      <c r="C325" s="9"/>
    </row>
    <row r="326" spans="3:3" ht="12.75">
      <c r="C326" s="9"/>
    </row>
    <row r="327" spans="3:3" ht="12.75">
      <c r="C327" s="9"/>
    </row>
    <row r="328" spans="3:3" ht="12.75">
      <c r="C328" s="9"/>
    </row>
    <row r="329" spans="3:3" ht="12.75">
      <c r="C329" s="9"/>
    </row>
    <row r="330" spans="3:3" ht="12.75">
      <c r="C330" s="9"/>
    </row>
    <row r="331" spans="3:3" ht="12.75">
      <c r="C331" s="9"/>
    </row>
    <row r="332" spans="3:3" ht="12.75">
      <c r="C332" s="9"/>
    </row>
    <row r="333" spans="3:3" ht="12.75">
      <c r="C333" s="9"/>
    </row>
    <row r="334" spans="3:3" ht="12.75">
      <c r="C334" s="9"/>
    </row>
    <row r="335" spans="3:3" ht="12.75">
      <c r="C335" s="9"/>
    </row>
    <row r="336" spans="3:3" ht="12.75">
      <c r="C336" s="9"/>
    </row>
    <row r="337" spans="3:3" ht="12.75">
      <c r="C337" s="9"/>
    </row>
    <row r="338" spans="3:3" ht="12.75">
      <c r="C338" s="9"/>
    </row>
    <row r="339" spans="3:3" ht="12.75">
      <c r="C339" s="9"/>
    </row>
    <row r="340" spans="3:3" ht="12.75">
      <c r="C340" s="9"/>
    </row>
    <row r="341" spans="3:3" ht="12.75">
      <c r="C341" s="9"/>
    </row>
    <row r="342" spans="3:3" ht="12.75">
      <c r="C342" s="9"/>
    </row>
    <row r="343" spans="3:3" ht="12.75">
      <c r="C343" s="9"/>
    </row>
    <row r="344" spans="3:3" ht="12.75">
      <c r="C344" s="9"/>
    </row>
    <row r="345" spans="3:3" ht="12.75">
      <c r="C345" s="9"/>
    </row>
    <row r="346" spans="3:3" ht="12.75">
      <c r="C346" s="9"/>
    </row>
    <row r="347" spans="3:3" ht="12.75">
      <c r="C347" s="9"/>
    </row>
    <row r="348" spans="3:3" ht="12.75">
      <c r="C348" s="9"/>
    </row>
    <row r="349" spans="3:3" ht="12.75">
      <c r="C349" s="9"/>
    </row>
    <row r="350" spans="3:3" ht="12.75">
      <c r="C350" s="9"/>
    </row>
    <row r="351" spans="3:3" ht="12.75">
      <c r="C351" s="9"/>
    </row>
    <row r="352" spans="3:3" ht="12.75">
      <c r="C352" s="9"/>
    </row>
    <row r="353" spans="3:3" ht="12.75">
      <c r="C353" s="9"/>
    </row>
    <row r="354" spans="3:3" ht="12.75">
      <c r="C354" s="9"/>
    </row>
    <row r="355" spans="3:3" ht="12.75">
      <c r="C355" s="9"/>
    </row>
    <row r="356" spans="3:3" ht="12.75">
      <c r="C356" s="9"/>
    </row>
    <row r="357" spans="3:3" ht="12.75">
      <c r="C357" s="9"/>
    </row>
    <row r="358" spans="3:3" ht="12.75">
      <c r="C358" s="9"/>
    </row>
    <row r="359" spans="3:3" ht="12.75">
      <c r="C359" s="9"/>
    </row>
    <row r="360" spans="3:3" ht="12.75">
      <c r="C360" s="9"/>
    </row>
    <row r="361" spans="3:3" ht="12.75">
      <c r="C361" s="9"/>
    </row>
    <row r="362" spans="3:3" ht="12.75">
      <c r="C362" s="9"/>
    </row>
    <row r="363" spans="3:3" ht="12.75">
      <c r="C363" s="9"/>
    </row>
    <row r="364" spans="3:3" ht="12.75">
      <c r="C364" s="9"/>
    </row>
    <row r="365" spans="3:3" ht="12.75">
      <c r="C365" s="9"/>
    </row>
    <row r="366" spans="3:3" ht="12.75">
      <c r="C366" s="9"/>
    </row>
    <row r="367" spans="3:3" ht="12.75">
      <c r="C367" s="9"/>
    </row>
    <row r="368" spans="3:3" ht="12.75">
      <c r="C368" s="9"/>
    </row>
    <row r="369" spans="3:3" ht="12.75">
      <c r="C369" s="9"/>
    </row>
    <row r="370" spans="3:3" ht="12.75">
      <c r="C370" s="9"/>
    </row>
    <row r="371" spans="3:3" ht="12.75">
      <c r="C371" s="9"/>
    </row>
    <row r="372" spans="3:3" ht="12.75">
      <c r="C372" s="9"/>
    </row>
    <row r="373" spans="3:3" ht="12.75">
      <c r="C373" s="9"/>
    </row>
    <row r="374" spans="3:3" ht="12.75">
      <c r="C374" s="9"/>
    </row>
    <row r="375" spans="3:3" ht="12.75">
      <c r="C375" s="9"/>
    </row>
    <row r="376" spans="3:3" ht="12.75">
      <c r="C376" s="9"/>
    </row>
    <row r="377" spans="3:3" ht="12.75">
      <c r="C377" s="9"/>
    </row>
    <row r="378" spans="3:3" ht="12.75">
      <c r="C378" s="9"/>
    </row>
    <row r="379" spans="3:3" ht="12.75">
      <c r="C379" s="9"/>
    </row>
    <row r="380" spans="3:3" ht="12.75">
      <c r="C380" s="9"/>
    </row>
    <row r="381" spans="3:3" ht="12.75">
      <c r="C381" s="9"/>
    </row>
    <row r="382" spans="3:3" ht="12.75">
      <c r="C382" s="9"/>
    </row>
    <row r="383" spans="3:3" ht="12.75">
      <c r="C383" s="9"/>
    </row>
    <row r="384" spans="3:3" ht="12.75">
      <c r="C384" s="9"/>
    </row>
    <row r="385" spans="3:3" ht="12.75">
      <c r="C385" s="9"/>
    </row>
    <row r="386" spans="3:3" ht="12.75">
      <c r="C386" s="9"/>
    </row>
    <row r="387" spans="3:3" ht="12.75">
      <c r="C387" s="9"/>
    </row>
    <row r="388" spans="3:3" ht="12.75">
      <c r="C388" s="9"/>
    </row>
    <row r="389" spans="3:3" ht="12.75">
      <c r="C389" s="9"/>
    </row>
    <row r="390" spans="3:3" ht="12.75">
      <c r="C390" s="9"/>
    </row>
    <row r="391" spans="3:3" ht="12.75">
      <c r="C391" s="9"/>
    </row>
    <row r="392" spans="3:3" ht="12.75">
      <c r="C392" s="9"/>
    </row>
    <row r="393" spans="3:3" ht="12.75">
      <c r="C393" s="9"/>
    </row>
    <row r="394" spans="3:3" ht="12.75">
      <c r="C394" s="9"/>
    </row>
    <row r="395" spans="3:3" ht="12.75">
      <c r="C395" s="9"/>
    </row>
    <row r="396" spans="3:3" ht="12.75">
      <c r="C396" s="9"/>
    </row>
    <row r="397" spans="3:3" ht="12.75">
      <c r="C397" s="9"/>
    </row>
    <row r="398" spans="3:3" ht="12.75">
      <c r="C398" s="9"/>
    </row>
    <row r="399" spans="3:3" ht="12.75">
      <c r="C399" s="9"/>
    </row>
    <row r="400" spans="3:3" ht="12.75">
      <c r="C400" s="9"/>
    </row>
    <row r="401" spans="3:3" ht="12.75">
      <c r="C401" s="9"/>
    </row>
    <row r="402" spans="3:3" ht="12.75">
      <c r="C402" s="9"/>
    </row>
    <row r="403" spans="3:3" ht="12.75">
      <c r="C403" s="9"/>
    </row>
    <row r="404" spans="3:3" ht="12.75">
      <c r="C404" s="9"/>
    </row>
    <row r="405" spans="3:3" ht="12.75">
      <c r="C405" s="9"/>
    </row>
    <row r="406" spans="3:3" ht="12.75">
      <c r="C406" s="9"/>
    </row>
    <row r="407" spans="3:3" ht="12.75">
      <c r="C407" s="9"/>
    </row>
    <row r="408" spans="3:3" ht="12.75">
      <c r="C408" s="9"/>
    </row>
    <row r="409" spans="3:3" ht="12.75">
      <c r="C409" s="9"/>
    </row>
    <row r="410" spans="3:3" ht="12.75">
      <c r="C410" s="9"/>
    </row>
    <row r="411" spans="3:3" ht="12.75">
      <c r="C411" s="9"/>
    </row>
    <row r="412" spans="3:3" ht="12.75">
      <c r="C412" s="9"/>
    </row>
    <row r="413" spans="3:3" ht="12.75">
      <c r="C413" s="9"/>
    </row>
    <row r="414" spans="3:3" ht="12.75">
      <c r="C414" s="9"/>
    </row>
    <row r="415" spans="3:3" ht="12.75">
      <c r="C415" s="9"/>
    </row>
    <row r="416" spans="3:3" ht="12.75">
      <c r="C416" s="9"/>
    </row>
    <row r="417" spans="3:3" ht="12.75">
      <c r="C417" s="9"/>
    </row>
    <row r="418" spans="3:3" ht="12.75">
      <c r="C418" s="9"/>
    </row>
    <row r="419" spans="3:3" ht="12.75">
      <c r="C419" s="9"/>
    </row>
    <row r="420" spans="3:3" ht="12.75">
      <c r="C420" s="9"/>
    </row>
    <row r="421" spans="3:3" ht="12.75">
      <c r="C421" s="9"/>
    </row>
    <row r="422" spans="3:3" ht="12.75">
      <c r="C422" s="9"/>
    </row>
    <row r="423" spans="3:3" ht="12.75">
      <c r="C423" s="9"/>
    </row>
    <row r="424" spans="3:3" ht="12.75">
      <c r="C424" s="9"/>
    </row>
    <row r="425" spans="3:3" ht="12.75">
      <c r="C425" s="9"/>
    </row>
    <row r="426" spans="3:3" ht="12.75">
      <c r="C426" s="9"/>
    </row>
    <row r="427" spans="3:3" ht="12.75">
      <c r="C427" s="9"/>
    </row>
    <row r="428" spans="3:3" ht="12.75">
      <c r="C428" s="9"/>
    </row>
    <row r="429" spans="3:3" ht="12.75">
      <c r="C429" s="9"/>
    </row>
    <row r="430" spans="3:3" ht="12.75">
      <c r="C430" s="9"/>
    </row>
    <row r="431" spans="3:3" ht="12.75">
      <c r="C431" s="9"/>
    </row>
    <row r="432" spans="3:3" ht="12.75">
      <c r="C432" s="9"/>
    </row>
    <row r="433" spans="3:3" ht="12.75">
      <c r="C433" s="9"/>
    </row>
    <row r="434" spans="3:3" ht="12.75">
      <c r="C434" s="9"/>
    </row>
    <row r="435" spans="3:3" ht="12.75">
      <c r="C435" s="9"/>
    </row>
    <row r="436" spans="3:3" ht="12.75">
      <c r="C436" s="9"/>
    </row>
    <row r="437" spans="3:3" ht="12.75">
      <c r="C437" s="9"/>
    </row>
    <row r="438" spans="3:3" ht="12.75">
      <c r="C438" s="9"/>
    </row>
    <row r="439" spans="3:3" ht="12.75">
      <c r="C439" s="9"/>
    </row>
    <row r="440" spans="3:3" ht="12.75">
      <c r="C440" s="9"/>
    </row>
    <row r="441" spans="3:3" ht="12.75">
      <c r="C441" s="9"/>
    </row>
    <row r="442" spans="3:3" ht="12.75">
      <c r="C442" s="9"/>
    </row>
    <row r="443" spans="3:3" ht="12.75">
      <c r="C443" s="9"/>
    </row>
    <row r="444" spans="3:3" ht="12.75">
      <c r="C444" s="9"/>
    </row>
    <row r="445" spans="3:3" ht="12.75">
      <c r="C445" s="9"/>
    </row>
    <row r="446" spans="3:3" ht="12.75">
      <c r="C446" s="9"/>
    </row>
    <row r="447" spans="3:3" ht="12.75">
      <c r="C447" s="9"/>
    </row>
    <row r="448" spans="3:3" ht="12.75">
      <c r="C448" s="9"/>
    </row>
    <row r="449" spans="3:3" ht="12.75">
      <c r="C449" s="9"/>
    </row>
    <row r="450" spans="3:3" ht="12.75">
      <c r="C450" s="9"/>
    </row>
    <row r="451" spans="3:3" ht="12.75">
      <c r="C451" s="9"/>
    </row>
    <row r="452" spans="3:3" ht="12.75">
      <c r="C452" s="9"/>
    </row>
    <row r="453" spans="3:3" ht="12.75">
      <c r="C453" s="9"/>
    </row>
    <row r="454" spans="3:3" ht="12.75">
      <c r="C454" s="9"/>
    </row>
    <row r="455" spans="3:3" ht="12.75">
      <c r="C455" s="9"/>
    </row>
    <row r="456" spans="3:3" ht="12.75">
      <c r="C456" s="9"/>
    </row>
    <row r="457" spans="3:3" ht="12.75">
      <c r="C457" s="9"/>
    </row>
    <row r="458" spans="3:3" ht="12.75">
      <c r="C458" s="9"/>
    </row>
    <row r="459" spans="3:3" ht="12.75">
      <c r="C459" s="9"/>
    </row>
    <row r="460" spans="3:3" ht="12.75">
      <c r="C460" s="9"/>
    </row>
    <row r="461" spans="3:3" ht="12.75">
      <c r="C461" s="9"/>
    </row>
    <row r="462" spans="3:3" ht="12.75">
      <c r="C462" s="9"/>
    </row>
    <row r="463" spans="3:3" ht="12.75">
      <c r="C463" s="9"/>
    </row>
    <row r="464" spans="3:3" ht="12.75">
      <c r="C464" s="9"/>
    </row>
    <row r="465" spans="3:3" ht="12.75">
      <c r="C465" s="9"/>
    </row>
    <row r="466" spans="3:3" ht="12.75">
      <c r="C466" s="9"/>
    </row>
    <row r="467" spans="3:3" ht="12.75">
      <c r="C467" s="9"/>
    </row>
    <row r="468" spans="3:3" ht="12.75">
      <c r="C468" s="9"/>
    </row>
    <row r="469" spans="3:3" ht="12.75">
      <c r="C469" s="9"/>
    </row>
    <row r="470" spans="3:3" ht="12.75">
      <c r="C470" s="9"/>
    </row>
    <row r="471" spans="3:3" ht="12.75">
      <c r="C471" s="9"/>
    </row>
    <row r="472" spans="3:3" ht="12.75">
      <c r="C472" s="9"/>
    </row>
    <row r="473" spans="3:3" ht="12.75">
      <c r="C473" s="9"/>
    </row>
    <row r="474" spans="3:3" ht="12.75">
      <c r="C474" s="9"/>
    </row>
    <row r="475" spans="3:3" ht="12.75">
      <c r="C475" s="9"/>
    </row>
    <row r="476" spans="3:3" ht="12.75">
      <c r="C476" s="9"/>
    </row>
    <row r="477" spans="3:3" ht="12.75">
      <c r="C477" s="9"/>
    </row>
    <row r="478" spans="3:3" ht="12.75">
      <c r="C478" s="9"/>
    </row>
    <row r="479" spans="3:3" ht="12.75">
      <c r="C479" s="9"/>
    </row>
    <row r="480" spans="3:3" ht="12.75">
      <c r="C480" s="9"/>
    </row>
    <row r="481" spans="3:3" ht="12.75">
      <c r="C481" s="9"/>
    </row>
    <row r="482" spans="3:3" ht="12.75">
      <c r="C482" s="9"/>
    </row>
    <row r="483" spans="3:3" ht="12.75">
      <c r="C483" s="9"/>
    </row>
    <row r="484" spans="3:3" ht="12.75">
      <c r="C484" s="9"/>
    </row>
    <row r="485" spans="3:3" ht="12.75">
      <c r="C485" s="9"/>
    </row>
    <row r="486" spans="3:3" ht="12.75">
      <c r="C486" s="9"/>
    </row>
    <row r="487" spans="3:3" ht="12.75">
      <c r="C487" s="9"/>
    </row>
    <row r="488" spans="3:3" ht="12.75">
      <c r="C488" s="9"/>
    </row>
    <row r="489" spans="3:3" ht="12.75">
      <c r="C489" s="9"/>
    </row>
    <row r="490" spans="3:3" ht="12.75">
      <c r="C490" s="9"/>
    </row>
    <row r="491" spans="3:3" ht="12.75">
      <c r="C491" s="9"/>
    </row>
    <row r="492" spans="3:3" ht="12.75">
      <c r="C492" s="9"/>
    </row>
    <row r="493" spans="3:3" ht="12.75">
      <c r="C493" s="9"/>
    </row>
    <row r="494" spans="3:3" ht="12.75">
      <c r="C494" s="9"/>
    </row>
    <row r="495" spans="3:3" ht="12.75">
      <c r="C495" s="9"/>
    </row>
    <row r="496" spans="3:3" ht="12.75">
      <c r="C496" s="9"/>
    </row>
    <row r="497" spans="3:3" ht="12.75">
      <c r="C497" s="9"/>
    </row>
    <row r="498" spans="3:3" ht="12.75">
      <c r="C498" s="9"/>
    </row>
    <row r="499" spans="3:3" ht="12.75">
      <c r="C499" s="9"/>
    </row>
    <row r="500" spans="3:3" ht="12.75">
      <c r="C500" s="9"/>
    </row>
    <row r="501" spans="3:3" ht="12.75">
      <c r="C501" s="9"/>
    </row>
    <row r="502" spans="3:3" ht="12.75">
      <c r="C502" s="9"/>
    </row>
    <row r="503" spans="3:3" ht="12.75">
      <c r="C503" s="9"/>
    </row>
    <row r="504" spans="3:3" ht="12.75">
      <c r="C504" s="9"/>
    </row>
    <row r="505" spans="3:3" ht="12.75">
      <c r="C505" s="9"/>
    </row>
    <row r="506" spans="3:3" ht="12.75">
      <c r="C506" s="9"/>
    </row>
    <row r="507" spans="3:3" ht="12.75">
      <c r="C507" s="9"/>
    </row>
    <row r="508" spans="3:3" ht="12.75">
      <c r="C508" s="9"/>
    </row>
    <row r="509" spans="3:3" ht="12.75">
      <c r="C509" s="9"/>
    </row>
    <row r="510" spans="3:3" ht="12.75">
      <c r="C510" s="9"/>
    </row>
    <row r="511" spans="3:3" ht="12.75">
      <c r="C511" s="9"/>
    </row>
    <row r="512" spans="3:3" ht="12.75">
      <c r="C512" s="9"/>
    </row>
    <row r="513" spans="3:3" ht="12.75">
      <c r="C513" s="9"/>
    </row>
    <row r="514" spans="3:3" ht="12.75">
      <c r="C514" s="9"/>
    </row>
    <row r="515" spans="3:3" ht="12.75">
      <c r="C515" s="9"/>
    </row>
    <row r="516" spans="3:3" ht="12.75">
      <c r="C516" s="9"/>
    </row>
    <row r="517" spans="3:3" ht="12.75">
      <c r="C517" s="9"/>
    </row>
    <row r="518" spans="3:3" ht="12.75">
      <c r="C518" s="9"/>
    </row>
    <row r="519" spans="3:3" ht="12.75">
      <c r="C519" s="9"/>
    </row>
    <row r="520" spans="3:3" ht="12.75">
      <c r="C520" s="9"/>
    </row>
    <row r="521" spans="3:3" ht="12.75">
      <c r="C521" s="9"/>
    </row>
    <row r="522" spans="3:3" ht="12.75">
      <c r="C522" s="9"/>
    </row>
    <row r="523" spans="3:3" ht="12.75">
      <c r="C523" s="9"/>
    </row>
    <row r="524" spans="3:3" ht="12.75">
      <c r="C524" s="9"/>
    </row>
    <row r="525" spans="3:3" ht="12.75">
      <c r="C525" s="9"/>
    </row>
    <row r="526" spans="3:3" ht="12.75">
      <c r="C526" s="9"/>
    </row>
    <row r="527" spans="3:3" ht="12.75">
      <c r="C527" s="9"/>
    </row>
    <row r="528" spans="3:3" ht="12.75">
      <c r="C528" s="9"/>
    </row>
    <row r="529" spans="3:3" ht="12.75">
      <c r="C529" s="9"/>
    </row>
    <row r="530" spans="3:3" ht="12.75">
      <c r="C530" s="9"/>
    </row>
    <row r="531" spans="3:3" ht="12.75">
      <c r="C531" s="9"/>
    </row>
    <row r="532" spans="3:3" ht="12.75">
      <c r="C532" s="9"/>
    </row>
    <row r="533" spans="3:3" ht="12.75">
      <c r="C533" s="9"/>
    </row>
    <row r="534" spans="3:3" ht="12.75">
      <c r="C534" s="9"/>
    </row>
    <row r="535" spans="3:3" ht="12.75">
      <c r="C535" s="9"/>
    </row>
    <row r="536" spans="3:3" ht="12.75">
      <c r="C536" s="9"/>
    </row>
    <row r="537" spans="3:3" ht="12.75">
      <c r="C537" s="9"/>
    </row>
    <row r="538" spans="3:3" ht="12.75">
      <c r="C538" s="9"/>
    </row>
    <row r="539" spans="3:3" ht="12.75">
      <c r="C539" s="9"/>
    </row>
    <row r="540" spans="3:3" ht="12.75">
      <c r="C540" s="9"/>
    </row>
    <row r="541" spans="3:3" ht="12.75">
      <c r="C541" s="9"/>
    </row>
    <row r="542" spans="3:3" ht="12.75">
      <c r="C542" s="9"/>
    </row>
    <row r="543" spans="3:3" ht="12.75">
      <c r="C543" s="9"/>
    </row>
    <row r="544" spans="3:3" ht="12.75">
      <c r="C544" s="9"/>
    </row>
    <row r="545" spans="3:3" ht="12.75">
      <c r="C545" s="9"/>
    </row>
    <row r="546" spans="3:3" ht="12.75">
      <c r="C546" s="9"/>
    </row>
    <row r="547" spans="3:3" ht="12.75">
      <c r="C547" s="9"/>
    </row>
    <row r="548" spans="3:3" ht="12.75">
      <c r="C548" s="9"/>
    </row>
    <row r="549" spans="3:3" ht="12.75">
      <c r="C549" s="9"/>
    </row>
    <row r="550" spans="3:3" ht="12.75">
      <c r="C550" s="9"/>
    </row>
    <row r="551" spans="3:3" ht="12.75">
      <c r="C551" s="9"/>
    </row>
    <row r="552" spans="3:3" ht="12.75">
      <c r="C552" s="9"/>
    </row>
    <row r="553" spans="3:3" ht="12.75">
      <c r="C553" s="9"/>
    </row>
    <row r="554" spans="3:3" ht="12.75">
      <c r="C554" s="9"/>
    </row>
    <row r="555" spans="3:3" ht="12.75">
      <c r="C555" s="9"/>
    </row>
    <row r="556" spans="3:3" ht="12.75">
      <c r="C556" s="9"/>
    </row>
    <row r="557" spans="3:3" ht="12.75">
      <c r="C557" s="9"/>
    </row>
    <row r="558" spans="3:3" ht="12.75">
      <c r="C558" s="9"/>
    </row>
    <row r="559" spans="3:3" ht="12.75">
      <c r="C559" s="9"/>
    </row>
    <row r="560" spans="3:3" ht="12.75">
      <c r="C560" s="9"/>
    </row>
    <row r="561" spans="3:3" ht="12.75">
      <c r="C561" s="9"/>
    </row>
    <row r="562" spans="3:3" ht="12.75">
      <c r="C562" s="9"/>
    </row>
    <row r="563" spans="3:3" ht="12.75">
      <c r="C563" s="9"/>
    </row>
    <row r="564" spans="3:3" ht="12.75">
      <c r="C564" s="9"/>
    </row>
    <row r="565" spans="3:3" ht="12.75">
      <c r="C565" s="9"/>
    </row>
    <row r="566" spans="3:3" ht="12.75">
      <c r="C566" s="9"/>
    </row>
    <row r="567" spans="3:3" ht="12.75">
      <c r="C567" s="9"/>
    </row>
    <row r="568" spans="3:3" ht="12.75">
      <c r="C568" s="9"/>
    </row>
    <row r="569" spans="3:3" ht="12.75">
      <c r="C569" s="9"/>
    </row>
    <row r="570" spans="3:3" ht="12.75">
      <c r="C570" s="9"/>
    </row>
    <row r="571" spans="3:3" ht="12.75">
      <c r="C571" s="9"/>
    </row>
    <row r="572" spans="3:3" ht="12.75">
      <c r="C572" s="9"/>
    </row>
    <row r="573" spans="3:3" ht="12.75">
      <c r="C573" s="9"/>
    </row>
    <row r="574" spans="3:3" ht="12.75">
      <c r="C574" s="9"/>
    </row>
    <row r="575" spans="3:3" ht="12.75">
      <c r="C575" s="9"/>
    </row>
    <row r="576" spans="3:3" ht="12.75">
      <c r="C576" s="9"/>
    </row>
    <row r="577" spans="3:3" ht="12.75">
      <c r="C577" s="9"/>
    </row>
    <row r="578" spans="3:3" ht="12.75">
      <c r="C578" s="9"/>
    </row>
    <row r="579" spans="3:3" ht="12.75">
      <c r="C579" s="9"/>
    </row>
    <row r="580" spans="3:3" ht="12.75">
      <c r="C580" s="9"/>
    </row>
    <row r="581" spans="3:3" ht="12.75">
      <c r="C581" s="9"/>
    </row>
    <row r="582" spans="3:3" ht="12.75">
      <c r="C582" s="9"/>
    </row>
    <row r="583" spans="3:3" ht="12.75">
      <c r="C583" s="9"/>
    </row>
    <row r="584" spans="3:3" ht="12.75">
      <c r="C584" s="9"/>
    </row>
    <row r="585" spans="3:3" ht="12.75">
      <c r="C585" s="9"/>
    </row>
    <row r="586" spans="3:3" ht="12.75">
      <c r="C586" s="9"/>
    </row>
    <row r="587" spans="3:3" ht="12.75">
      <c r="C587" s="9"/>
    </row>
    <row r="588" spans="3:3" ht="12.75">
      <c r="C588" s="9"/>
    </row>
    <row r="589" spans="3:3" ht="12.75">
      <c r="C589" s="9"/>
    </row>
    <row r="590" spans="3:3" ht="12.75">
      <c r="C590" s="9"/>
    </row>
    <row r="591" spans="3:3" ht="12.75">
      <c r="C591" s="9"/>
    </row>
    <row r="592" spans="3:3" ht="12.75">
      <c r="C592" s="9"/>
    </row>
    <row r="593" spans="3:3" ht="12.75">
      <c r="C593" s="9"/>
    </row>
    <row r="594" spans="3:3" ht="12.75">
      <c r="C594" s="9"/>
    </row>
    <row r="595" spans="3:3" ht="12.75">
      <c r="C595" s="9"/>
    </row>
    <row r="596" spans="3:3" ht="12.75">
      <c r="C596" s="9"/>
    </row>
    <row r="597" spans="3:3" ht="12.75">
      <c r="C597" s="9"/>
    </row>
    <row r="598" spans="3:3" ht="12.75">
      <c r="C598" s="9"/>
    </row>
    <row r="599" spans="3:3" ht="12.75">
      <c r="C599" s="9"/>
    </row>
    <row r="600" spans="3:3" ht="12.75">
      <c r="C600" s="9"/>
    </row>
    <row r="601" spans="3:3" ht="12.75">
      <c r="C601" s="9"/>
    </row>
    <row r="602" spans="3:3" ht="12.75">
      <c r="C602" s="9"/>
    </row>
    <row r="603" spans="3:3" ht="12.75">
      <c r="C603" s="9"/>
    </row>
    <row r="604" spans="3:3" ht="12.75">
      <c r="C604" s="9"/>
    </row>
    <row r="605" spans="3:3" ht="12.75">
      <c r="C605" s="9"/>
    </row>
    <row r="606" spans="3:3" ht="12.75">
      <c r="C606" s="9"/>
    </row>
    <row r="607" spans="3:3" ht="12.75">
      <c r="C607" s="9"/>
    </row>
    <row r="608" spans="3:3" ht="12.75">
      <c r="C608" s="9"/>
    </row>
    <row r="609" spans="3:3" ht="12.75">
      <c r="C609" s="9"/>
    </row>
    <row r="610" spans="3:3" ht="12.75">
      <c r="C610" s="9"/>
    </row>
    <row r="611" spans="3:3" ht="12.75">
      <c r="C611" s="9"/>
    </row>
    <row r="612" spans="3:3" ht="12.75">
      <c r="C612" s="9"/>
    </row>
    <row r="613" spans="3:3" ht="12.75">
      <c r="C613" s="9"/>
    </row>
    <row r="614" spans="3:3" ht="12.75">
      <c r="C614" s="9"/>
    </row>
    <row r="615" spans="3:3" ht="12.75">
      <c r="C615" s="9"/>
    </row>
    <row r="616" spans="3:3" ht="12.75">
      <c r="C616" s="9"/>
    </row>
    <row r="617" spans="3:3" ht="12.75">
      <c r="C617" s="9"/>
    </row>
    <row r="618" spans="3:3" ht="12.75">
      <c r="C618" s="9"/>
    </row>
    <row r="619" spans="3:3" ht="12.75">
      <c r="C619" s="9"/>
    </row>
    <row r="620" spans="3:3" ht="12.75">
      <c r="C620" s="9"/>
    </row>
    <row r="621" spans="3:3" ht="12.75">
      <c r="C621" s="9"/>
    </row>
    <row r="622" spans="3:3" ht="12.75">
      <c r="C622" s="9"/>
    </row>
    <row r="623" spans="3:3" ht="12.75">
      <c r="C623" s="9"/>
    </row>
    <row r="624" spans="3:3" ht="12.75">
      <c r="C624" s="9"/>
    </row>
    <row r="625" spans="3:3" ht="12.75">
      <c r="C625" s="9"/>
    </row>
    <row r="626" spans="3:3" ht="12.75">
      <c r="C626" s="9"/>
    </row>
    <row r="627" spans="3:3" ht="12.75">
      <c r="C627" s="9"/>
    </row>
    <row r="628" spans="3:3" ht="12.75">
      <c r="C628" s="9"/>
    </row>
    <row r="629" spans="3:3" ht="12.75">
      <c r="C629" s="9"/>
    </row>
    <row r="630" spans="3:3" ht="12.75">
      <c r="C630" s="9"/>
    </row>
    <row r="631" spans="3:3" ht="12.75">
      <c r="C631" s="9"/>
    </row>
    <row r="632" spans="3:3" ht="12.75">
      <c r="C632" s="9"/>
    </row>
    <row r="633" spans="3:3" ht="12.75">
      <c r="C633" s="9"/>
    </row>
    <row r="634" spans="3:3" ht="12.75">
      <c r="C634" s="9"/>
    </row>
    <row r="635" spans="3:3" ht="12.75">
      <c r="C635" s="9"/>
    </row>
    <row r="636" spans="3:3" ht="12.75">
      <c r="C636" s="9"/>
    </row>
    <row r="637" spans="3:3" ht="12.75">
      <c r="C637" s="9"/>
    </row>
    <row r="638" spans="3:3" ht="12.75">
      <c r="C638" s="9"/>
    </row>
    <row r="639" spans="3:3" ht="12.75">
      <c r="C639" s="9"/>
    </row>
    <row r="640" spans="3:3" ht="12.75">
      <c r="C640" s="9"/>
    </row>
    <row r="641" spans="3:3" ht="12.75">
      <c r="C641" s="9"/>
    </row>
    <row r="642" spans="3:3" ht="12.75">
      <c r="C642" s="9"/>
    </row>
    <row r="643" spans="3:3" ht="12.75">
      <c r="C643" s="9"/>
    </row>
    <row r="644" spans="3:3" ht="12.75">
      <c r="C644" s="9"/>
    </row>
    <row r="645" spans="3:3" ht="12.75">
      <c r="C645" s="9"/>
    </row>
    <row r="646" spans="3:3" ht="12.75">
      <c r="C646" s="9"/>
    </row>
    <row r="647" spans="3:3" ht="12.75">
      <c r="C647" s="9"/>
    </row>
    <row r="648" spans="3:3" ht="12.75">
      <c r="C648" s="9"/>
    </row>
    <row r="649" spans="3:3" ht="12.75">
      <c r="C649" s="9"/>
    </row>
    <row r="650" spans="3:3" ht="12.75">
      <c r="C650" s="9"/>
    </row>
    <row r="651" spans="3:3" ht="12.75">
      <c r="C651" s="9"/>
    </row>
    <row r="652" spans="3:3" ht="12.75">
      <c r="C652" s="9"/>
    </row>
    <row r="653" spans="3:3" ht="12.75">
      <c r="C653" s="9"/>
    </row>
    <row r="654" spans="3:3" ht="12.75">
      <c r="C654" s="9"/>
    </row>
    <row r="655" spans="3:3" ht="12.75">
      <c r="C655" s="9"/>
    </row>
    <row r="656" spans="3:3" ht="12.75">
      <c r="C656" s="9"/>
    </row>
    <row r="657" spans="3:3" ht="12.75">
      <c r="C657" s="9"/>
    </row>
    <row r="658" spans="3:3" ht="12.75">
      <c r="C658" s="9"/>
    </row>
    <row r="659" spans="3:3" ht="12.75">
      <c r="C659" s="9"/>
    </row>
    <row r="660" spans="3:3" ht="12.75">
      <c r="C660" s="9"/>
    </row>
    <row r="661" spans="3:3" ht="12.75">
      <c r="C661" s="9"/>
    </row>
    <row r="662" spans="3:3" ht="12.75">
      <c r="C662" s="9"/>
    </row>
    <row r="663" spans="3:3" ht="12.75">
      <c r="C663" s="9"/>
    </row>
    <row r="664" spans="3:3" ht="12.75">
      <c r="C664" s="9"/>
    </row>
    <row r="665" spans="3:3" ht="12.75">
      <c r="C665" s="9"/>
    </row>
    <row r="666" spans="3:3" ht="12.75">
      <c r="C666" s="9"/>
    </row>
    <row r="667" spans="3:3" ht="12.75">
      <c r="C667" s="9"/>
    </row>
    <row r="668" spans="3:3" ht="12.75">
      <c r="C668" s="9"/>
    </row>
    <row r="669" spans="3:3" ht="12.75">
      <c r="C669" s="9"/>
    </row>
    <row r="670" spans="3:3" ht="12.75">
      <c r="C670" s="9"/>
    </row>
    <row r="671" spans="3:3" ht="12.75">
      <c r="C671" s="9"/>
    </row>
    <row r="672" spans="3:3" ht="12.75">
      <c r="C672" s="9"/>
    </row>
    <row r="673" spans="3:3" ht="12.75">
      <c r="C673" s="9"/>
    </row>
    <row r="674" spans="3:3" ht="12.75">
      <c r="C674" s="9"/>
    </row>
    <row r="675" spans="3:3" ht="12.75">
      <c r="C675" s="9"/>
    </row>
    <row r="676" spans="3:3" ht="12.75">
      <c r="C676" s="9"/>
    </row>
    <row r="677" spans="3:3" ht="12.75">
      <c r="C677" s="9"/>
    </row>
    <row r="678" spans="3:3" ht="12.75">
      <c r="C678" s="9"/>
    </row>
    <row r="679" spans="3:3" ht="12.75">
      <c r="C679" s="9"/>
    </row>
    <row r="680" spans="3:3" ht="12.75">
      <c r="C680" s="9"/>
    </row>
    <row r="681" spans="3:3" ht="12.75">
      <c r="C681" s="9"/>
    </row>
    <row r="682" spans="3:3" ht="12.75">
      <c r="C682" s="9"/>
    </row>
    <row r="683" spans="3:3" ht="12.75">
      <c r="C683" s="9"/>
    </row>
    <row r="684" spans="3:3" ht="12.75">
      <c r="C684" s="9"/>
    </row>
    <row r="685" spans="3:3" ht="12.75">
      <c r="C685" s="9"/>
    </row>
    <row r="686" spans="3:3" ht="12.75">
      <c r="C686" s="9"/>
    </row>
    <row r="687" spans="3:3" ht="12.75">
      <c r="C687" s="9"/>
    </row>
    <row r="688" spans="3:3" ht="12.75">
      <c r="C688" s="9"/>
    </row>
    <row r="689" spans="3:3" ht="12.75">
      <c r="C689" s="9"/>
    </row>
    <row r="690" spans="3:3" ht="12.75">
      <c r="C690" s="9"/>
    </row>
    <row r="691" spans="3:3" ht="12.75">
      <c r="C691" s="9"/>
    </row>
    <row r="692" spans="3:3" ht="12.75">
      <c r="C692" s="9"/>
    </row>
    <row r="693" spans="3:3" ht="12.75">
      <c r="C693" s="9"/>
    </row>
    <row r="694" spans="3:3" ht="12.75">
      <c r="C694" s="9"/>
    </row>
    <row r="695" spans="3:3" ht="12.75">
      <c r="C695" s="9"/>
    </row>
    <row r="696" spans="3:3" ht="12.75">
      <c r="C696" s="9"/>
    </row>
    <row r="697" spans="3:3" ht="12.75">
      <c r="C697" s="9"/>
    </row>
    <row r="698" spans="3:3" ht="12.75">
      <c r="C698" s="9"/>
    </row>
    <row r="699" spans="3:3" ht="12.75">
      <c r="C699" s="9"/>
    </row>
    <row r="700" spans="3:3" ht="12.75">
      <c r="C700" s="9"/>
    </row>
    <row r="701" spans="3:3" ht="12.75">
      <c r="C701" s="9"/>
    </row>
    <row r="702" spans="3:3" ht="12.75">
      <c r="C702" s="9"/>
    </row>
    <row r="703" spans="3:3" ht="12.75">
      <c r="C703" s="9"/>
    </row>
    <row r="704" spans="3:3" ht="12.75">
      <c r="C704" s="9"/>
    </row>
    <row r="705" spans="3:3" ht="12.75">
      <c r="C705" s="9"/>
    </row>
    <row r="706" spans="3:3" ht="12.75">
      <c r="C706" s="9"/>
    </row>
    <row r="707" spans="3:3" ht="12.75">
      <c r="C707" s="9"/>
    </row>
    <row r="708" spans="3:3" ht="12.75">
      <c r="C708" s="9"/>
    </row>
    <row r="709" spans="3:3" ht="12.75">
      <c r="C709" s="9"/>
    </row>
    <row r="710" spans="3:3" ht="12.75">
      <c r="C710" s="9"/>
    </row>
    <row r="711" spans="3:3" ht="12.75">
      <c r="C711" s="9"/>
    </row>
    <row r="712" spans="3:3" ht="12.75">
      <c r="C712" s="9"/>
    </row>
    <row r="713" spans="3:3" ht="12.75">
      <c r="C713" s="9"/>
    </row>
    <row r="714" spans="3:3" ht="12.75">
      <c r="C714" s="9"/>
    </row>
    <row r="715" spans="3:3" ht="12.75">
      <c r="C715" s="9"/>
    </row>
    <row r="716" spans="3:3" ht="12.75">
      <c r="C716" s="9"/>
    </row>
    <row r="717" spans="3:3" ht="12.75">
      <c r="C717" s="9"/>
    </row>
    <row r="718" spans="3:3" ht="12.75">
      <c r="C718" s="9"/>
    </row>
    <row r="719" spans="3:3" ht="12.75">
      <c r="C719" s="9"/>
    </row>
    <row r="720" spans="3:3" ht="12.75">
      <c r="C720" s="9"/>
    </row>
    <row r="721" spans="3:3" ht="12.75">
      <c r="C721" s="9"/>
    </row>
    <row r="722" spans="3:3" ht="12.75">
      <c r="C722" s="9"/>
    </row>
    <row r="723" spans="3:3" ht="12.75">
      <c r="C723" s="9"/>
    </row>
    <row r="724" spans="3:3" ht="12.75">
      <c r="C724" s="9"/>
    </row>
    <row r="725" spans="3:3" ht="12.75">
      <c r="C725" s="9"/>
    </row>
    <row r="726" spans="3:3" ht="12.75">
      <c r="C726" s="9"/>
    </row>
    <row r="727" spans="3:3" ht="12.75">
      <c r="C727" s="9"/>
    </row>
    <row r="728" spans="3:3" ht="12.75">
      <c r="C728" s="9"/>
    </row>
    <row r="729" spans="3:3" ht="12.75">
      <c r="C729" s="9"/>
    </row>
    <row r="730" spans="3:3" ht="12.75">
      <c r="C730" s="9"/>
    </row>
    <row r="731" spans="3:3" ht="12.75">
      <c r="C731" s="9"/>
    </row>
    <row r="732" spans="3:3" ht="12.75">
      <c r="C732" s="9"/>
    </row>
    <row r="733" spans="3:3" ht="12.75">
      <c r="C733" s="9"/>
    </row>
    <row r="734" spans="3:3" ht="12.75">
      <c r="C734" s="9"/>
    </row>
    <row r="735" spans="3:3" ht="12.75">
      <c r="C735" s="9"/>
    </row>
    <row r="736" spans="3:3" ht="12.75">
      <c r="C736" s="9"/>
    </row>
    <row r="737" spans="3:3" ht="12.75">
      <c r="C737" s="9"/>
    </row>
    <row r="738" spans="3:3" ht="12.75">
      <c r="C738" s="9"/>
    </row>
    <row r="739" spans="3:3" ht="12.75">
      <c r="C739" s="9"/>
    </row>
    <row r="740" spans="3:3" ht="12.75">
      <c r="C740" s="9"/>
    </row>
    <row r="741" spans="3:3" ht="12.75">
      <c r="C741" s="9"/>
    </row>
    <row r="742" spans="3:3" ht="12.75">
      <c r="C742" s="9"/>
    </row>
    <row r="743" spans="3:3" ht="12.75">
      <c r="C743" s="9"/>
    </row>
    <row r="744" spans="3:3" ht="12.75">
      <c r="C744" s="9"/>
    </row>
    <row r="745" spans="3:3" ht="12.75">
      <c r="C745" s="9"/>
    </row>
    <row r="746" spans="3:3" ht="12.75">
      <c r="C746" s="9"/>
    </row>
    <row r="747" spans="3:3" ht="12.75">
      <c r="C747" s="9"/>
    </row>
    <row r="748" spans="3:3" ht="12.75">
      <c r="C748" s="9"/>
    </row>
    <row r="749" spans="3:3" ht="12.75">
      <c r="C749" s="9"/>
    </row>
    <row r="750" spans="3:3" ht="12.75">
      <c r="C750" s="9"/>
    </row>
    <row r="751" spans="3:3" ht="12.75">
      <c r="C751" s="9"/>
    </row>
    <row r="752" spans="3:3" ht="12.75">
      <c r="C752" s="9"/>
    </row>
    <row r="753" spans="3:3" ht="12.75">
      <c r="C753" s="9"/>
    </row>
    <row r="754" spans="3:3" ht="12.75">
      <c r="C754" s="9"/>
    </row>
    <row r="755" spans="3:3" ht="12.75">
      <c r="C755" s="9"/>
    </row>
    <row r="756" spans="3:3" ht="12.75">
      <c r="C756" s="9"/>
    </row>
    <row r="757" spans="3:3" ht="12.75">
      <c r="C757" s="9"/>
    </row>
    <row r="758" spans="3:3" ht="12.75">
      <c r="C758" s="9"/>
    </row>
    <row r="759" spans="3:3" ht="12.75">
      <c r="C759" s="9"/>
    </row>
    <row r="760" spans="3:3" ht="12.75">
      <c r="C760" s="9"/>
    </row>
    <row r="761" spans="3:3" ht="12.75">
      <c r="C761" s="9"/>
    </row>
    <row r="762" spans="3:3" ht="12.75">
      <c r="C762" s="9"/>
    </row>
    <row r="763" spans="3:3" ht="12.75">
      <c r="C763" s="9"/>
    </row>
    <row r="764" spans="3:3" ht="12.75">
      <c r="C764" s="9"/>
    </row>
    <row r="765" spans="3:3" ht="12.75">
      <c r="C765" s="9"/>
    </row>
    <row r="766" spans="3:3" ht="12.75">
      <c r="C766" s="9"/>
    </row>
    <row r="767" spans="3:3" ht="12.75">
      <c r="C767" s="9"/>
    </row>
    <row r="768" spans="3:3" ht="12.75">
      <c r="C768" s="9"/>
    </row>
    <row r="769" spans="3:3" ht="12.75">
      <c r="C769" s="9"/>
    </row>
    <row r="770" spans="3:3" ht="12.75">
      <c r="C770" s="9"/>
    </row>
    <row r="771" spans="3:3" ht="12.75">
      <c r="C771" s="9"/>
    </row>
    <row r="772" spans="3:3" ht="12.75">
      <c r="C772" s="9"/>
    </row>
    <row r="773" spans="3:3" ht="12.75">
      <c r="C773" s="9"/>
    </row>
    <row r="774" spans="3:3" ht="12.75">
      <c r="C774" s="9"/>
    </row>
    <row r="775" spans="3:3" ht="12.75">
      <c r="C775" s="9"/>
    </row>
    <row r="776" spans="3:3" ht="12.75">
      <c r="C776" s="9"/>
    </row>
    <row r="777" spans="3:3" ht="12.75">
      <c r="C777" s="9"/>
    </row>
    <row r="778" spans="3:3" ht="12.75">
      <c r="C778" s="9"/>
    </row>
    <row r="779" spans="3:3" ht="12.75">
      <c r="C779" s="9"/>
    </row>
    <row r="780" spans="3:3" ht="12.75">
      <c r="C780" s="9"/>
    </row>
    <row r="781" spans="3:3" ht="12.75">
      <c r="C781" s="9"/>
    </row>
    <row r="782" spans="3:3" ht="12.75">
      <c r="C782" s="9"/>
    </row>
    <row r="783" spans="3:3" ht="12.75">
      <c r="C783" s="9"/>
    </row>
    <row r="784" spans="3:3" ht="12.75">
      <c r="C784" s="9"/>
    </row>
    <row r="785" spans="3:3" ht="12.75">
      <c r="C785" s="9"/>
    </row>
    <row r="786" spans="3:3" ht="12.75">
      <c r="C786" s="9"/>
    </row>
    <row r="787" spans="3:3" ht="12.75">
      <c r="C787" s="9"/>
    </row>
    <row r="788" spans="3:3" ht="12.75">
      <c r="C788" s="9"/>
    </row>
    <row r="789" spans="3:3" ht="12.75">
      <c r="C789" s="9"/>
    </row>
    <row r="790" spans="3:3" ht="12.75">
      <c r="C790" s="9"/>
    </row>
    <row r="791" spans="3:3" ht="12.75">
      <c r="C791" s="9"/>
    </row>
    <row r="792" spans="3:3" ht="12.75">
      <c r="C792" s="9"/>
    </row>
    <row r="793" spans="3:3" ht="12.75">
      <c r="C793" s="9"/>
    </row>
    <row r="794" spans="3:3" ht="12.75">
      <c r="C794" s="9"/>
    </row>
    <row r="795" spans="3:3" ht="12.75">
      <c r="C795" s="9"/>
    </row>
    <row r="796" spans="3:3" ht="12.75">
      <c r="C796" s="9"/>
    </row>
    <row r="797" spans="3:3" ht="12.75">
      <c r="C797" s="9"/>
    </row>
    <row r="798" spans="3:3" ht="12.75">
      <c r="C798" s="9"/>
    </row>
    <row r="799" spans="3:3" ht="12.75">
      <c r="C799" s="9"/>
    </row>
    <row r="800" spans="3:3" ht="12.75">
      <c r="C800" s="9"/>
    </row>
    <row r="801" spans="3:3" ht="12.75">
      <c r="C801" s="9"/>
    </row>
    <row r="802" spans="3:3" ht="12.75">
      <c r="C802" s="9"/>
    </row>
    <row r="803" spans="3:3" ht="12.75">
      <c r="C803" s="9"/>
    </row>
    <row r="804" spans="3:3" ht="12.75">
      <c r="C804" s="9"/>
    </row>
    <row r="805" spans="3:3" ht="12.75">
      <c r="C805" s="9"/>
    </row>
    <row r="806" spans="3:3" ht="12.75">
      <c r="C806" s="9"/>
    </row>
    <row r="807" spans="3:3" ht="12.75">
      <c r="C807" s="9"/>
    </row>
    <row r="808" spans="3:3" ht="12.75">
      <c r="C808" s="9"/>
    </row>
    <row r="809" spans="3:3" ht="12.75">
      <c r="C809" s="9"/>
    </row>
    <row r="810" spans="3:3" ht="12.75">
      <c r="C810" s="9"/>
    </row>
    <row r="811" spans="3:3" ht="12.75">
      <c r="C811" s="9"/>
    </row>
    <row r="812" spans="3:3" ht="12.75">
      <c r="C812" s="9"/>
    </row>
    <row r="813" spans="3:3" ht="12.75">
      <c r="C813" s="9"/>
    </row>
    <row r="814" spans="3:3" ht="12.75">
      <c r="C814" s="9"/>
    </row>
    <row r="815" spans="3:3" ht="12.75">
      <c r="C815" s="9"/>
    </row>
    <row r="816" spans="3:3" ht="12.75">
      <c r="C816" s="9"/>
    </row>
    <row r="817" spans="3:3" ht="12.75">
      <c r="C817" s="9"/>
    </row>
    <row r="818" spans="3:3" ht="12.75">
      <c r="C818" s="9"/>
    </row>
    <row r="819" spans="3:3" ht="12.75">
      <c r="C819" s="9"/>
    </row>
    <row r="820" spans="3:3" ht="12.75">
      <c r="C820" s="9"/>
    </row>
    <row r="821" spans="3:3" ht="12.75">
      <c r="C821" s="9"/>
    </row>
    <row r="822" spans="3:3" ht="12.75">
      <c r="C822" s="9"/>
    </row>
    <row r="823" spans="3:3" ht="12.75">
      <c r="C823" s="9"/>
    </row>
    <row r="824" spans="3:3" ht="12.75">
      <c r="C824" s="9"/>
    </row>
    <row r="825" spans="3:3" ht="12.75">
      <c r="C825" s="9"/>
    </row>
    <row r="826" spans="3:3" ht="12.75">
      <c r="C826" s="9"/>
    </row>
    <row r="827" spans="3:3" ht="12.75">
      <c r="C827" s="9"/>
    </row>
    <row r="828" spans="3:3" ht="12.75">
      <c r="C828" s="9"/>
    </row>
    <row r="829" spans="3:3" ht="12.75">
      <c r="C829" s="9"/>
    </row>
    <row r="830" spans="3:3" ht="12.75">
      <c r="C830" s="9"/>
    </row>
    <row r="831" spans="3:3" ht="12.75">
      <c r="C831" s="9"/>
    </row>
    <row r="832" spans="3:3" ht="12.75">
      <c r="C832" s="9"/>
    </row>
    <row r="833" spans="3:3" ht="12.75">
      <c r="C833" s="9"/>
    </row>
    <row r="834" spans="3:3" ht="12.75">
      <c r="C834" s="9"/>
    </row>
    <row r="835" spans="3:3" ht="12.75">
      <c r="C835" s="9"/>
    </row>
    <row r="836" spans="3:3" ht="12.75">
      <c r="C836" s="9"/>
    </row>
    <row r="837" spans="3:3" ht="12.75">
      <c r="C837" s="9"/>
    </row>
    <row r="838" spans="3:3" ht="12.75">
      <c r="C838" s="9"/>
    </row>
    <row r="839" spans="3:3" ht="12.75">
      <c r="C839" s="9"/>
    </row>
    <row r="840" spans="3:3" ht="12.75">
      <c r="C840" s="9"/>
    </row>
    <row r="841" spans="3:3" ht="12.75">
      <c r="C841" s="9"/>
    </row>
    <row r="842" spans="3:3" ht="12.75">
      <c r="C842" s="9"/>
    </row>
    <row r="843" spans="3:3" ht="12.75">
      <c r="C843" s="9"/>
    </row>
    <row r="844" spans="3:3" ht="12.75">
      <c r="C844" s="9"/>
    </row>
    <row r="845" spans="3:3" ht="12.75">
      <c r="C845" s="9"/>
    </row>
    <row r="846" spans="3:3" ht="12.75">
      <c r="C846" s="9"/>
    </row>
    <row r="847" spans="3:3" ht="12.75">
      <c r="C847" s="9"/>
    </row>
    <row r="848" spans="3:3" ht="12.75">
      <c r="C848" s="9"/>
    </row>
    <row r="849" spans="3:3" ht="12.75">
      <c r="C849" s="9"/>
    </row>
    <row r="850" spans="3:3" ht="12.75">
      <c r="C850" s="9"/>
    </row>
    <row r="851" spans="3:3" ht="12.75">
      <c r="C851" s="9"/>
    </row>
    <row r="852" spans="3:3" ht="12.75">
      <c r="C852" s="9"/>
    </row>
    <row r="853" spans="3:3" ht="12.75">
      <c r="C853" s="9"/>
    </row>
    <row r="854" spans="3:3" ht="12.75">
      <c r="C854" s="9"/>
    </row>
    <row r="855" spans="3:3" ht="12.75">
      <c r="C855" s="9"/>
    </row>
    <row r="856" spans="3:3" ht="12.75">
      <c r="C856" s="9"/>
    </row>
    <row r="857" spans="3:3" ht="12.75">
      <c r="C857" s="9"/>
    </row>
    <row r="858" spans="3:3" ht="12.75">
      <c r="C858" s="9"/>
    </row>
    <row r="859" spans="3:3" ht="12.75">
      <c r="C859" s="9"/>
    </row>
    <row r="860" spans="3:3" ht="12.75">
      <c r="C860" s="9"/>
    </row>
    <row r="861" spans="3:3" ht="12.75">
      <c r="C861" s="9"/>
    </row>
    <row r="862" spans="3:3" ht="12.75">
      <c r="C862" s="9"/>
    </row>
    <row r="863" spans="3:3" ht="12.75">
      <c r="C863" s="9"/>
    </row>
    <row r="864" spans="3:3" ht="12.75">
      <c r="C864" s="9"/>
    </row>
    <row r="865" spans="3:3" ht="12.75">
      <c r="C865" s="9"/>
    </row>
    <row r="866" spans="3:3" ht="12.75">
      <c r="C866" s="9"/>
    </row>
    <row r="867" spans="3:3" ht="12.75">
      <c r="C867" s="9"/>
    </row>
    <row r="868" spans="3:3" ht="12.75">
      <c r="C868" s="9"/>
    </row>
    <row r="869" spans="3:3" ht="12.75">
      <c r="C869" s="9"/>
    </row>
    <row r="870" spans="3:3" ht="12.75">
      <c r="C870" s="9"/>
    </row>
    <row r="871" spans="3:3" ht="12.75">
      <c r="C871" s="9"/>
    </row>
    <row r="872" spans="3:3" ht="12.75">
      <c r="C872" s="9"/>
    </row>
    <row r="873" spans="3:3" ht="12.75">
      <c r="C873" s="9"/>
    </row>
    <row r="874" spans="3:3" ht="12.75">
      <c r="C874" s="9"/>
    </row>
    <row r="875" spans="3:3" ht="12.75">
      <c r="C875" s="9"/>
    </row>
    <row r="876" spans="3:3" ht="12.75">
      <c r="C876" s="9"/>
    </row>
    <row r="877" spans="3:3" ht="12.75">
      <c r="C877" s="9"/>
    </row>
    <row r="878" spans="3:3" ht="12.75">
      <c r="C878" s="9"/>
    </row>
    <row r="879" spans="3:3" ht="12.75">
      <c r="C879" s="9"/>
    </row>
    <row r="880" spans="3:3" ht="12.75">
      <c r="C880" s="9"/>
    </row>
    <row r="881" spans="3:3" ht="12.75">
      <c r="C881" s="9"/>
    </row>
    <row r="882" spans="3:3" ht="12.75">
      <c r="C882" s="9"/>
    </row>
    <row r="883" spans="3:3" ht="12.75">
      <c r="C883" s="9"/>
    </row>
    <row r="884" spans="3:3" ht="12.75">
      <c r="C884" s="9"/>
    </row>
    <row r="885" spans="3:3" ht="12.75">
      <c r="C885" s="9"/>
    </row>
    <row r="886" spans="3:3" ht="12.75">
      <c r="C886" s="9"/>
    </row>
    <row r="887" spans="3:3" ht="12.75">
      <c r="C887" s="9"/>
    </row>
    <row r="888" spans="3:3" ht="12.75">
      <c r="C888" s="9"/>
    </row>
    <row r="889" spans="3:3" ht="12.75">
      <c r="C889" s="9"/>
    </row>
    <row r="890" spans="3:3" ht="12.75">
      <c r="C890" s="9"/>
    </row>
    <row r="891" spans="3:3" ht="12.75">
      <c r="C891" s="9"/>
    </row>
    <row r="892" spans="3:3" ht="12.75">
      <c r="C892" s="9"/>
    </row>
    <row r="893" spans="3:3" ht="12.75">
      <c r="C893" s="9"/>
    </row>
    <row r="894" spans="3:3" ht="12.75">
      <c r="C894" s="9"/>
    </row>
    <row r="895" spans="3:3" ht="12.75">
      <c r="C895" s="9"/>
    </row>
    <row r="896" spans="3:3" ht="12.75">
      <c r="C896" s="9"/>
    </row>
    <row r="897" spans="3:3" ht="12.75">
      <c r="C897" s="9"/>
    </row>
    <row r="898" spans="3:3" ht="12.75">
      <c r="C898" s="9"/>
    </row>
    <row r="899" spans="3:3" ht="12.75">
      <c r="C899" s="9"/>
    </row>
    <row r="900" spans="3:3" ht="12.75">
      <c r="C900" s="9"/>
    </row>
    <row r="901" spans="3:3" ht="12.75">
      <c r="C901" s="9"/>
    </row>
    <row r="902" spans="3:3" ht="12.75">
      <c r="C902" s="9"/>
    </row>
    <row r="903" spans="3:3" ht="12.75">
      <c r="C903" s="9"/>
    </row>
    <row r="904" spans="3:3" ht="12.75">
      <c r="C904" s="9"/>
    </row>
    <row r="905" spans="3:3" ht="12.75">
      <c r="C905" s="9"/>
    </row>
    <row r="906" spans="3:3" ht="12.75">
      <c r="C906" s="9"/>
    </row>
    <row r="907" spans="3:3" ht="12.75">
      <c r="C907" s="9"/>
    </row>
    <row r="908" spans="3:3" ht="12.75">
      <c r="C908" s="9"/>
    </row>
    <row r="909" spans="3:3" ht="12.75">
      <c r="C909" s="9"/>
    </row>
    <row r="910" spans="3:3" ht="12.75">
      <c r="C910" s="9"/>
    </row>
    <row r="911" spans="3:3" ht="12.75">
      <c r="C911" s="9"/>
    </row>
    <row r="912" spans="3:3" ht="12.75">
      <c r="C912" s="9"/>
    </row>
    <row r="913" spans="3:3" ht="12.75">
      <c r="C913" s="9"/>
    </row>
    <row r="914" spans="3:3" ht="12.75">
      <c r="C914" s="9"/>
    </row>
    <row r="915" spans="3:3" ht="12.75">
      <c r="C915" s="9"/>
    </row>
    <row r="916" spans="3:3" ht="12.75">
      <c r="C916" s="9"/>
    </row>
    <row r="917" spans="3:3" ht="12.75">
      <c r="C917" s="9"/>
    </row>
    <row r="918" spans="3:3" ht="12.75">
      <c r="C918" s="9"/>
    </row>
    <row r="919" spans="3:3" ht="12.75">
      <c r="C919" s="9"/>
    </row>
    <row r="920" spans="3:3" ht="12.75">
      <c r="C920" s="9"/>
    </row>
    <row r="921" spans="3:3" ht="12.75">
      <c r="C921" s="9"/>
    </row>
    <row r="922" spans="3:3" ht="12.75">
      <c r="C922" s="9"/>
    </row>
    <row r="923" spans="3:3" ht="12.75">
      <c r="C923" s="9"/>
    </row>
    <row r="924" spans="3:3" ht="12.75">
      <c r="C924" s="9"/>
    </row>
    <row r="925" spans="3:3" ht="12.75">
      <c r="C925" s="9"/>
    </row>
    <row r="926" spans="3:3" ht="12.75">
      <c r="C926" s="9"/>
    </row>
    <row r="927" spans="3:3" ht="12.75">
      <c r="C927" s="9"/>
    </row>
    <row r="928" spans="3:3" ht="12.75">
      <c r="C928" s="9"/>
    </row>
    <row r="929" spans="3:3" ht="12.75">
      <c r="C929" s="9"/>
    </row>
    <row r="930" spans="3:3" ht="12.75">
      <c r="C930" s="9"/>
    </row>
    <row r="931" spans="3:3" ht="12.75">
      <c r="C931" s="9"/>
    </row>
    <row r="932" spans="3:3" ht="12.75">
      <c r="C932" s="9"/>
    </row>
    <row r="933" spans="3:3" ht="12.75">
      <c r="C933" s="9"/>
    </row>
    <row r="934" spans="3:3" ht="12.75">
      <c r="C934" s="9"/>
    </row>
    <row r="935" spans="3:3" ht="12.75">
      <c r="C935" s="9"/>
    </row>
    <row r="936" spans="3:3" ht="12.75">
      <c r="C936" s="9"/>
    </row>
    <row r="937" spans="3:3" ht="12.75">
      <c r="C937" s="9"/>
    </row>
    <row r="938" spans="3:3" ht="12.75">
      <c r="C938" s="9"/>
    </row>
    <row r="939" spans="3:3" ht="12.75">
      <c r="C939" s="9"/>
    </row>
    <row r="940" spans="3:3" ht="12.75">
      <c r="C940" s="9"/>
    </row>
    <row r="941" spans="3:3" ht="12.75">
      <c r="C941" s="9"/>
    </row>
    <row r="942" spans="3:3" ht="12.75">
      <c r="C942" s="9"/>
    </row>
    <row r="943" spans="3:3" ht="12.75">
      <c r="C943" s="9"/>
    </row>
    <row r="944" spans="3:3" ht="12.75">
      <c r="C944" s="9"/>
    </row>
    <row r="945" spans="3:3" ht="12.75">
      <c r="C945" s="9"/>
    </row>
    <row r="946" spans="3:3" ht="12.75">
      <c r="C946" s="9"/>
    </row>
    <row r="947" spans="3:3" ht="12.75">
      <c r="C947" s="9"/>
    </row>
    <row r="948" spans="3:3" ht="12.75">
      <c r="C948" s="9"/>
    </row>
    <row r="949" spans="3:3" ht="12.75">
      <c r="C949" s="9"/>
    </row>
    <row r="950" spans="3:3" ht="12.75">
      <c r="C950" s="9"/>
    </row>
    <row r="951" spans="3:3" ht="12.75">
      <c r="C951" s="9"/>
    </row>
    <row r="952" spans="3:3" ht="12.75">
      <c r="C952" s="9"/>
    </row>
    <row r="953" spans="3:3" ht="12.75">
      <c r="C953" s="9"/>
    </row>
    <row r="954" spans="3:3" ht="12.75">
      <c r="C954" s="9"/>
    </row>
    <row r="955" spans="3:3" ht="12.75">
      <c r="C955" s="9"/>
    </row>
    <row r="956" spans="3:3" ht="12.75">
      <c r="C956" s="9"/>
    </row>
    <row r="957" spans="3:3" ht="12.75">
      <c r="C957" s="9"/>
    </row>
    <row r="958" spans="3:3" ht="12.75">
      <c r="C958" s="9"/>
    </row>
    <row r="959" spans="3:3" ht="12.75">
      <c r="C959" s="9"/>
    </row>
    <row r="960" spans="3:3" ht="12.75">
      <c r="C960" s="9"/>
    </row>
    <row r="961" spans="3:3" ht="12.75">
      <c r="C961" s="9"/>
    </row>
    <row r="962" spans="3:3" ht="12.75">
      <c r="C962" s="9"/>
    </row>
    <row r="963" spans="3:3" ht="12.75">
      <c r="C963" s="9"/>
    </row>
    <row r="964" spans="3:3" ht="12.75">
      <c r="C964" s="9"/>
    </row>
    <row r="965" spans="3:3" ht="12.75">
      <c r="C965" s="9"/>
    </row>
    <row r="966" spans="3:3" ht="12.75">
      <c r="C966" s="9"/>
    </row>
    <row r="967" spans="3:3" ht="12.75">
      <c r="C967" s="9"/>
    </row>
    <row r="968" spans="3:3" ht="12.75">
      <c r="C968" s="9"/>
    </row>
    <row r="969" spans="3:3" ht="12.75">
      <c r="C969" s="9"/>
    </row>
    <row r="970" spans="3:3" ht="12.75">
      <c r="C970" s="9"/>
    </row>
    <row r="971" spans="3:3" ht="12.75">
      <c r="C971" s="9"/>
    </row>
    <row r="972" spans="3:3" ht="12.75">
      <c r="C972" s="9"/>
    </row>
    <row r="973" spans="3:3" ht="12.75">
      <c r="C973" s="9"/>
    </row>
    <row r="974" spans="3:3" ht="12.75">
      <c r="C974" s="9"/>
    </row>
    <row r="975" spans="3:3" ht="12.75">
      <c r="C975" s="9"/>
    </row>
    <row r="976" spans="3:3" ht="12.75">
      <c r="C976" s="9"/>
    </row>
    <row r="977" spans="3:3" ht="12.75">
      <c r="C977" s="9"/>
    </row>
    <row r="978" spans="3:3" ht="12.75">
      <c r="C978" s="9"/>
    </row>
    <row r="979" spans="3:3" ht="12.75">
      <c r="C979" s="9"/>
    </row>
    <row r="980" spans="3:3" ht="12.75">
      <c r="C980" s="9"/>
    </row>
    <row r="981" spans="3:3" ht="12.75">
      <c r="C981" s="9"/>
    </row>
    <row r="982" spans="3:3" ht="12.75">
      <c r="C982" s="9"/>
    </row>
    <row r="983" spans="3:3" ht="12.75">
      <c r="C983" s="9"/>
    </row>
    <row r="984" spans="3:3" ht="12.75">
      <c r="C984" s="9"/>
    </row>
    <row r="985" spans="3:3" ht="12.75">
      <c r="C985" s="9"/>
    </row>
    <row r="986" spans="3:3" ht="12.75">
      <c r="C986" s="9"/>
    </row>
    <row r="987" spans="3:3" ht="12.75">
      <c r="C987" s="9"/>
    </row>
    <row r="988" spans="3:3" ht="12.75">
      <c r="C988" s="9"/>
    </row>
    <row r="989" spans="3:3" ht="12.75">
      <c r="C989" s="9"/>
    </row>
    <row r="990" spans="3:3" ht="12.75">
      <c r="C990" s="9"/>
    </row>
    <row r="991" spans="3:3" ht="12.75">
      <c r="C991" s="9"/>
    </row>
    <row r="992" spans="3:3" ht="12.75">
      <c r="C992" s="9"/>
    </row>
    <row r="993" spans="3:3" ht="12.75">
      <c r="C993" s="9"/>
    </row>
    <row r="994" spans="3:3" ht="12.75">
      <c r="C994" s="9"/>
    </row>
    <row r="995" spans="3:3" ht="12.75">
      <c r="C995" s="9"/>
    </row>
    <row r="996" spans="3:3" ht="12.75">
      <c r="C996" s="9"/>
    </row>
    <row r="997" spans="3:3" ht="12.75">
      <c r="C997" s="9"/>
    </row>
    <row r="998" spans="3:3" ht="12.75">
      <c r="C998" s="9"/>
    </row>
    <row r="999" spans="3:3" ht="12.75">
      <c r="C999" s="9"/>
    </row>
    <row r="1000" spans="3:3" ht="12.75">
      <c r="C1000" s="9"/>
    </row>
    <row r="1001" spans="3:3" ht="12.75">
      <c r="C1001" s="9"/>
    </row>
    <row r="1002" spans="3:3" ht="12.75">
      <c r="C1002" s="9"/>
    </row>
    <row r="1003" spans="3:3" ht="12.75">
      <c r="C1003" s="9"/>
    </row>
    <row r="1004" spans="3:3" ht="12.75">
      <c r="C1004" s="9"/>
    </row>
    <row r="1005" spans="3:3" ht="12.75">
      <c r="C1005" s="9"/>
    </row>
    <row r="1006" spans="3:3" ht="15.75" customHeight="1">
      <c r="C1006" s="9"/>
    </row>
  </sheetData>
  <sheetProtection selectLockedCells="1"/>
  <mergeCells count="1">
    <mergeCell ref="A1:E1"/>
  </mergeCells>
  <phoneticPr fontId="41" type="noConversion"/>
  <dataValidations count="1">
    <dataValidation type="list" allowBlank="1" showErrorMessage="1" sqref="A200 A3:A190" xr:uid="{00000000-0002-0000-0600-000001000000}">
      <formula1>"Chaat,Chinese,Breads,Drinks &amp; Beverage,Grill Special,Kulfi,North Indian,South Indian,Specials,Sweets,Namkeen"</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xr:uid="{00000000-0002-0000-0600-000000000000}">
          <x14:formula1>
            <xm:f>'ITEM LIST'!$B$2:$B$479</xm:f>
          </x14:formula1>
          <xm:sqref>C200:C224 C3:C197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FF0000"/>
    <outlinePr summaryBelow="0" summaryRight="0"/>
  </sheetPr>
  <dimension ref="A1:E59"/>
  <sheetViews>
    <sheetView workbookViewId="0">
      <selection activeCell="C12" sqref="C12"/>
    </sheetView>
  </sheetViews>
  <sheetFormatPr defaultColWidth="12.5703125" defaultRowHeight="15.75" customHeight="1"/>
  <cols>
    <col min="1" max="1" width="18.85546875" customWidth="1"/>
    <col min="2" max="2" width="17.42578125" customWidth="1"/>
    <col min="3" max="3" width="19" customWidth="1"/>
    <col min="4" max="4" width="14.7109375" customWidth="1"/>
    <col min="5" max="5" width="15.42578125" customWidth="1"/>
  </cols>
  <sheetData>
    <row r="1" spans="1:5" ht="19.5">
      <c r="A1" s="271" t="s">
        <v>309</v>
      </c>
      <c r="B1" s="272"/>
      <c r="C1" s="272"/>
      <c r="D1" s="272"/>
      <c r="E1" s="272"/>
    </row>
    <row r="2" spans="1:5" ht="15.75" customHeight="1">
      <c r="A2" s="189" t="s">
        <v>125</v>
      </c>
      <c r="B2" s="190" t="s">
        <v>126</v>
      </c>
      <c r="C2" s="190" t="s">
        <v>302</v>
      </c>
      <c r="D2" s="190" t="s">
        <v>303</v>
      </c>
      <c r="E2" s="191" t="s">
        <v>128</v>
      </c>
    </row>
    <row r="3" spans="1:5">
      <c r="A3" s="174" t="s">
        <v>108</v>
      </c>
      <c r="B3" s="175" t="s">
        <v>550</v>
      </c>
      <c r="C3" s="175" t="s">
        <v>39</v>
      </c>
      <c r="D3" s="176">
        <v>100</v>
      </c>
      <c r="E3" s="81">
        <f>IF(C3="","",IFERROR(VLOOKUP(C3,'ITEM LIST'!B:M,12,0)*D3,0))</f>
        <v>3.5000000000000004</v>
      </c>
    </row>
    <row r="4" spans="1:5">
      <c r="A4" s="174" t="s">
        <v>108</v>
      </c>
      <c r="B4" s="175" t="s">
        <v>550</v>
      </c>
      <c r="C4" s="175" t="s">
        <v>670</v>
      </c>
      <c r="D4" s="176">
        <v>3</v>
      </c>
      <c r="E4" s="81">
        <f>IF(C4="","",IFERROR(VLOOKUP(C4,'ITEM LIST'!B:M,12,0)*D4,0))</f>
        <v>0.36</v>
      </c>
    </row>
    <row r="5" spans="1:5">
      <c r="A5" s="174" t="s">
        <v>108</v>
      </c>
      <c r="B5" s="175" t="s">
        <v>550</v>
      </c>
      <c r="C5" s="175" t="s">
        <v>114</v>
      </c>
      <c r="D5" s="176">
        <v>3</v>
      </c>
      <c r="E5" s="81">
        <f>IF(C5="","",IFERROR(VLOOKUP(C5,'ITEM LIST'!B:M,12,0)*D5,0))</f>
        <v>8.4000000000000005E-2</v>
      </c>
    </row>
    <row r="6" spans="1:5">
      <c r="A6" s="174" t="s">
        <v>108</v>
      </c>
      <c r="B6" s="175" t="s">
        <v>371</v>
      </c>
      <c r="C6" s="175" t="s">
        <v>371</v>
      </c>
      <c r="D6" s="176"/>
      <c r="E6" s="81" t="str">
        <f>IF(C6="","",IFERROR(VLOOKUP(C6,'ITEM LIST'!B:M,12,0)*D6,0))</f>
        <v/>
      </c>
    </row>
    <row r="7" spans="1:5">
      <c r="A7" s="174" t="s">
        <v>108</v>
      </c>
      <c r="B7" s="175" t="s">
        <v>623</v>
      </c>
      <c r="C7" s="175" t="s">
        <v>39</v>
      </c>
      <c r="D7" s="176">
        <v>78</v>
      </c>
      <c r="E7" s="81">
        <f>IF(C7="","",IFERROR(VLOOKUP(C7,'ITEM LIST'!B:M,12,0)*D7,0))</f>
        <v>2.7300000000000004</v>
      </c>
    </row>
    <row r="8" spans="1:5">
      <c r="A8" s="174" t="s">
        <v>108</v>
      </c>
      <c r="B8" s="175" t="s">
        <v>623</v>
      </c>
      <c r="C8" s="175" t="s">
        <v>670</v>
      </c>
      <c r="D8" s="176">
        <v>2</v>
      </c>
      <c r="E8" s="81">
        <f>IF(C8="","",IFERROR(VLOOKUP(C8,'ITEM LIST'!B:M,12,0)*D8,0))</f>
        <v>0.24</v>
      </c>
    </row>
    <row r="9" spans="1:5">
      <c r="A9" s="174" t="s">
        <v>108</v>
      </c>
      <c r="B9" s="175" t="s">
        <v>623</v>
      </c>
      <c r="C9" s="175" t="s">
        <v>114</v>
      </c>
      <c r="D9" s="176">
        <v>2</v>
      </c>
      <c r="E9" s="81">
        <f>IF(C9="","",IFERROR(VLOOKUP(C9,'ITEM LIST'!B:M,12,0)*D9,0))</f>
        <v>5.6000000000000001E-2</v>
      </c>
    </row>
    <row r="10" spans="1:5">
      <c r="A10" s="174" t="s">
        <v>108</v>
      </c>
      <c r="B10" s="175" t="s">
        <v>371</v>
      </c>
      <c r="C10" s="175" t="s">
        <v>371</v>
      </c>
      <c r="D10" s="176"/>
      <c r="E10" s="81" t="str">
        <f>IF(C10="","",IFERROR(VLOOKUP(C10,'ITEM LIST'!B:M,12,0)*D10,0))</f>
        <v/>
      </c>
    </row>
    <row r="11" spans="1:5">
      <c r="A11" s="174" t="s">
        <v>108</v>
      </c>
      <c r="B11" s="175" t="s">
        <v>624</v>
      </c>
      <c r="C11" s="175" t="s">
        <v>40</v>
      </c>
      <c r="D11" s="176">
        <v>136</v>
      </c>
      <c r="E11" s="81">
        <f>IF(C11="","",IFERROR(VLOOKUP(C11,'ITEM LIST'!B:M,12,0)*D11,0))</f>
        <v>4.3520000000000003</v>
      </c>
    </row>
    <row r="12" spans="1:5">
      <c r="A12" s="174" t="s">
        <v>108</v>
      </c>
      <c r="B12" s="175" t="s">
        <v>624</v>
      </c>
      <c r="C12" s="175" t="s">
        <v>670</v>
      </c>
      <c r="D12" s="176">
        <v>6.8</v>
      </c>
      <c r="E12" s="81">
        <f>IF(C12="","",IFERROR(VLOOKUP(C12,'ITEM LIST'!B:M,12,0)*D12,0))</f>
        <v>0.81599999999999995</v>
      </c>
    </row>
    <row r="13" spans="1:5">
      <c r="A13" s="174" t="s">
        <v>108</v>
      </c>
      <c r="B13" s="175" t="s">
        <v>624</v>
      </c>
      <c r="C13" s="175" t="s">
        <v>114</v>
      </c>
      <c r="D13" s="176">
        <v>3.4</v>
      </c>
      <c r="E13" s="81">
        <f>IF(C13="","",IFERROR(VLOOKUP(C13,'ITEM LIST'!B:M,12,0)*D13,0))</f>
        <v>9.5199999999999993E-2</v>
      </c>
    </row>
    <row r="14" spans="1:5">
      <c r="A14" s="174" t="s">
        <v>108</v>
      </c>
      <c r="B14" s="175" t="s">
        <v>624</v>
      </c>
      <c r="C14" s="175" t="s">
        <v>509</v>
      </c>
      <c r="D14" s="176">
        <v>3.4</v>
      </c>
      <c r="E14" s="81">
        <f>IF(C14="","",IFERROR(VLOOKUP(C14,'ITEM LIST'!B:M,12,0)*D14,0))</f>
        <v>0.14280000000000001</v>
      </c>
    </row>
    <row r="15" spans="1:5">
      <c r="A15" s="174" t="s">
        <v>108</v>
      </c>
      <c r="B15" s="175" t="s">
        <v>371</v>
      </c>
      <c r="C15" s="175" t="s">
        <v>371</v>
      </c>
      <c r="D15" s="176"/>
      <c r="E15" s="81" t="str">
        <f>IF(C15="","",IFERROR(VLOOKUP(C15,'ITEM LIST'!B:M,12,0)*D15,0))</f>
        <v/>
      </c>
    </row>
    <row r="16" spans="1:5">
      <c r="A16" s="174" t="s">
        <v>108</v>
      </c>
      <c r="B16" s="175" t="s">
        <v>625</v>
      </c>
      <c r="C16" s="175" t="s">
        <v>39</v>
      </c>
      <c r="D16" s="176">
        <v>100</v>
      </c>
      <c r="E16" s="81">
        <f>IF(C16="","",IFERROR(VLOOKUP(C16,'ITEM LIST'!B:M,12,0)*D16,0))</f>
        <v>3.5000000000000004</v>
      </c>
    </row>
    <row r="17" spans="1:5">
      <c r="A17" s="174" t="s">
        <v>108</v>
      </c>
      <c r="B17" s="175" t="s">
        <v>625</v>
      </c>
      <c r="C17" s="175" t="s">
        <v>670</v>
      </c>
      <c r="D17" s="176">
        <v>3</v>
      </c>
      <c r="E17" s="81">
        <f>IF(C17="","",IFERROR(VLOOKUP(C17,'ITEM LIST'!B:M,12,0)*D17,0))</f>
        <v>0.36</v>
      </c>
    </row>
    <row r="18" spans="1:5">
      <c r="A18" s="174" t="s">
        <v>108</v>
      </c>
      <c r="B18" s="175" t="s">
        <v>625</v>
      </c>
      <c r="C18" s="175" t="s">
        <v>114</v>
      </c>
      <c r="D18" s="176">
        <v>3</v>
      </c>
      <c r="E18" s="81">
        <f>IF(C18="","",IFERROR(VLOOKUP(C18,'ITEM LIST'!B:M,12,0)*D18,0))</f>
        <v>8.4000000000000005E-2</v>
      </c>
    </row>
    <row r="19" spans="1:5">
      <c r="A19" s="174" t="s">
        <v>108</v>
      </c>
      <c r="B19" s="175" t="s">
        <v>625</v>
      </c>
      <c r="C19" s="175" t="s">
        <v>18</v>
      </c>
      <c r="D19" s="176">
        <v>3</v>
      </c>
      <c r="E19" s="81">
        <f>IF(C19="","",IFERROR(VLOOKUP(C19,'ITEM LIST'!B:M,12,0)*D19,0))</f>
        <v>0.09</v>
      </c>
    </row>
    <row r="20" spans="1:5" ht="15">
      <c r="A20" s="174" t="s">
        <v>108</v>
      </c>
      <c r="B20" s="175" t="s">
        <v>371</v>
      </c>
      <c r="C20" s="175" t="s">
        <v>371</v>
      </c>
      <c r="D20" s="177"/>
      <c r="E20" s="81" t="str">
        <f>IF(C20="","",IFERROR(VLOOKUP(C20,'ITEM LIST'!B:M,12,0)*D20,0))</f>
        <v/>
      </c>
    </row>
    <row r="21" spans="1:5">
      <c r="A21" s="174" t="s">
        <v>108</v>
      </c>
      <c r="B21" s="175" t="s">
        <v>626</v>
      </c>
      <c r="C21" s="175" t="s">
        <v>118</v>
      </c>
      <c r="D21" s="176">
        <v>5</v>
      </c>
      <c r="E21" s="81">
        <f>IF(C21="","",IFERROR(VLOOKUP(C21,'ITEM LIST'!B:M,12,0)*D21,0))</f>
        <v>0.6</v>
      </c>
    </row>
    <row r="22" spans="1:5">
      <c r="A22" s="174" t="s">
        <v>108</v>
      </c>
      <c r="B22" s="175" t="s">
        <v>626</v>
      </c>
      <c r="C22" s="175" t="s">
        <v>40</v>
      </c>
      <c r="D22" s="176">
        <v>136</v>
      </c>
      <c r="E22" s="81">
        <f>IF(C22="","",IFERROR(VLOOKUP(C22,'ITEM LIST'!B:M,12,0)*D22,0))</f>
        <v>4.3520000000000003</v>
      </c>
    </row>
    <row r="23" spans="1:5">
      <c r="A23" s="174" t="s">
        <v>108</v>
      </c>
      <c r="B23" s="175" t="s">
        <v>626</v>
      </c>
      <c r="C23" s="175" t="s">
        <v>670</v>
      </c>
      <c r="D23" s="176">
        <v>6.8</v>
      </c>
      <c r="E23" s="81">
        <f>IF(C23="","",IFERROR(VLOOKUP(C23,'ITEM LIST'!B:M,12,0)*D23,0))</f>
        <v>0.81599999999999995</v>
      </c>
    </row>
    <row r="24" spans="1:5">
      <c r="A24" s="174" t="s">
        <v>108</v>
      </c>
      <c r="B24" s="175" t="s">
        <v>626</v>
      </c>
      <c r="C24" s="175" t="s">
        <v>114</v>
      </c>
      <c r="D24" s="176">
        <v>3.4</v>
      </c>
      <c r="E24" s="81">
        <f>IF(C24="","",IFERROR(VLOOKUP(C24,'ITEM LIST'!B:M,12,0)*D24,0))</f>
        <v>9.5199999999999993E-2</v>
      </c>
    </row>
    <row r="25" spans="1:5">
      <c r="A25" s="174" t="s">
        <v>108</v>
      </c>
      <c r="B25" s="175" t="s">
        <v>626</v>
      </c>
      <c r="C25" s="175" t="s">
        <v>509</v>
      </c>
      <c r="D25" s="176">
        <v>3.4</v>
      </c>
      <c r="E25" s="81">
        <f>IF(C25="","",IFERROR(VLOOKUP(C25,'ITEM LIST'!B:M,12,0)*D25,0))</f>
        <v>0.14280000000000001</v>
      </c>
    </row>
    <row r="26" spans="1:5" ht="15">
      <c r="A26" s="174" t="s">
        <v>108</v>
      </c>
      <c r="B26" s="175" t="s">
        <v>371</v>
      </c>
      <c r="C26" s="175" t="s">
        <v>371</v>
      </c>
      <c r="D26" s="177"/>
      <c r="E26" s="81" t="str">
        <f>IF(C26="","",IFERROR(VLOOKUP(C26,'ITEM LIST'!B:M,12,0)*D26,0))</f>
        <v/>
      </c>
    </row>
    <row r="27" spans="1:5">
      <c r="A27" s="174" t="s">
        <v>108</v>
      </c>
      <c r="B27" s="175" t="s">
        <v>627</v>
      </c>
      <c r="C27" s="175" t="s">
        <v>10</v>
      </c>
      <c r="D27" s="178">
        <v>88</v>
      </c>
      <c r="E27" s="81">
        <f>IF(C27="","",IFERROR(VLOOKUP(C27,'ITEM LIST'!B:M,12,0)*D27,0))</f>
        <v>1.5839999999999999</v>
      </c>
    </row>
    <row r="28" spans="1:5">
      <c r="A28" s="174" t="s">
        <v>108</v>
      </c>
      <c r="B28" s="175" t="s">
        <v>627</v>
      </c>
      <c r="C28" s="175" t="s">
        <v>20</v>
      </c>
      <c r="D28" s="176">
        <v>16</v>
      </c>
      <c r="E28" s="81">
        <f>IF(C28="","",IFERROR(VLOOKUP(C28,'ITEM LIST'!B:M,12,0)*D28,0))</f>
        <v>0.30399999999999999</v>
      </c>
    </row>
    <row r="29" spans="1:5">
      <c r="A29" s="174" t="s">
        <v>108</v>
      </c>
      <c r="B29" s="175" t="s">
        <v>627</v>
      </c>
      <c r="C29" s="175" t="s">
        <v>347</v>
      </c>
      <c r="D29" s="178">
        <v>1</v>
      </c>
      <c r="E29" s="81">
        <f>IF(C29="","",IFERROR(VLOOKUP(C29,'ITEM LIST'!B:M,12,0)*D29,0))</f>
        <v>0.68</v>
      </c>
    </row>
    <row r="30" spans="1:5">
      <c r="A30" s="174" t="s">
        <v>108</v>
      </c>
      <c r="B30" s="175" t="s">
        <v>627</v>
      </c>
      <c r="C30" s="175" t="s">
        <v>17</v>
      </c>
      <c r="D30" s="176">
        <v>16</v>
      </c>
      <c r="E30" s="81">
        <f>IF(C30="","",IFERROR(VLOOKUP(C30,'ITEM LIST'!B:M,12,0)*D30,0))</f>
        <v>4.32</v>
      </c>
    </row>
    <row r="31" spans="1:5">
      <c r="A31" s="174" t="s">
        <v>108</v>
      </c>
      <c r="B31" s="175" t="s">
        <v>627</v>
      </c>
      <c r="C31" s="175" t="s">
        <v>323</v>
      </c>
      <c r="D31" s="178">
        <v>4</v>
      </c>
      <c r="E31" s="81">
        <f>IF(C31="","",IFERROR(VLOOKUP(C31,'ITEM LIST'!B:M,12,0)*D31,0))</f>
        <v>0.14000000000000001</v>
      </c>
    </row>
    <row r="32" spans="1:5">
      <c r="A32" s="174" t="s">
        <v>108</v>
      </c>
      <c r="B32" s="175" t="s">
        <v>627</v>
      </c>
      <c r="C32" s="175" t="s">
        <v>114</v>
      </c>
      <c r="D32" s="178">
        <v>3</v>
      </c>
      <c r="E32" s="81">
        <f>IF(C32="","",IFERROR(VLOOKUP(C32,'ITEM LIST'!B:M,12,0)*D32,0))</f>
        <v>8.4000000000000005E-2</v>
      </c>
    </row>
    <row r="33" spans="1:5">
      <c r="A33" s="174" t="s">
        <v>108</v>
      </c>
      <c r="B33" s="175" t="s">
        <v>627</v>
      </c>
      <c r="C33" s="175" t="s">
        <v>40</v>
      </c>
      <c r="D33" s="176">
        <v>150</v>
      </c>
      <c r="E33" s="81">
        <f>IF(C33="","",IFERROR(VLOOKUP(C33,'ITEM LIST'!B:M,12,0)*D33,0))</f>
        <v>4.8</v>
      </c>
    </row>
    <row r="34" spans="1:5">
      <c r="A34" s="174" t="s">
        <v>108</v>
      </c>
      <c r="B34" s="175" t="s">
        <v>627</v>
      </c>
      <c r="C34" s="175" t="s">
        <v>425</v>
      </c>
      <c r="D34" s="176">
        <v>10</v>
      </c>
      <c r="E34" s="81">
        <f>IF(C34="","",IFERROR(VLOOKUP(C34,'ITEM LIST'!B:M,12,0)*D34,0))</f>
        <v>4.6999999999999993</v>
      </c>
    </row>
    <row r="35" spans="1:5" ht="15">
      <c r="A35" s="174" t="s">
        <v>108</v>
      </c>
      <c r="B35" s="175" t="s">
        <v>371</v>
      </c>
      <c r="C35" s="175" t="s">
        <v>371</v>
      </c>
      <c r="D35" s="177"/>
      <c r="E35" s="81" t="str">
        <f>IF(C35="","",IFERROR(VLOOKUP(C35,'ITEM LIST'!B:M,12,0)*D35,0))</f>
        <v/>
      </c>
    </row>
    <row r="36" spans="1:5">
      <c r="A36" s="174" t="s">
        <v>108</v>
      </c>
      <c r="B36" s="175" t="s">
        <v>628</v>
      </c>
      <c r="C36" s="175" t="s">
        <v>323</v>
      </c>
      <c r="D36" s="176">
        <v>5</v>
      </c>
      <c r="E36" s="81">
        <f>IF(C36="","",IFERROR(VLOOKUP(C36,'ITEM LIST'!B:M,12,0)*D36,0))</f>
        <v>0.17500000000000002</v>
      </c>
    </row>
    <row r="37" spans="1:5">
      <c r="A37" s="174" t="s">
        <v>108</v>
      </c>
      <c r="B37" s="175" t="s">
        <v>628</v>
      </c>
      <c r="C37" s="175" t="s">
        <v>39</v>
      </c>
      <c r="D37" s="176">
        <v>100</v>
      </c>
      <c r="E37" s="81">
        <f>IF(C37="","",IFERROR(VLOOKUP(C37,'ITEM LIST'!B:M,12,0)*D37,0))</f>
        <v>3.5000000000000004</v>
      </c>
    </row>
    <row r="38" spans="1:5">
      <c r="A38" s="174" t="s">
        <v>108</v>
      </c>
      <c r="B38" s="175" t="s">
        <v>628</v>
      </c>
      <c r="C38" s="175" t="s">
        <v>670</v>
      </c>
      <c r="D38" s="176">
        <v>3</v>
      </c>
      <c r="E38" s="81">
        <f>IF(C38="","",IFERROR(VLOOKUP(C38,'ITEM LIST'!B:M,12,0)*D38,0))</f>
        <v>0.36</v>
      </c>
    </row>
    <row r="39" spans="1:5">
      <c r="A39" s="174" t="s">
        <v>108</v>
      </c>
      <c r="B39" s="175" t="s">
        <v>628</v>
      </c>
      <c r="C39" s="175" t="s">
        <v>114</v>
      </c>
      <c r="D39" s="176">
        <v>3</v>
      </c>
      <c r="E39" s="81">
        <f>IF(C39="","",IFERROR(VLOOKUP(C39,'ITEM LIST'!B:M,12,0)*D39,0))</f>
        <v>8.4000000000000005E-2</v>
      </c>
    </row>
    <row r="40" spans="1:5" ht="15">
      <c r="A40" s="174" t="s">
        <v>108</v>
      </c>
      <c r="B40" s="175" t="s">
        <v>371</v>
      </c>
      <c r="C40" s="175" t="s">
        <v>371</v>
      </c>
      <c r="D40" s="177"/>
      <c r="E40" s="81" t="str">
        <f>IF(C40="","",IFERROR(VLOOKUP(C40,'ITEM LIST'!B:M,12,0)*D40,0))</f>
        <v/>
      </c>
    </row>
    <row r="41" spans="1:5">
      <c r="A41" s="174" t="s">
        <v>108</v>
      </c>
      <c r="B41" s="175" t="s">
        <v>629</v>
      </c>
      <c r="C41" s="175" t="s">
        <v>39</v>
      </c>
      <c r="D41" s="176">
        <v>106</v>
      </c>
      <c r="E41" s="81">
        <f>IF(C41="","",IFERROR(VLOOKUP(C41,'ITEM LIST'!B:M,12,0)*D41,0))</f>
        <v>3.7100000000000004</v>
      </c>
    </row>
    <row r="42" spans="1:5">
      <c r="A42" s="174" t="s">
        <v>108</v>
      </c>
      <c r="B42" s="175" t="s">
        <v>629</v>
      </c>
      <c r="C42" s="175" t="s">
        <v>425</v>
      </c>
      <c r="D42" s="178">
        <v>4</v>
      </c>
      <c r="E42" s="81">
        <f>IF(C42="","",IFERROR(VLOOKUP(C42,'ITEM LIST'!B:M,12,0)*D42,0))</f>
        <v>1.88</v>
      </c>
    </row>
    <row r="43" spans="1:5">
      <c r="A43" s="174" t="s">
        <v>108</v>
      </c>
      <c r="B43" s="175" t="s">
        <v>629</v>
      </c>
      <c r="C43" s="175" t="s">
        <v>10</v>
      </c>
      <c r="D43" s="178">
        <v>68.75</v>
      </c>
      <c r="E43" s="81">
        <f>IF(C43="","",IFERROR(VLOOKUP(C43,'ITEM LIST'!B:M,12,0)*D43,0))</f>
        <v>1.2374999999999998</v>
      </c>
    </row>
    <row r="44" spans="1:5">
      <c r="A44" s="174" t="s">
        <v>108</v>
      </c>
      <c r="B44" s="175" t="s">
        <v>629</v>
      </c>
      <c r="C44" s="175" t="s">
        <v>20</v>
      </c>
      <c r="D44" s="178">
        <v>12.5</v>
      </c>
      <c r="E44" s="81">
        <f>IF(C44="","",IFERROR(VLOOKUP(C44,'ITEM LIST'!B:M,12,0)*D44,0))</f>
        <v>0.23749999999999999</v>
      </c>
    </row>
    <row r="45" spans="1:5">
      <c r="A45" s="174" t="s">
        <v>108</v>
      </c>
      <c r="B45" s="175" t="s">
        <v>629</v>
      </c>
      <c r="C45" s="175" t="s">
        <v>347</v>
      </c>
      <c r="D45" s="178">
        <v>0.78125</v>
      </c>
      <c r="E45" s="81">
        <f>IF(C45="","",IFERROR(VLOOKUP(C45,'ITEM LIST'!B:M,12,0)*D45,0))</f>
        <v>0.53125</v>
      </c>
    </row>
    <row r="46" spans="1:5">
      <c r="A46" s="174" t="s">
        <v>108</v>
      </c>
      <c r="B46" s="175" t="s">
        <v>629</v>
      </c>
      <c r="C46" s="175" t="s">
        <v>17</v>
      </c>
      <c r="D46" s="178">
        <v>12.5</v>
      </c>
      <c r="E46" s="81">
        <f>IF(C46="","",IFERROR(VLOOKUP(C46,'ITEM LIST'!B:M,12,0)*D46,0))</f>
        <v>3.375</v>
      </c>
    </row>
    <row r="47" spans="1:5">
      <c r="A47" s="174" t="s">
        <v>108</v>
      </c>
      <c r="B47" s="175" t="s">
        <v>629</v>
      </c>
      <c r="C47" s="175" t="s">
        <v>323</v>
      </c>
      <c r="D47" s="178">
        <v>3.125</v>
      </c>
      <c r="E47" s="81">
        <f>IF(C47="","",IFERROR(VLOOKUP(C47,'ITEM LIST'!B:M,12,0)*D47,0))</f>
        <v>0.10937500000000001</v>
      </c>
    </row>
    <row r="48" spans="1:5">
      <c r="A48" s="174" t="s">
        <v>108</v>
      </c>
      <c r="B48" s="175" t="s">
        <v>629</v>
      </c>
      <c r="C48" s="175" t="s">
        <v>114</v>
      </c>
      <c r="D48" s="178">
        <v>2.34375</v>
      </c>
      <c r="E48" s="81">
        <f>IF(C48="","",IFERROR(VLOOKUP(C48,'ITEM LIST'!B:M,12,0)*D48,0))</f>
        <v>6.5625000000000003E-2</v>
      </c>
    </row>
    <row r="49" spans="1:5">
      <c r="A49" s="174" t="s">
        <v>108</v>
      </c>
      <c r="B49" s="175" t="s">
        <v>371</v>
      </c>
      <c r="C49" s="175" t="s">
        <v>371</v>
      </c>
      <c r="D49" s="178"/>
      <c r="E49" s="81" t="str">
        <f>IF(C49="","",IFERROR(VLOOKUP(C49,'ITEM LIST'!B:M,12,0)*D49,0))</f>
        <v/>
      </c>
    </row>
    <row r="50" spans="1:5">
      <c r="A50" s="174" t="s">
        <v>108</v>
      </c>
      <c r="B50" s="175" t="s">
        <v>630</v>
      </c>
      <c r="C50" s="175" t="s">
        <v>425</v>
      </c>
      <c r="D50" s="178">
        <v>3</v>
      </c>
      <c r="E50" s="81">
        <f>IF(C50="","",IFERROR(VLOOKUP(C50,'ITEM LIST'!B:M,12,0)*D50,0))</f>
        <v>1.41</v>
      </c>
    </row>
    <row r="51" spans="1:5">
      <c r="A51" s="174" t="s">
        <v>108</v>
      </c>
      <c r="B51" s="175" t="s">
        <v>630</v>
      </c>
      <c r="C51" s="175" t="s">
        <v>39</v>
      </c>
      <c r="D51" s="178">
        <v>78</v>
      </c>
      <c r="E51" s="81">
        <f>IF(C51="","",IFERROR(VLOOKUP(C51,'ITEM LIST'!B:M,12,0)*D51,0))</f>
        <v>2.7300000000000004</v>
      </c>
    </row>
    <row r="52" spans="1:5">
      <c r="A52" s="174" t="s">
        <v>108</v>
      </c>
      <c r="B52" s="175" t="s">
        <v>630</v>
      </c>
      <c r="C52" s="175" t="s">
        <v>670</v>
      </c>
      <c r="D52" s="178">
        <v>2</v>
      </c>
      <c r="E52" s="81">
        <f>IF(C52="","",IFERROR(VLOOKUP(C52,'ITEM LIST'!B:M,12,0)*D52,0))</f>
        <v>0.24</v>
      </c>
    </row>
    <row r="53" spans="1:5">
      <c r="A53" s="174" t="s">
        <v>108</v>
      </c>
      <c r="B53" s="175" t="s">
        <v>630</v>
      </c>
      <c r="C53" s="175" t="s">
        <v>114</v>
      </c>
      <c r="D53" s="178">
        <v>2</v>
      </c>
      <c r="E53" s="81">
        <f>IF(C53="","",IFERROR(VLOOKUP(C53,'ITEM LIST'!B:M,12,0)*D53,0))</f>
        <v>5.6000000000000001E-2</v>
      </c>
    </row>
    <row r="54" spans="1:5">
      <c r="A54" s="174" t="s">
        <v>108</v>
      </c>
      <c r="B54" s="175" t="s">
        <v>371</v>
      </c>
      <c r="C54" s="175" t="s">
        <v>371</v>
      </c>
      <c r="D54" s="178"/>
      <c r="E54" s="81" t="str">
        <f>IF(C54="","",IFERROR(VLOOKUP(C54,'ITEM LIST'!B:M,12,0)*D54,0))</f>
        <v/>
      </c>
    </row>
    <row r="55" spans="1:5">
      <c r="A55" s="174" t="s">
        <v>108</v>
      </c>
      <c r="B55" s="175" t="s">
        <v>631</v>
      </c>
      <c r="C55" s="175" t="s">
        <v>425</v>
      </c>
      <c r="D55" s="176">
        <v>4</v>
      </c>
      <c r="E55" s="81">
        <f>IF(C55="","",IFERROR(VLOOKUP(C55,'ITEM LIST'!B:M,12,0)*D55,0))</f>
        <v>1.88</v>
      </c>
    </row>
    <row r="56" spans="1:5">
      <c r="A56" s="174" t="s">
        <v>108</v>
      </c>
      <c r="B56" s="175" t="s">
        <v>631</v>
      </c>
      <c r="C56" s="175" t="s">
        <v>40</v>
      </c>
      <c r="D56" s="176">
        <v>136</v>
      </c>
      <c r="E56" s="81">
        <f>IF(C56="","",IFERROR(VLOOKUP(C56,'ITEM LIST'!B:M,12,0)*D56,0))</f>
        <v>4.3520000000000003</v>
      </c>
    </row>
    <row r="57" spans="1:5">
      <c r="A57" s="174" t="s">
        <v>108</v>
      </c>
      <c r="B57" s="175" t="s">
        <v>631</v>
      </c>
      <c r="C57" s="175" t="s">
        <v>670</v>
      </c>
      <c r="D57" s="176">
        <v>6.8</v>
      </c>
      <c r="E57" s="81">
        <f>IF(C57="","",IFERROR(VLOOKUP(C57,'ITEM LIST'!B:M,12,0)*D57,0))</f>
        <v>0.81599999999999995</v>
      </c>
    </row>
    <row r="58" spans="1:5">
      <c r="A58" s="174" t="s">
        <v>108</v>
      </c>
      <c r="B58" s="175" t="s">
        <v>631</v>
      </c>
      <c r="C58" s="175" t="s">
        <v>114</v>
      </c>
      <c r="D58" s="176">
        <v>3.4</v>
      </c>
      <c r="E58" s="81">
        <f>IF(C58="","",IFERROR(VLOOKUP(C58,'ITEM LIST'!B:M,12,0)*D58,0))</f>
        <v>9.5199999999999993E-2</v>
      </c>
    </row>
    <row r="59" spans="1:5">
      <c r="A59" s="179" t="s">
        <v>108</v>
      </c>
      <c r="B59" s="175" t="s">
        <v>631</v>
      </c>
      <c r="C59" s="180" t="s">
        <v>509</v>
      </c>
      <c r="D59" s="181">
        <v>3.4</v>
      </c>
      <c r="E59" s="85">
        <f>IF(C59="","",IFERROR(VLOOKUP(C59,'ITEM LIST'!B:M,12,0)*D59,0))</f>
        <v>0.14280000000000001</v>
      </c>
    </row>
  </sheetData>
  <sheetProtection selectLockedCells="1" autoFilter="0"/>
  <mergeCells count="1">
    <mergeCell ref="A1:E1"/>
  </mergeCells>
  <dataValidations count="1">
    <dataValidation type="list" allowBlank="1" showErrorMessage="1" sqref="A3:A59" xr:uid="{00000000-0002-0000-0900-000001000000}">
      <formula1>"Chaat,Chinese,Breads,Drinks &amp; Beverage,Grill Special,Kulfi,North Indian,South Indian,Specials,Sweets,Namkeen"</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xr:uid="{00000000-0002-0000-0900-000000000000}">
          <x14:formula1>
            <xm:f>'ITEM LIST'!$B$2:$B$479</xm:f>
          </x14:formula1>
          <xm:sqref>C3:C59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1" tint="0.249977111117893"/>
    <outlinePr summaryBelow="0" summaryRight="0"/>
  </sheetPr>
  <dimension ref="A1:E193"/>
  <sheetViews>
    <sheetView topLeftCell="A111" workbookViewId="0">
      <selection activeCell="C118" sqref="C118"/>
    </sheetView>
  </sheetViews>
  <sheetFormatPr defaultColWidth="12.5703125" defaultRowHeight="15.75" customHeight="1"/>
  <cols>
    <col min="1" max="1" width="21" customWidth="1"/>
    <col min="2" max="2" width="20.85546875" customWidth="1"/>
    <col min="3" max="3" width="16.5703125" customWidth="1"/>
  </cols>
  <sheetData>
    <row r="1" spans="1:5" ht="23.25">
      <c r="A1" s="273" t="s">
        <v>310</v>
      </c>
      <c r="B1" s="265"/>
      <c r="C1" s="265"/>
      <c r="D1" s="265"/>
      <c r="E1" s="265"/>
    </row>
    <row r="2" spans="1:5" ht="15.75" customHeight="1">
      <c r="A2" s="94" t="s">
        <v>125</v>
      </c>
      <c r="B2" s="95" t="s">
        <v>126</v>
      </c>
      <c r="C2" s="95" t="s">
        <v>302</v>
      </c>
      <c r="D2" s="95" t="s">
        <v>303</v>
      </c>
      <c r="E2" s="96" t="s">
        <v>128</v>
      </c>
    </row>
    <row r="3" spans="1:5" ht="15.75" customHeight="1">
      <c r="A3" s="93" t="s">
        <v>310</v>
      </c>
      <c r="B3" s="35" t="s">
        <v>82</v>
      </c>
      <c r="C3" s="35" t="s">
        <v>426</v>
      </c>
      <c r="D3" s="30">
        <v>300</v>
      </c>
      <c r="E3" s="81">
        <f>IF(C3="","",IFERROR(VLOOKUP(C3,'ITEM LIST'!B:M,12,0)*D3,0))</f>
        <v>12</v>
      </c>
    </row>
    <row r="4" spans="1:5" ht="15.75" customHeight="1">
      <c r="A4" s="93" t="s">
        <v>310</v>
      </c>
      <c r="B4" s="35" t="s">
        <v>82</v>
      </c>
      <c r="C4" s="1" t="s">
        <v>670</v>
      </c>
      <c r="D4" s="30">
        <v>10</v>
      </c>
      <c r="E4" s="81">
        <f>IF(C4="","",IFERROR(VLOOKUP(C4,'ITEM LIST'!B:M,12,0)*D4,0))</f>
        <v>1.2</v>
      </c>
    </row>
    <row r="5" spans="1:5" ht="15.75" customHeight="1">
      <c r="A5" s="93" t="s">
        <v>310</v>
      </c>
      <c r="B5" s="35" t="s">
        <v>82</v>
      </c>
      <c r="C5" s="35" t="s">
        <v>20</v>
      </c>
      <c r="D5" s="30">
        <v>30</v>
      </c>
      <c r="E5" s="81">
        <f>IF(C5="","",IFERROR(VLOOKUP(C5,'ITEM LIST'!B:M,12,0)*D5,0))</f>
        <v>0.56999999999999995</v>
      </c>
    </row>
    <row r="6" spans="1:5" ht="15.75" customHeight="1">
      <c r="A6" s="93" t="s">
        <v>310</v>
      </c>
      <c r="B6" s="35" t="s">
        <v>82</v>
      </c>
      <c r="C6" s="35" t="s">
        <v>25</v>
      </c>
      <c r="D6" s="30">
        <v>30</v>
      </c>
      <c r="E6" s="81">
        <f>IF(C6="","",IFERROR(VLOOKUP(C6,'ITEM LIST'!B:M,12,0)*D6,0))</f>
        <v>0.84</v>
      </c>
    </row>
    <row r="7" spans="1:5" ht="15.75" customHeight="1">
      <c r="A7" s="93" t="s">
        <v>310</v>
      </c>
      <c r="B7" s="35" t="s">
        <v>82</v>
      </c>
      <c r="C7" s="35" t="s">
        <v>31</v>
      </c>
      <c r="D7" s="30">
        <v>30</v>
      </c>
      <c r="E7" s="81">
        <f>IF(C7="","",IFERROR(VLOOKUP(C7,'ITEM LIST'!B:M,12,0)*D7,0))</f>
        <v>0.48</v>
      </c>
    </row>
    <row r="8" spans="1:5" ht="15.75" customHeight="1">
      <c r="A8" s="93" t="s">
        <v>310</v>
      </c>
      <c r="B8" s="35" t="s">
        <v>82</v>
      </c>
      <c r="C8" s="35" t="s">
        <v>32</v>
      </c>
      <c r="D8" s="30">
        <v>15</v>
      </c>
      <c r="E8" s="81">
        <f>IF(C8="","",IFERROR(VLOOKUP(C8,'ITEM LIST'!B:M,12,0)*D8,0))</f>
        <v>0.52500000000000002</v>
      </c>
    </row>
    <row r="9" spans="1:5" ht="15.75" customHeight="1">
      <c r="A9" s="93" t="s">
        <v>310</v>
      </c>
      <c r="B9" s="35" t="s">
        <v>82</v>
      </c>
      <c r="C9" s="35" t="s">
        <v>324</v>
      </c>
      <c r="D9" s="30">
        <v>10</v>
      </c>
      <c r="E9" s="81">
        <f>IF(C9="","",IFERROR(VLOOKUP(C9,'ITEM LIST'!B:M,12,0)*D9,0))</f>
        <v>0.6</v>
      </c>
    </row>
    <row r="10" spans="1:5" ht="15.75" customHeight="1">
      <c r="A10" s="93" t="s">
        <v>310</v>
      </c>
      <c r="B10" s="35" t="s">
        <v>82</v>
      </c>
      <c r="C10" s="35" t="s">
        <v>114</v>
      </c>
      <c r="D10" s="30">
        <v>10</v>
      </c>
      <c r="E10" s="81">
        <f>IF(C10="","",IFERROR(VLOOKUP(C10,'ITEM LIST'!B:M,12,0)*D10,0))</f>
        <v>0.28000000000000003</v>
      </c>
    </row>
    <row r="11" spans="1:5" ht="15.75" customHeight="1">
      <c r="A11" s="93" t="s">
        <v>310</v>
      </c>
      <c r="B11" s="35" t="s">
        <v>82</v>
      </c>
      <c r="C11" s="35" t="s">
        <v>33</v>
      </c>
      <c r="D11" s="30">
        <v>7</v>
      </c>
      <c r="E11" s="81">
        <f>IF(C11="","",IFERROR(VLOOKUP(C11,'ITEM LIST'!B:M,12,0)*D11,0))</f>
        <v>1.68</v>
      </c>
    </row>
    <row r="12" spans="1:5" ht="15.75" customHeight="1">
      <c r="A12" s="93" t="s">
        <v>310</v>
      </c>
      <c r="B12" s="35" t="s">
        <v>82</v>
      </c>
      <c r="C12" s="35" t="s">
        <v>360</v>
      </c>
      <c r="D12" s="30">
        <v>17</v>
      </c>
      <c r="E12" s="81">
        <f>IF(C12="","",IFERROR(VLOOKUP(C12,'ITEM LIST'!B:M,12,0)*D12,0))</f>
        <v>1.224</v>
      </c>
    </row>
    <row r="13" spans="1:5" ht="15.75" customHeight="1">
      <c r="A13" s="93" t="s">
        <v>310</v>
      </c>
      <c r="B13" s="35" t="s">
        <v>82</v>
      </c>
      <c r="C13" s="35" t="s">
        <v>552</v>
      </c>
      <c r="D13" s="30">
        <v>8</v>
      </c>
      <c r="E13" s="81">
        <f>IF(C13="","",IFERROR(VLOOKUP(C13,'ITEM LIST'!B:M,12,0)*D13,0))</f>
        <v>0</v>
      </c>
    </row>
    <row r="14" spans="1:5" ht="15.75" customHeight="1">
      <c r="A14" s="93" t="s">
        <v>310</v>
      </c>
      <c r="B14" s="35" t="s">
        <v>82</v>
      </c>
      <c r="C14" s="35" t="s">
        <v>532</v>
      </c>
      <c r="D14" s="30">
        <v>7</v>
      </c>
      <c r="E14" s="81">
        <f>IF(C14="","",IFERROR(VLOOKUP(C14,'ITEM LIST'!B:M,12,0)*D14,0))</f>
        <v>0.91</v>
      </c>
    </row>
    <row r="15" spans="1:5" ht="15.75" customHeight="1">
      <c r="A15" s="93" t="s">
        <v>310</v>
      </c>
      <c r="B15" s="35" t="s">
        <v>82</v>
      </c>
      <c r="C15" s="35" t="s">
        <v>362</v>
      </c>
      <c r="D15" s="30">
        <v>5</v>
      </c>
      <c r="E15" s="81">
        <f>IF(C15="","",IFERROR(VLOOKUP(C15,'ITEM LIST'!B:M,12,0)*D15,0))</f>
        <v>0.22999999999999998</v>
      </c>
    </row>
    <row r="16" spans="1:5" ht="15.75" customHeight="1">
      <c r="A16" s="93"/>
      <c r="B16" s="35" t="s">
        <v>371</v>
      </c>
      <c r="C16" s="35" t="s">
        <v>371</v>
      </c>
      <c r="D16" s="31"/>
      <c r="E16" s="81" t="str">
        <f>IF(C16="","",IFERROR(VLOOKUP(C16,'ITEM LIST'!B:M,12,0)*D16,0))</f>
        <v/>
      </c>
    </row>
    <row r="17" spans="1:5" ht="15.75" customHeight="1">
      <c r="A17" s="131" t="s">
        <v>310</v>
      </c>
      <c r="B17" s="35" t="s">
        <v>83</v>
      </c>
      <c r="C17" s="35" t="s">
        <v>532</v>
      </c>
      <c r="D17" s="30">
        <v>7</v>
      </c>
      <c r="E17" s="81">
        <f>IF(C17="","",IFERROR(VLOOKUP(C17,'ITEM LIST'!B:M,12,0)*D17,0))</f>
        <v>0.91</v>
      </c>
    </row>
    <row r="18" spans="1:5" ht="15.75" customHeight="1">
      <c r="A18" s="131" t="s">
        <v>310</v>
      </c>
      <c r="B18" s="35" t="s">
        <v>83</v>
      </c>
      <c r="C18" s="35" t="s">
        <v>552</v>
      </c>
      <c r="D18" s="30">
        <v>10</v>
      </c>
      <c r="E18" s="81">
        <f>IF(C18="","",IFERROR(VLOOKUP(C18,'ITEM LIST'!B:M,12,0)*D18,0))</f>
        <v>0</v>
      </c>
    </row>
    <row r="19" spans="1:5" ht="15.75" customHeight="1">
      <c r="A19" s="131" t="s">
        <v>310</v>
      </c>
      <c r="B19" s="35" t="s">
        <v>83</v>
      </c>
      <c r="C19" s="35" t="s">
        <v>360</v>
      </c>
      <c r="D19" s="30">
        <v>17</v>
      </c>
      <c r="E19" s="81">
        <f>IF(C19="","",IFERROR(VLOOKUP(C19,'ITEM LIST'!B:M,12,0)*D19,0))</f>
        <v>1.224</v>
      </c>
    </row>
    <row r="20" spans="1:5" ht="15.75" customHeight="1">
      <c r="A20" s="131" t="s">
        <v>310</v>
      </c>
      <c r="B20" s="35" t="s">
        <v>83</v>
      </c>
      <c r="C20" s="35" t="s">
        <v>114</v>
      </c>
      <c r="D20" s="30">
        <v>6</v>
      </c>
      <c r="E20" s="81">
        <f>IF(C20="","",IFERROR(VLOOKUP(C20,'ITEM LIST'!B:M,12,0)*D20,0))</f>
        <v>0.16800000000000001</v>
      </c>
    </row>
    <row r="21" spans="1:5" ht="14.25">
      <c r="A21" s="131" t="s">
        <v>310</v>
      </c>
      <c r="B21" s="35" t="s">
        <v>83</v>
      </c>
      <c r="C21" s="35" t="s">
        <v>33</v>
      </c>
      <c r="D21" s="30">
        <v>6</v>
      </c>
      <c r="E21" s="81">
        <f>IF(C21="","",IFERROR(VLOOKUP(C21,'ITEM LIST'!B:M,12,0)*D21,0))</f>
        <v>1.44</v>
      </c>
    </row>
    <row r="22" spans="1:5" ht="14.25">
      <c r="A22" s="131" t="s">
        <v>310</v>
      </c>
      <c r="B22" s="35" t="s">
        <v>83</v>
      </c>
      <c r="C22" s="1" t="s">
        <v>670</v>
      </c>
      <c r="D22" s="30">
        <v>10</v>
      </c>
      <c r="E22" s="81">
        <f>IF(C22="","",IFERROR(VLOOKUP(C22,'ITEM LIST'!B:M,12,0)*D22,0))</f>
        <v>1.2</v>
      </c>
    </row>
    <row r="23" spans="1:5" ht="14.25">
      <c r="A23" s="131" t="s">
        <v>310</v>
      </c>
      <c r="B23" s="35" t="s">
        <v>83</v>
      </c>
      <c r="C23" s="35" t="s">
        <v>362</v>
      </c>
      <c r="D23" s="30">
        <v>4</v>
      </c>
      <c r="E23" s="81">
        <f>IF(C23="","",IFERROR(VLOOKUP(C23,'ITEM LIST'!B:M,12,0)*D23,0))</f>
        <v>0.184</v>
      </c>
    </row>
    <row r="24" spans="1:5" ht="14.25">
      <c r="A24" s="131" t="s">
        <v>310</v>
      </c>
      <c r="B24" s="35" t="s">
        <v>83</v>
      </c>
      <c r="C24" s="35" t="s">
        <v>32</v>
      </c>
      <c r="D24" s="30">
        <v>18</v>
      </c>
      <c r="E24" s="81">
        <f>IF(C24="","",IFERROR(VLOOKUP(C24,'ITEM LIST'!B:M,12,0)*D24,0))</f>
        <v>0.63000000000000012</v>
      </c>
    </row>
    <row r="25" spans="1:5" ht="14.25">
      <c r="A25" s="131" t="s">
        <v>310</v>
      </c>
      <c r="B25" s="35" t="s">
        <v>83</v>
      </c>
      <c r="C25" s="35" t="s">
        <v>34</v>
      </c>
      <c r="D25" s="30">
        <v>18</v>
      </c>
      <c r="E25" s="81">
        <f>IF(C25="","",IFERROR(VLOOKUP(C25,'ITEM LIST'!B:M,12,0)*D25,0))</f>
        <v>1.6199999999999999</v>
      </c>
    </row>
    <row r="26" spans="1:5" ht="14.25">
      <c r="A26" s="131" t="s">
        <v>310</v>
      </c>
      <c r="B26" s="35" t="s">
        <v>83</v>
      </c>
      <c r="C26" s="35" t="s">
        <v>35</v>
      </c>
      <c r="D26" s="30">
        <v>18</v>
      </c>
      <c r="E26" s="81">
        <f>IF(C26="","",IFERROR(VLOOKUP(C26,'ITEM LIST'!B:M,12,0)*D26,0))</f>
        <v>0.57600000000000007</v>
      </c>
    </row>
    <row r="27" spans="1:5" ht="14.25">
      <c r="A27" s="131" t="s">
        <v>310</v>
      </c>
      <c r="B27" s="35" t="s">
        <v>83</v>
      </c>
      <c r="C27" s="35" t="s">
        <v>324</v>
      </c>
      <c r="D27" s="30">
        <v>10</v>
      </c>
      <c r="E27" s="81">
        <f>IF(C27="","",IFERROR(VLOOKUP(C27,'ITEM LIST'!B:M,12,0)*D27,0))</f>
        <v>0.6</v>
      </c>
    </row>
    <row r="28" spans="1:5" ht="14.25">
      <c r="A28" s="131" t="s">
        <v>310</v>
      </c>
      <c r="B28" s="35" t="s">
        <v>83</v>
      </c>
      <c r="C28" s="35" t="s">
        <v>389</v>
      </c>
      <c r="D28" s="31">
        <v>140</v>
      </c>
      <c r="E28" s="81">
        <f>IF(C28="","",IFERROR(VLOOKUP(C28,'ITEM LIST'!B:M,12,0)*D28,0))</f>
        <v>5.6000000000000005</v>
      </c>
    </row>
    <row r="29" spans="1:5" ht="14.25">
      <c r="A29" s="131" t="s">
        <v>310</v>
      </c>
      <c r="B29" s="35" t="s">
        <v>83</v>
      </c>
      <c r="C29" s="35" t="s">
        <v>27</v>
      </c>
      <c r="D29" s="30">
        <v>10</v>
      </c>
      <c r="E29" s="81">
        <f>IF(C29="","",IFERROR(VLOOKUP(C29,'ITEM LIST'!B:M,12,0)*D29,0))</f>
        <v>0.8</v>
      </c>
    </row>
    <row r="30" spans="1:5" ht="14.25">
      <c r="A30" s="93"/>
      <c r="B30" s="35" t="s">
        <v>371</v>
      </c>
      <c r="C30" s="35" t="s">
        <v>371</v>
      </c>
      <c r="D30" s="31"/>
      <c r="E30" s="81" t="str">
        <f>IF(C30="","",IFERROR(VLOOKUP(C30,'ITEM LIST'!B:M,12,0)*D30,0))</f>
        <v/>
      </c>
    </row>
    <row r="31" spans="1:5" ht="14.25">
      <c r="A31" s="131" t="s">
        <v>310</v>
      </c>
      <c r="B31" s="35" t="s">
        <v>84</v>
      </c>
      <c r="C31" s="35" t="s">
        <v>330</v>
      </c>
      <c r="D31" s="30">
        <v>5</v>
      </c>
      <c r="E31" s="81">
        <f>IF(C31="","",IFERROR(VLOOKUP(C31,'ITEM LIST'!B:M,12,0)*D31,0))</f>
        <v>0.89999999999999991</v>
      </c>
    </row>
    <row r="32" spans="1:5" ht="14.25">
      <c r="A32" s="131" t="s">
        <v>310</v>
      </c>
      <c r="B32" s="35" t="s">
        <v>84</v>
      </c>
      <c r="C32" s="35" t="s">
        <v>36</v>
      </c>
      <c r="D32" s="30">
        <v>5</v>
      </c>
      <c r="E32" s="81">
        <f>IF(C32="","",IFERROR(VLOOKUP(C32,'ITEM LIST'!B:M,12,0)*D32,0))</f>
        <v>0.89999999999999991</v>
      </c>
    </row>
    <row r="33" spans="1:5" ht="14.25">
      <c r="A33" s="131" t="s">
        <v>310</v>
      </c>
      <c r="B33" s="35" t="s">
        <v>84</v>
      </c>
      <c r="C33" s="35" t="s">
        <v>17</v>
      </c>
      <c r="D33" s="30">
        <v>20</v>
      </c>
      <c r="E33" s="81">
        <f>IF(C33="","",IFERROR(VLOOKUP(C33,'ITEM LIST'!B:M,12,0)*D33,0))</f>
        <v>5.4</v>
      </c>
    </row>
    <row r="34" spans="1:5" ht="14.25">
      <c r="A34" s="131" t="s">
        <v>310</v>
      </c>
      <c r="B34" s="35" t="s">
        <v>84</v>
      </c>
      <c r="C34" s="35" t="s">
        <v>114</v>
      </c>
      <c r="D34" s="30">
        <v>5</v>
      </c>
      <c r="E34" s="81">
        <f>IF(C34="","",IFERROR(VLOOKUP(C34,'ITEM LIST'!B:M,12,0)*D34,0))</f>
        <v>0.14000000000000001</v>
      </c>
    </row>
    <row r="35" spans="1:5" ht="14.25">
      <c r="A35" s="131" t="s">
        <v>310</v>
      </c>
      <c r="B35" s="35" t="s">
        <v>84</v>
      </c>
      <c r="C35" s="35" t="s">
        <v>362</v>
      </c>
      <c r="D35" s="30">
        <v>6</v>
      </c>
      <c r="E35" s="81">
        <f>IF(C35="","",IFERROR(VLOOKUP(C35,'ITEM LIST'!B:M,12,0)*D35,0))</f>
        <v>0.27600000000000002</v>
      </c>
    </row>
    <row r="36" spans="1:5" ht="14.25">
      <c r="A36" s="131" t="s">
        <v>310</v>
      </c>
      <c r="B36" s="35" t="s">
        <v>84</v>
      </c>
      <c r="C36" s="35" t="s">
        <v>20</v>
      </c>
      <c r="D36" s="30">
        <v>30</v>
      </c>
      <c r="E36" s="81">
        <f>IF(C36="","",IFERROR(VLOOKUP(C36,'ITEM LIST'!B:M,12,0)*D36,0))</f>
        <v>0.56999999999999995</v>
      </c>
    </row>
    <row r="37" spans="1:5" ht="14.25">
      <c r="A37" s="131" t="s">
        <v>310</v>
      </c>
      <c r="B37" s="35" t="s">
        <v>84</v>
      </c>
      <c r="C37" s="35" t="s">
        <v>25</v>
      </c>
      <c r="D37" s="30">
        <v>30</v>
      </c>
      <c r="E37" s="81">
        <f>IF(C37="","",IFERROR(VLOOKUP(C37,'ITEM LIST'!B:M,12,0)*D37,0))</f>
        <v>0.84</v>
      </c>
    </row>
    <row r="38" spans="1:5" ht="14.25">
      <c r="A38" s="131" t="s">
        <v>310</v>
      </c>
      <c r="B38" s="35" t="s">
        <v>84</v>
      </c>
      <c r="C38" s="35" t="s">
        <v>31</v>
      </c>
      <c r="D38" s="30">
        <v>30</v>
      </c>
      <c r="E38" s="81">
        <f>IF(C38="","",IFERROR(VLOOKUP(C38,'ITEM LIST'!B:M,12,0)*D38,0))</f>
        <v>0.48</v>
      </c>
    </row>
    <row r="39" spans="1:5" ht="14.25">
      <c r="A39" s="131" t="s">
        <v>310</v>
      </c>
      <c r="B39" s="35" t="s">
        <v>84</v>
      </c>
      <c r="C39" s="35" t="s">
        <v>32</v>
      </c>
      <c r="D39" s="30">
        <v>15</v>
      </c>
      <c r="E39" s="81">
        <f>IF(C39="","",IFERROR(VLOOKUP(C39,'ITEM LIST'!B:M,12,0)*D39,0))</f>
        <v>0.52500000000000002</v>
      </c>
    </row>
    <row r="40" spans="1:5" ht="14.25">
      <c r="A40" s="131" t="s">
        <v>310</v>
      </c>
      <c r="B40" s="35" t="s">
        <v>84</v>
      </c>
      <c r="C40" s="35" t="s">
        <v>324</v>
      </c>
      <c r="D40" s="30">
        <v>10</v>
      </c>
      <c r="E40" s="81">
        <f>IF(C40="","",IFERROR(VLOOKUP(C40,'ITEM LIST'!B:M,12,0)*D40,0))</f>
        <v>0.6</v>
      </c>
    </row>
    <row r="41" spans="1:5" ht="14.25">
      <c r="A41" s="131" t="s">
        <v>310</v>
      </c>
      <c r="B41" s="35" t="s">
        <v>84</v>
      </c>
      <c r="C41" s="35" t="s">
        <v>33</v>
      </c>
      <c r="D41" s="30">
        <v>7</v>
      </c>
      <c r="E41" s="81">
        <f>IF(C41="","",IFERROR(VLOOKUP(C41,'ITEM LIST'!B:M,12,0)*D41,0))</f>
        <v>1.68</v>
      </c>
    </row>
    <row r="42" spans="1:5" ht="14.25">
      <c r="A42" s="131" t="s">
        <v>310</v>
      </c>
      <c r="B42" s="35" t="s">
        <v>84</v>
      </c>
      <c r="C42" s="1" t="s">
        <v>670</v>
      </c>
      <c r="D42" s="30">
        <v>10</v>
      </c>
      <c r="E42" s="81">
        <f>IF(C42="","",IFERROR(VLOOKUP(C42,'ITEM LIST'!B:M,12,0)*D42,0))</f>
        <v>1.2</v>
      </c>
    </row>
    <row r="43" spans="1:5" ht="14.25">
      <c r="A43" s="131" t="s">
        <v>310</v>
      </c>
      <c r="B43" s="35" t="s">
        <v>84</v>
      </c>
      <c r="C43" s="35" t="s">
        <v>426</v>
      </c>
      <c r="D43" s="31">
        <v>260</v>
      </c>
      <c r="E43" s="81">
        <f>IF(C43="","",IFERROR(VLOOKUP(C43,'ITEM LIST'!B:M,12,0)*D43,0))</f>
        <v>10.4</v>
      </c>
    </row>
    <row r="44" spans="1:5" ht="14.25">
      <c r="A44" s="131" t="s">
        <v>310</v>
      </c>
      <c r="B44" s="35" t="s">
        <v>371</v>
      </c>
      <c r="C44" s="35" t="s">
        <v>371</v>
      </c>
      <c r="D44" s="31"/>
      <c r="E44" s="81" t="str">
        <f>IF(C44="","",IFERROR(VLOOKUP(C44,'ITEM LIST'!B:M,12,0)*D44,0))</f>
        <v/>
      </c>
    </row>
    <row r="45" spans="1:5" ht="14.25">
      <c r="A45" s="131" t="s">
        <v>310</v>
      </c>
      <c r="B45" s="35" t="s">
        <v>85</v>
      </c>
      <c r="C45" s="35" t="s">
        <v>330</v>
      </c>
      <c r="D45" s="30">
        <v>5</v>
      </c>
      <c r="E45" s="81">
        <f>IF(C45="","",IFERROR(VLOOKUP(C45,'ITEM LIST'!B:M,12,0)*D45,0))</f>
        <v>0.89999999999999991</v>
      </c>
    </row>
    <row r="46" spans="1:5" ht="14.25">
      <c r="A46" s="131" t="s">
        <v>310</v>
      </c>
      <c r="B46" s="35" t="s">
        <v>85</v>
      </c>
      <c r="C46" s="35" t="s">
        <v>36</v>
      </c>
      <c r="D46" s="30">
        <v>5</v>
      </c>
      <c r="E46" s="81">
        <f>IF(C46="","",IFERROR(VLOOKUP(C46,'ITEM LIST'!B:M,12,0)*D46,0))</f>
        <v>0.89999999999999991</v>
      </c>
    </row>
    <row r="47" spans="1:5" ht="14.25">
      <c r="A47" s="131" t="s">
        <v>310</v>
      </c>
      <c r="B47" s="35" t="s">
        <v>85</v>
      </c>
      <c r="C47" s="35" t="s">
        <v>17</v>
      </c>
      <c r="D47" s="30">
        <v>20</v>
      </c>
      <c r="E47" s="81">
        <f>IF(C47="","",IFERROR(VLOOKUP(C47,'ITEM LIST'!B:M,12,0)*D47,0))</f>
        <v>5.4</v>
      </c>
    </row>
    <row r="48" spans="1:5" ht="14.25">
      <c r="A48" s="131" t="s">
        <v>310</v>
      </c>
      <c r="B48" s="35" t="s">
        <v>85</v>
      </c>
      <c r="C48" s="35" t="s">
        <v>114</v>
      </c>
      <c r="D48" s="30">
        <v>5</v>
      </c>
      <c r="E48" s="81">
        <f>IF(C48="","",IFERROR(VLOOKUP(C48,'ITEM LIST'!B:M,12,0)*D48,0))</f>
        <v>0.14000000000000001</v>
      </c>
    </row>
    <row r="49" spans="1:5" ht="14.25">
      <c r="A49" s="131" t="s">
        <v>310</v>
      </c>
      <c r="B49" s="35" t="s">
        <v>85</v>
      </c>
      <c r="C49" s="35" t="s">
        <v>362</v>
      </c>
      <c r="D49" s="30">
        <v>10</v>
      </c>
      <c r="E49" s="81">
        <f>IF(C49="","",IFERROR(VLOOKUP(C49,'ITEM LIST'!B:M,12,0)*D49,0))</f>
        <v>0.45999999999999996</v>
      </c>
    </row>
    <row r="50" spans="1:5" ht="14.25">
      <c r="A50" s="131" t="s">
        <v>310</v>
      </c>
      <c r="B50" s="35" t="s">
        <v>85</v>
      </c>
      <c r="C50" s="35" t="s">
        <v>20</v>
      </c>
      <c r="D50" s="30">
        <v>30</v>
      </c>
      <c r="E50" s="81">
        <f>IF(C50="","",IFERROR(VLOOKUP(C50,'ITEM LIST'!B:M,12,0)*D50,0))</f>
        <v>0.56999999999999995</v>
      </c>
    </row>
    <row r="51" spans="1:5" ht="14.25">
      <c r="A51" s="131" t="s">
        <v>310</v>
      </c>
      <c r="B51" s="35" t="s">
        <v>85</v>
      </c>
      <c r="C51" s="35" t="s">
        <v>25</v>
      </c>
      <c r="D51" s="30">
        <v>30</v>
      </c>
      <c r="E51" s="81">
        <f>IF(C51="","",IFERROR(VLOOKUP(C51,'ITEM LIST'!B:M,12,0)*D51,0))</f>
        <v>0.84</v>
      </c>
    </row>
    <row r="52" spans="1:5" ht="14.25">
      <c r="A52" s="131" t="s">
        <v>310</v>
      </c>
      <c r="B52" s="35" t="s">
        <v>85</v>
      </c>
      <c r="C52" s="35" t="s">
        <v>31</v>
      </c>
      <c r="D52" s="30">
        <v>30</v>
      </c>
      <c r="E52" s="81">
        <f>IF(C52="","",IFERROR(VLOOKUP(C52,'ITEM LIST'!B:M,12,0)*D52,0))</f>
        <v>0.48</v>
      </c>
    </row>
    <row r="53" spans="1:5" ht="14.25">
      <c r="A53" s="131" t="s">
        <v>310</v>
      </c>
      <c r="B53" s="35" t="s">
        <v>85</v>
      </c>
      <c r="C53" s="35" t="s">
        <v>32</v>
      </c>
      <c r="D53" s="30">
        <v>15</v>
      </c>
      <c r="E53" s="81">
        <f>IF(C53="","",IFERROR(VLOOKUP(C53,'ITEM LIST'!B:M,12,0)*D53,0))</f>
        <v>0.52500000000000002</v>
      </c>
    </row>
    <row r="54" spans="1:5" ht="14.25">
      <c r="A54" s="131" t="s">
        <v>310</v>
      </c>
      <c r="B54" s="35" t="s">
        <v>85</v>
      </c>
      <c r="C54" s="35" t="s">
        <v>324</v>
      </c>
      <c r="D54" s="30">
        <v>10</v>
      </c>
      <c r="E54" s="81">
        <f>IF(C54="","",IFERROR(VLOOKUP(C54,'ITEM LIST'!B:M,12,0)*D54,0))</f>
        <v>0.6</v>
      </c>
    </row>
    <row r="55" spans="1:5" ht="14.25">
      <c r="A55" s="131" t="s">
        <v>310</v>
      </c>
      <c r="B55" s="35" t="s">
        <v>85</v>
      </c>
      <c r="C55" s="35" t="s">
        <v>33</v>
      </c>
      <c r="D55" s="30">
        <v>7</v>
      </c>
      <c r="E55" s="81">
        <f>IF(C55="","",IFERROR(VLOOKUP(C55,'ITEM LIST'!B:M,12,0)*D55,0))</f>
        <v>1.68</v>
      </c>
    </row>
    <row r="56" spans="1:5" ht="14.25">
      <c r="A56" s="131" t="s">
        <v>310</v>
      </c>
      <c r="B56" s="35" t="s">
        <v>85</v>
      </c>
      <c r="C56" s="35" t="s">
        <v>532</v>
      </c>
      <c r="D56" s="30">
        <v>7</v>
      </c>
      <c r="E56" s="81">
        <f>IF(C56="","",IFERROR(VLOOKUP(C56,'ITEM LIST'!B:M,12,0)*D56,0))</f>
        <v>0.91</v>
      </c>
    </row>
    <row r="57" spans="1:5" ht="14.25">
      <c r="A57" s="131" t="s">
        <v>310</v>
      </c>
      <c r="B57" s="35" t="s">
        <v>85</v>
      </c>
      <c r="C57" s="35" t="s">
        <v>359</v>
      </c>
      <c r="D57" s="30">
        <v>22</v>
      </c>
      <c r="E57" s="81">
        <f>IF(C57="","",IFERROR(VLOOKUP(C57,'ITEM LIST'!B:M,12,0)*D57,0))</f>
        <v>1.3639999999999999</v>
      </c>
    </row>
    <row r="58" spans="1:5" ht="14.25">
      <c r="A58" s="131" t="s">
        <v>310</v>
      </c>
      <c r="B58" s="35" t="s">
        <v>85</v>
      </c>
      <c r="C58" s="35" t="s">
        <v>515</v>
      </c>
      <c r="D58" s="30">
        <v>15</v>
      </c>
      <c r="E58" s="81">
        <f>IF(C58="","",IFERROR(VLOOKUP(C58,'ITEM LIST'!B:M,12,0)*D58,0))</f>
        <v>0</v>
      </c>
    </row>
    <row r="59" spans="1:5" ht="14.25">
      <c r="A59" s="131" t="s">
        <v>310</v>
      </c>
      <c r="B59" s="35" t="s">
        <v>85</v>
      </c>
      <c r="C59" s="1" t="s">
        <v>670</v>
      </c>
      <c r="D59" s="30">
        <v>10</v>
      </c>
      <c r="E59" s="81">
        <f>IF(C59="","",IFERROR(VLOOKUP(C59,'ITEM LIST'!B:M,12,0)*D59,0))</f>
        <v>1.2</v>
      </c>
    </row>
    <row r="60" spans="1:5" ht="14.25">
      <c r="A60" s="131" t="s">
        <v>310</v>
      </c>
      <c r="B60" s="35" t="s">
        <v>85</v>
      </c>
      <c r="C60" s="35" t="s">
        <v>426</v>
      </c>
      <c r="D60" s="31">
        <v>260</v>
      </c>
      <c r="E60" s="81">
        <f>IF(C60="","",IFERROR(VLOOKUP(C60,'ITEM LIST'!B:M,12,0)*D60,0))</f>
        <v>10.4</v>
      </c>
    </row>
    <row r="61" spans="1:5" ht="14.25">
      <c r="A61" s="131" t="s">
        <v>310</v>
      </c>
      <c r="B61" s="35" t="s">
        <v>371</v>
      </c>
      <c r="C61" s="35" t="s">
        <v>371</v>
      </c>
      <c r="D61" s="31"/>
      <c r="E61" s="81" t="str">
        <f>IF(C61="","",IFERROR(VLOOKUP(C61,'ITEM LIST'!B:M,12,0)*D61,0))</f>
        <v/>
      </c>
    </row>
    <row r="62" spans="1:5" ht="14.25">
      <c r="A62" s="131" t="s">
        <v>310</v>
      </c>
      <c r="B62" s="35" t="s">
        <v>86</v>
      </c>
      <c r="C62" s="35" t="s">
        <v>114</v>
      </c>
      <c r="D62" s="30">
        <v>5</v>
      </c>
      <c r="E62" s="81">
        <f>IF(C62="","",IFERROR(VLOOKUP(C62,'ITEM LIST'!B:M,12,0)*D62,0))</f>
        <v>0.14000000000000001</v>
      </c>
    </row>
    <row r="63" spans="1:5" ht="14.25">
      <c r="A63" s="131" t="s">
        <v>310</v>
      </c>
      <c r="B63" s="35" t="s">
        <v>86</v>
      </c>
      <c r="C63" s="35" t="s">
        <v>362</v>
      </c>
      <c r="D63" s="30">
        <v>10</v>
      </c>
      <c r="E63" s="81">
        <f>IF(C63="","",IFERROR(VLOOKUP(C63,'ITEM LIST'!B:M,12,0)*D63,0))</f>
        <v>0.45999999999999996</v>
      </c>
    </row>
    <row r="64" spans="1:5" ht="14.25">
      <c r="A64" s="131" t="s">
        <v>310</v>
      </c>
      <c r="B64" s="35" t="s">
        <v>86</v>
      </c>
      <c r="C64" s="35" t="s">
        <v>20</v>
      </c>
      <c r="D64" s="30">
        <v>30</v>
      </c>
      <c r="E64" s="81">
        <f>IF(C64="","",IFERROR(VLOOKUP(C64,'ITEM LIST'!B:M,12,0)*D64,0))</f>
        <v>0.56999999999999995</v>
      </c>
    </row>
    <row r="65" spans="1:5" ht="14.25">
      <c r="A65" s="131" t="s">
        <v>310</v>
      </c>
      <c r="B65" s="35" t="s">
        <v>86</v>
      </c>
      <c r="C65" s="35" t="s">
        <v>25</v>
      </c>
      <c r="D65" s="30">
        <v>30</v>
      </c>
      <c r="E65" s="81">
        <f>IF(C65="","",IFERROR(VLOOKUP(C65,'ITEM LIST'!B:M,12,0)*D65,0))</f>
        <v>0.84</v>
      </c>
    </row>
    <row r="66" spans="1:5" ht="14.25">
      <c r="A66" s="131" t="s">
        <v>310</v>
      </c>
      <c r="B66" s="35" t="s">
        <v>86</v>
      </c>
      <c r="C66" s="35" t="s">
        <v>31</v>
      </c>
      <c r="D66" s="30">
        <v>30</v>
      </c>
      <c r="E66" s="81">
        <f>IF(C66="","",IFERROR(VLOOKUP(C66,'ITEM LIST'!B:M,12,0)*D66,0))</f>
        <v>0.48</v>
      </c>
    </row>
    <row r="67" spans="1:5" ht="14.25">
      <c r="A67" s="131" t="s">
        <v>310</v>
      </c>
      <c r="B67" s="35" t="s">
        <v>86</v>
      </c>
      <c r="C67" s="35" t="s">
        <v>32</v>
      </c>
      <c r="D67" s="30">
        <v>15</v>
      </c>
      <c r="E67" s="81">
        <f>IF(C67="","",IFERROR(VLOOKUP(C67,'ITEM LIST'!B:M,12,0)*D67,0))</f>
        <v>0.52500000000000002</v>
      </c>
    </row>
    <row r="68" spans="1:5" ht="14.25">
      <c r="A68" s="131" t="s">
        <v>310</v>
      </c>
      <c r="B68" s="35" t="s">
        <v>86</v>
      </c>
      <c r="C68" s="35" t="s">
        <v>324</v>
      </c>
      <c r="D68" s="30">
        <v>10</v>
      </c>
      <c r="E68" s="81">
        <f>IF(C68="","",IFERROR(VLOOKUP(C68,'ITEM LIST'!B:M,12,0)*D68,0))</f>
        <v>0.6</v>
      </c>
    </row>
    <row r="69" spans="1:5" ht="14.25">
      <c r="A69" s="131" t="s">
        <v>310</v>
      </c>
      <c r="B69" s="35" t="s">
        <v>86</v>
      </c>
      <c r="C69" s="35" t="s">
        <v>33</v>
      </c>
      <c r="D69" s="30">
        <v>7</v>
      </c>
      <c r="E69" s="81">
        <f>IF(C69="","",IFERROR(VLOOKUP(C69,'ITEM LIST'!B:M,12,0)*D69,0))</f>
        <v>1.68</v>
      </c>
    </row>
    <row r="70" spans="1:5" ht="14.25">
      <c r="A70" s="131" t="s">
        <v>310</v>
      </c>
      <c r="B70" s="35" t="s">
        <v>86</v>
      </c>
      <c r="C70" s="35" t="s">
        <v>532</v>
      </c>
      <c r="D70" s="30">
        <v>4</v>
      </c>
      <c r="E70" s="81">
        <f>IF(C70="","",IFERROR(VLOOKUP(C70,'ITEM LIST'!B:M,12,0)*D70,0))</f>
        <v>0.52</v>
      </c>
    </row>
    <row r="71" spans="1:5" ht="14.25">
      <c r="A71" s="131" t="s">
        <v>310</v>
      </c>
      <c r="B71" s="35" t="s">
        <v>86</v>
      </c>
      <c r="C71" s="35" t="s">
        <v>359</v>
      </c>
      <c r="D71" s="30">
        <v>15</v>
      </c>
      <c r="E71" s="81">
        <f>IF(C71="","",IFERROR(VLOOKUP(C71,'ITEM LIST'!B:M,12,0)*D71,0))</f>
        <v>0.92999999999999994</v>
      </c>
    </row>
    <row r="72" spans="1:5" ht="14.25">
      <c r="A72" s="131" t="s">
        <v>310</v>
      </c>
      <c r="B72" s="35" t="s">
        <v>86</v>
      </c>
      <c r="C72" s="35" t="s">
        <v>515</v>
      </c>
      <c r="D72" s="30">
        <v>18</v>
      </c>
      <c r="E72" s="81">
        <f>IF(C72="","",IFERROR(VLOOKUP(C72,'ITEM LIST'!B:M,12,0)*D72,0))</f>
        <v>0</v>
      </c>
    </row>
    <row r="73" spans="1:5" ht="14.25">
      <c r="A73" s="131" t="s">
        <v>310</v>
      </c>
      <c r="B73" s="35" t="s">
        <v>86</v>
      </c>
      <c r="C73" s="35" t="s">
        <v>27</v>
      </c>
      <c r="D73" s="30">
        <v>30</v>
      </c>
      <c r="E73" s="81">
        <f>IF(C73="","",IFERROR(VLOOKUP(C73,'ITEM LIST'!B:M,12,0)*D73,0))</f>
        <v>2.4</v>
      </c>
    </row>
    <row r="74" spans="1:5" ht="14.25">
      <c r="A74" s="131" t="s">
        <v>310</v>
      </c>
      <c r="B74" s="35" t="s">
        <v>86</v>
      </c>
      <c r="C74" s="35" t="s">
        <v>360</v>
      </c>
      <c r="D74" s="30">
        <v>10</v>
      </c>
      <c r="E74" s="81">
        <f>IF(C74="","",IFERROR(VLOOKUP(C74,'ITEM LIST'!B:M,12,0)*D74,0))</f>
        <v>0.72</v>
      </c>
    </row>
    <row r="75" spans="1:5" ht="14.25">
      <c r="A75" s="131" t="s">
        <v>310</v>
      </c>
      <c r="B75" s="35" t="s">
        <v>86</v>
      </c>
      <c r="C75" s="1" t="s">
        <v>670</v>
      </c>
      <c r="D75" s="30">
        <v>10</v>
      </c>
      <c r="E75" s="81">
        <f>IF(C75="","",IFERROR(VLOOKUP(C75,'ITEM LIST'!B:M,12,0)*D75,0))</f>
        <v>1.2</v>
      </c>
    </row>
    <row r="76" spans="1:5" ht="14.25">
      <c r="A76" s="131" t="s">
        <v>310</v>
      </c>
      <c r="B76" s="35" t="s">
        <v>86</v>
      </c>
      <c r="C76" s="35" t="s">
        <v>426</v>
      </c>
      <c r="D76" s="31">
        <v>260</v>
      </c>
      <c r="E76" s="81">
        <f>IF(C76="","",IFERROR(VLOOKUP(C76,'ITEM LIST'!B:M,12,0)*D76,0))</f>
        <v>10.4</v>
      </c>
    </row>
    <row r="77" spans="1:5" ht="14.25">
      <c r="A77" s="131" t="s">
        <v>310</v>
      </c>
      <c r="B77" s="35" t="s">
        <v>371</v>
      </c>
      <c r="C77" s="35" t="s">
        <v>371</v>
      </c>
      <c r="D77" s="31"/>
      <c r="E77" s="81" t="str">
        <f>IF(C77="","",IFERROR(VLOOKUP(C77,'ITEM LIST'!B:M,12,0)*D77,0))</f>
        <v/>
      </c>
    </row>
    <row r="78" spans="1:5" ht="14.25">
      <c r="A78" s="131" t="s">
        <v>310</v>
      </c>
      <c r="B78" s="35" t="s">
        <v>618</v>
      </c>
      <c r="C78" s="140" t="s">
        <v>518</v>
      </c>
      <c r="D78" s="141">
        <v>80</v>
      </c>
      <c r="E78" s="81">
        <f>IF(C78="","",IFERROR(VLOOKUP(C78,'ITEM LIST'!B:M,12,0)*D78,0))</f>
        <v>3.5999999999999996</v>
      </c>
    </row>
    <row r="79" spans="1:5" ht="14.25">
      <c r="A79" s="131" t="s">
        <v>310</v>
      </c>
      <c r="B79" s="35" t="s">
        <v>618</v>
      </c>
      <c r="C79" s="1" t="s">
        <v>672</v>
      </c>
      <c r="D79" s="141"/>
      <c r="E79" s="81">
        <f>IF(C79="","",IFERROR(VLOOKUP(C79,'ITEM LIST'!B:M,12,0)*D79,0))</f>
        <v>0</v>
      </c>
    </row>
    <row r="80" spans="1:5" ht="14.25">
      <c r="A80" s="131" t="s">
        <v>310</v>
      </c>
      <c r="B80" s="35" t="s">
        <v>618</v>
      </c>
      <c r="C80" s="140" t="s">
        <v>10</v>
      </c>
      <c r="D80" s="30">
        <v>160</v>
      </c>
      <c r="E80" s="81">
        <f>IF(C80="","",IFERROR(VLOOKUP(C80,'ITEM LIST'!B:M,12,0)*D80,0))</f>
        <v>2.88</v>
      </c>
    </row>
    <row r="81" spans="1:5" ht="14.25">
      <c r="A81" s="131" t="s">
        <v>310</v>
      </c>
      <c r="B81" s="35" t="s">
        <v>618</v>
      </c>
      <c r="C81" s="35" t="s">
        <v>20</v>
      </c>
      <c r="D81" s="30">
        <v>15</v>
      </c>
      <c r="E81" s="81">
        <f>IF(C81="","",IFERROR(VLOOKUP(C81,'ITEM LIST'!B:M,12,0)*D81,0))</f>
        <v>0.28499999999999998</v>
      </c>
    </row>
    <row r="82" spans="1:5" ht="14.25">
      <c r="A82" s="131" t="s">
        <v>310</v>
      </c>
      <c r="B82" s="35" t="s">
        <v>618</v>
      </c>
      <c r="C82" s="35" t="s">
        <v>25</v>
      </c>
      <c r="D82" s="30">
        <v>15</v>
      </c>
      <c r="E82" s="81">
        <f>IF(C82="","",IFERROR(VLOOKUP(C82,'ITEM LIST'!B:M,12,0)*D82,0))</f>
        <v>0.42</v>
      </c>
    </row>
    <row r="83" spans="1:5" ht="14.25">
      <c r="A83" s="131" t="s">
        <v>310</v>
      </c>
      <c r="B83" s="35" t="s">
        <v>618</v>
      </c>
      <c r="C83" s="35" t="s">
        <v>324</v>
      </c>
      <c r="D83" s="30">
        <v>20</v>
      </c>
      <c r="E83" s="81">
        <f>IF(C83="","",IFERROR(VLOOKUP(C83,'ITEM LIST'!B:M,12,0)*D83,0))</f>
        <v>1.2</v>
      </c>
    </row>
    <row r="84" spans="1:5" ht="14.25">
      <c r="A84" s="131" t="s">
        <v>310</v>
      </c>
      <c r="B84" s="35" t="s">
        <v>618</v>
      </c>
      <c r="C84" s="35" t="s">
        <v>515</v>
      </c>
      <c r="D84" s="30">
        <v>15</v>
      </c>
      <c r="E84" s="81">
        <f>IF(C84="","",IFERROR(VLOOKUP(C84,'ITEM LIST'!B:M,12,0)*D84,0))</f>
        <v>0</v>
      </c>
    </row>
    <row r="85" spans="1:5" ht="14.25">
      <c r="A85" s="131" t="s">
        <v>310</v>
      </c>
      <c r="B85" s="35" t="s">
        <v>618</v>
      </c>
      <c r="C85" s="35" t="s">
        <v>360</v>
      </c>
      <c r="D85" s="30">
        <v>15</v>
      </c>
      <c r="E85" s="81">
        <f>IF(C85="","",IFERROR(VLOOKUP(C85,'ITEM LIST'!B:M,12,0)*D85,0))</f>
        <v>1.0799999999999998</v>
      </c>
    </row>
    <row r="86" spans="1:5" ht="14.25">
      <c r="A86" s="131" t="s">
        <v>310</v>
      </c>
      <c r="B86" s="35" t="s">
        <v>618</v>
      </c>
      <c r="C86" s="35" t="s">
        <v>359</v>
      </c>
      <c r="D86" s="30">
        <v>30</v>
      </c>
      <c r="E86" s="81">
        <f>IF(C86="","",IFERROR(VLOOKUP(C86,'ITEM LIST'!B:M,12,0)*D86,0))</f>
        <v>1.8599999999999999</v>
      </c>
    </row>
    <row r="87" spans="1:5" ht="14.25">
      <c r="A87" s="131" t="s">
        <v>310</v>
      </c>
      <c r="B87" s="35" t="s">
        <v>618</v>
      </c>
      <c r="C87" s="35" t="s">
        <v>362</v>
      </c>
      <c r="D87" s="30">
        <v>10</v>
      </c>
      <c r="E87" s="81">
        <f>IF(C87="","",IFERROR(VLOOKUP(C87,'ITEM LIST'!B:M,12,0)*D87,0))</f>
        <v>0.45999999999999996</v>
      </c>
    </row>
    <row r="88" spans="1:5" ht="14.25">
      <c r="A88" s="131" t="s">
        <v>310</v>
      </c>
      <c r="B88" s="35" t="s">
        <v>618</v>
      </c>
      <c r="C88" s="35" t="s">
        <v>33</v>
      </c>
      <c r="D88" s="30">
        <v>3</v>
      </c>
      <c r="E88" s="81">
        <f>IF(C88="","",IFERROR(VLOOKUP(C88,'ITEM LIST'!B:M,12,0)*D88,0))</f>
        <v>0.72</v>
      </c>
    </row>
    <row r="89" spans="1:5" ht="14.25">
      <c r="A89" s="131" t="s">
        <v>310</v>
      </c>
      <c r="B89" s="35" t="s">
        <v>618</v>
      </c>
      <c r="C89" s="35" t="s">
        <v>114</v>
      </c>
      <c r="D89" s="30">
        <v>3</v>
      </c>
      <c r="E89" s="81">
        <f>IF(C89="","",IFERROR(VLOOKUP(C89,'ITEM LIST'!B:M,12,0)*D89,0))</f>
        <v>8.4000000000000005E-2</v>
      </c>
    </row>
    <row r="90" spans="1:5" ht="14.25">
      <c r="A90" s="131" t="s">
        <v>310</v>
      </c>
      <c r="B90" s="35" t="s">
        <v>618</v>
      </c>
      <c r="C90" s="35" t="s">
        <v>27</v>
      </c>
      <c r="D90" s="30">
        <v>8</v>
      </c>
      <c r="E90" s="81">
        <f>IF(C90="","",IFERROR(VLOOKUP(C90,'ITEM LIST'!B:M,12,0)*D90,0))</f>
        <v>0.64</v>
      </c>
    </row>
    <row r="91" spans="1:5" ht="14.25">
      <c r="A91" s="131" t="s">
        <v>310</v>
      </c>
      <c r="B91" s="35" t="s">
        <v>618</v>
      </c>
      <c r="C91" s="1" t="s">
        <v>670</v>
      </c>
      <c r="D91" s="30">
        <v>8</v>
      </c>
      <c r="E91" s="81">
        <f>IF(C91="","",IFERROR(VLOOKUP(C91,'ITEM LIST'!B:M,12,0)*D91,0))</f>
        <v>0.96</v>
      </c>
    </row>
    <row r="92" spans="1:5" ht="14.25">
      <c r="A92" s="131"/>
      <c r="B92" s="35" t="s">
        <v>371</v>
      </c>
      <c r="C92" s="35"/>
      <c r="D92" s="30"/>
      <c r="E92" s="81" t="str">
        <f>IF(C92="","",IFERROR(VLOOKUP(C92,'ITEM LIST'!B:M,12,0)*D92,0))</f>
        <v/>
      </c>
    </row>
    <row r="93" spans="1:5" ht="14.25">
      <c r="A93" s="131" t="s">
        <v>310</v>
      </c>
      <c r="B93" s="35" t="s">
        <v>87</v>
      </c>
      <c r="C93" s="140" t="s">
        <v>518</v>
      </c>
      <c r="D93" s="141">
        <v>80</v>
      </c>
      <c r="E93" s="81">
        <f>IF(C93="","",IFERROR(VLOOKUP(C93,'ITEM LIST'!B:M,12,0)*D93,0))</f>
        <v>3.5999999999999996</v>
      </c>
    </row>
    <row r="94" spans="1:5" ht="14.25">
      <c r="A94" s="131" t="s">
        <v>310</v>
      </c>
      <c r="B94" s="35" t="s">
        <v>87</v>
      </c>
      <c r="C94" s="140" t="s">
        <v>10</v>
      </c>
      <c r="D94" s="30">
        <v>160</v>
      </c>
      <c r="E94" s="81">
        <f>IF(C94="","",IFERROR(VLOOKUP(C94,'ITEM LIST'!B:M,12,0)*D94,0))</f>
        <v>2.88</v>
      </c>
    </row>
    <row r="95" spans="1:5" ht="14.25">
      <c r="A95" s="131" t="s">
        <v>310</v>
      </c>
      <c r="B95" s="35" t="s">
        <v>87</v>
      </c>
      <c r="C95" s="209" t="s">
        <v>672</v>
      </c>
      <c r="D95" s="30"/>
      <c r="E95" s="81">
        <f>IF(C95="","",IFERROR(VLOOKUP(C95,'ITEM LIST'!B:M,12,0)*D95,0))</f>
        <v>0</v>
      </c>
    </row>
    <row r="96" spans="1:5" ht="14.25">
      <c r="A96" s="131" t="s">
        <v>310</v>
      </c>
      <c r="B96" s="35" t="s">
        <v>87</v>
      </c>
      <c r="C96" s="35" t="s">
        <v>20</v>
      </c>
      <c r="D96" s="30">
        <v>15</v>
      </c>
      <c r="E96" s="81">
        <f>IF(C96="","",IFERROR(VLOOKUP(C96,'ITEM LIST'!B:M,12,0)*D96,0))</f>
        <v>0.28499999999999998</v>
      </c>
    </row>
    <row r="97" spans="1:5" ht="14.25">
      <c r="A97" s="131" t="s">
        <v>310</v>
      </c>
      <c r="B97" s="35" t="s">
        <v>87</v>
      </c>
      <c r="C97" s="35" t="s">
        <v>25</v>
      </c>
      <c r="D97" s="30">
        <v>15</v>
      </c>
      <c r="E97" s="81">
        <f>IF(C97="","",IFERROR(VLOOKUP(C97,'ITEM LIST'!B:M,12,0)*D97,0))</f>
        <v>0.42</v>
      </c>
    </row>
    <row r="98" spans="1:5" ht="14.25">
      <c r="A98" s="131" t="s">
        <v>310</v>
      </c>
      <c r="B98" s="35" t="s">
        <v>87</v>
      </c>
      <c r="C98" s="35" t="s">
        <v>324</v>
      </c>
      <c r="D98" s="30">
        <v>20</v>
      </c>
      <c r="E98" s="81">
        <f>IF(C98="","",IFERROR(VLOOKUP(C98,'ITEM LIST'!B:M,12,0)*D98,0))</f>
        <v>1.2</v>
      </c>
    </row>
    <row r="99" spans="1:5" ht="14.25">
      <c r="A99" s="131" t="s">
        <v>310</v>
      </c>
      <c r="B99" s="35" t="s">
        <v>87</v>
      </c>
      <c r="C99" s="35" t="s">
        <v>515</v>
      </c>
      <c r="D99" s="30">
        <v>10</v>
      </c>
      <c r="E99" s="81">
        <f>IF(C99="","",IFERROR(VLOOKUP(C99,'ITEM LIST'!B:M,12,0)*D99,0))</f>
        <v>0</v>
      </c>
    </row>
    <row r="100" spans="1:5" ht="14.25">
      <c r="A100" s="131" t="s">
        <v>310</v>
      </c>
      <c r="B100" s="35" t="s">
        <v>87</v>
      </c>
      <c r="C100" s="35" t="s">
        <v>360</v>
      </c>
      <c r="D100" s="30">
        <v>15</v>
      </c>
      <c r="E100" s="81">
        <f>IF(C100="","",IFERROR(VLOOKUP(C100,'ITEM LIST'!B:M,12,0)*D100,0))</f>
        <v>1.0799999999999998</v>
      </c>
    </row>
    <row r="101" spans="1:5" ht="14.25">
      <c r="A101" s="131" t="s">
        <v>310</v>
      </c>
      <c r="B101" s="35" t="s">
        <v>87</v>
      </c>
      <c r="C101" s="35" t="s">
        <v>359</v>
      </c>
      <c r="D101" s="30">
        <v>60</v>
      </c>
      <c r="E101" s="81">
        <f>IF(C101="","",IFERROR(VLOOKUP(C101,'ITEM LIST'!B:M,12,0)*D101,0))</f>
        <v>3.7199999999999998</v>
      </c>
    </row>
    <row r="102" spans="1:5" ht="14.25">
      <c r="A102" s="131" t="s">
        <v>310</v>
      </c>
      <c r="B102" s="35" t="s">
        <v>87</v>
      </c>
      <c r="C102" s="35" t="s">
        <v>362</v>
      </c>
      <c r="D102" s="30">
        <v>5</v>
      </c>
      <c r="E102" s="81">
        <f>IF(C102="","",IFERROR(VLOOKUP(C102,'ITEM LIST'!B:M,12,0)*D102,0))</f>
        <v>0.22999999999999998</v>
      </c>
    </row>
    <row r="103" spans="1:5" ht="14.25">
      <c r="A103" s="131" t="s">
        <v>310</v>
      </c>
      <c r="B103" s="35" t="s">
        <v>87</v>
      </c>
      <c r="C103" s="35" t="s">
        <v>33</v>
      </c>
      <c r="D103" s="30">
        <v>3</v>
      </c>
      <c r="E103" s="81">
        <f>IF(C103="","",IFERROR(VLOOKUP(C103,'ITEM LIST'!B:M,12,0)*D103,0))</f>
        <v>0.72</v>
      </c>
    </row>
    <row r="104" spans="1:5" ht="14.25">
      <c r="A104" s="131" t="s">
        <v>310</v>
      </c>
      <c r="B104" s="35" t="s">
        <v>87</v>
      </c>
      <c r="C104" s="35" t="s">
        <v>114</v>
      </c>
      <c r="D104" s="30">
        <v>3</v>
      </c>
      <c r="E104" s="81">
        <f>IF(C104="","",IFERROR(VLOOKUP(C104,'ITEM LIST'!B:M,12,0)*D104,0))</f>
        <v>8.4000000000000005E-2</v>
      </c>
    </row>
    <row r="105" spans="1:5" ht="14.25">
      <c r="A105" s="131" t="s">
        <v>310</v>
      </c>
      <c r="B105" s="35" t="s">
        <v>87</v>
      </c>
      <c r="C105" s="35" t="s">
        <v>27</v>
      </c>
      <c r="D105" s="30">
        <v>8</v>
      </c>
      <c r="E105" s="81">
        <f>IF(C105="","",IFERROR(VLOOKUP(C105,'ITEM LIST'!B:M,12,0)*D105,0))</f>
        <v>0.64</v>
      </c>
    </row>
    <row r="106" spans="1:5" ht="14.25">
      <c r="A106" s="131" t="s">
        <v>310</v>
      </c>
      <c r="B106" s="35" t="s">
        <v>87</v>
      </c>
      <c r="C106" s="209" t="s">
        <v>670</v>
      </c>
      <c r="D106" s="30">
        <v>8</v>
      </c>
      <c r="E106" s="81">
        <f>IF(C106="","",IFERROR(VLOOKUP(C106,'ITEM LIST'!B:M,12,0)*D106,0))</f>
        <v>0.96</v>
      </c>
    </row>
    <row r="107" spans="1:5" ht="14.25">
      <c r="A107" s="131" t="s">
        <v>310</v>
      </c>
      <c r="B107" s="35" t="s">
        <v>87</v>
      </c>
      <c r="C107" s="35" t="s">
        <v>498</v>
      </c>
      <c r="D107" s="30">
        <v>15</v>
      </c>
      <c r="E107" s="81">
        <f>IF(C107="","",IFERROR(VLOOKUP(C107,'ITEM LIST'!B:M,12,0)*D107,0))</f>
        <v>3.75</v>
      </c>
    </row>
    <row r="108" spans="1:5" ht="14.25">
      <c r="A108" s="131" t="s">
        <v>310</v>
      </c>
      <c r="B108" s="35" t="s">
        <v>87</v>
      </c>
      <c r="C108" s="35" t="s">
        <v>386</v>
      </c>
      <c r="D108" s="30">
        <v>3</v>
      </c>
      <c r="E108" s="81">
        <f>IF(C108="","",IFERROR(VLOOKUP(C108,'ITEM LIST'!B:M,12,0)*D108,0))</f>
        <v>0.84000000000000008</v>
      </c>
    </row>
    <row r="109" spans="1:5" ht="14.25">
      <c r="A109" s="93"/>
      <c r="B109" s="35" t="s">
        <v>371</v>
      </c>
      <c r="C109" s="35" t="s">
        <v>371</v>
      </c>
      <c r="D109" s="31"/>
      <c r="E109" s="81" t="str">
        <f>IF(C109="","",IFERROR(VLOOKUP(C109,'ITEM LIST'!B:M,12,0)*D109,0))</f>
        <v/>
      </c>
    </row>
    <row r="110" spans="1:5" ht="14.25">
      <c r="A110" s="131" t="s">
        <v>310</v>
      </c>
      <c r="B110" s="35" t="s">
        <v>116</v>
      </c>
      <c r="C110" s="35" t="s">
        <v>528</v>
      </c>
      <c r="D110" s="30">
        <v>3</v>
      </c>
      <c r="E110" s="81">
        <f>IF(C110="","",IFERROR(VLOOKUP(C110,'ITEM LIST'!B:M,12,0)*D110,0))</f>
        <v>15</v>
      </c>
    </row>
    <row r="111" spans="1:5" ht="14.25">
      <c r="A111" s="131" t="s">
        <v>310</v>
      </c>
      <c r="B111" s="35" t="s">
        <v>116</v>
      </c>
      <c r="C111" s="209" t="s">
        <v>672</v>
      </c>
      <c r="D111" s="30"/>
      <c r="E111" s="81">
        <f>IF(C111="","",IFERROR(VLOOKUP(C111,'ITEM LIST'!B:M,12,0)*D111,0))</f>
        <v>0</v>
      </c>
    </row>
    <row r="112" spans="1:5" ht="14.25">
      <c r="A112" s="131" t="s">
        <v>310</v>
      </c>
      <c r="B112" s="35" t="s">
        <v>116</v>
      </c>
      <c r="C112" s="35" t="s">
        <v>20</v>
      </c>
      <c r="D112" s="30">
        <v>20</v>
      </c>
      <c r="E112" s="81">
        <f>IF(C112="","",IFERROR(VLOOKUP(C112,'ITEM LIST'!B:M,12,0)*D112,0))</f>
        <v>0.38</v>
      </c>
    </row>
    <row r="113" spans="1:5" ht="14.25">
      <c r="A113" s="131" t="s">
        <v>310</v>
      </c>
      <c r="B113" s="35" t="s">
        <v>116</v>
      </c>
      <c r="C113" s="35" t="s">
        <v>25</v>
      </c>
      <c r="D113" s="30">
        <v>40</v>
      </c>
      <c r="E113" s="81">
        <f>IF(C113="","",IFERROR(VLOOKUP(C113,'ITEM LIST'!B:M,12,0)*D113,0))</f>
        <v>1.1200000000000001</v>
      </c>
    </row>
    <row r="114" spans="1:5" ht="14.25">
      <c r="A114" s="131" t="s">
        <v>310</v>
      </c>
      <c r="B114" s="35" t="s">
        <v>116</v>
      </c>
      <c r="C114" s="35" t="s">
        <v>31</v>
      </c>
      <c r="D114" s="30">
        <v>30</v>
      </c>
      <c r="E114" s="81">
        <f>IF(C114="","",IFERROR(VLOOKUP(C114,'ITEM LIST'!B:M,12,0)*D114,0))</f>
        <v>0.48</v>
      </c>
    </row>
    <row r="115" spans="1:5" ht="14.25">
      <c r="A115" s="131" t="s">
        <v>310</v>
      </c>
      <c r="B115" s="35" t="s">
        <v>116</v>
      </c>
      <c r="C115" s="35" t="s">
        <v>32</v>
      </c>
      <c r="D115" s="30">
        <v>10</v>
      </c>
      <c r="E115" s="81">
        <f>IF(C115="","",IFERROR(VLOOKUP(C115,'ITEM LIST'!B:M,12,0)*D115,0))</f>
        <v>0.35000000000000003</v>
      </c>
    </row>
    <row r="116" spans="1:5" ht="14.25">
      <c r="A116" s="93"/>
      <c r="B116" s="35" t="s">
        <v>371</v>
      </c>
      <c r="C116" s="35" t="s">
        <v>371</v>
      </c>
      <c r="D116" s="31"/>
      <c r="E116" s="81" t="str">
        <f>IF(C116="","",IFERROR(VLOOKUP(C116,'ITEM LIST'!B:M,12,0)*D116,0))</f>
        <v/>
      </c>
    </row>
    <row r="117" spans="1:5" ht="14.25">
      <c r="A117" s="131" t="s">
        <v>310</v>
      </c>
      <c r="B117" s="35" t="s">
        <v>88</v>
      </c>
      <c r="C117" s="209" t="s">
        <v>672</v>
      </c>
      <c r="D117" s="31"/>
      <c r="E117" s="81">
        <f>IF(C117="","",IFERROR(VLOOKUP(C117,'ITEM LIST'!B:M,12,0)*D117,0))</f>
        <v>0</v>
      </c>
    </row>
    <row r="118" spans="1:5" ht="14.25">
      <c r="A118" s="131" t="s">
        <v>310</v>
      </c>
      <c r="B118" s="35" t="s">
        <v>88</v>
      </c>
      <c r="C118" s="35" t="s">
        <v>553</v>
      </c>
      <c r="D118" s="30">
        <v>270</v>
      </c>
      <c r="E118" s="81">
        <f>IF(C118="","",IFERROR(VLOOKUP(C118,'ITEM LIST'!B:M,12,0)*D118,0))</f>
        <v>45.900000000000006</v>
      </c>
    </row>
    <row r="119" spans="1:5" ht="14.25">
      <c r="A119" s="131" t="s">
        <v>310</v>
      </c>
      <c r="B119" s="35" t="s">
        <v>88</v>
      </c>
      <c r="C119" s="35" t="s">
        <v>339</v>
      </c>
      <c r="D119" s="30">
        <v>2</v>
      </c>
      <c r="E119" s="81">
        <f>IF(C119="","",IFERROR(VLOOKUP(C119,'ITEM LIST'!B:M,12,0)*D119,0))</f>
        <v>1.34</v>
      </c>
    </row>
    <row r="120" spans="1:5" ht="14.25">
      <c r="A120" s="93"/>
      <c r="B120" s="35" t="s">
        <v>371</v>
      </c>
      <c r="C120" s="35" t="s">
        <v>371</v>
      </c>
      <c r="D120" s="31"/>
      <c r="E120" s="81" t="str">
        <f>IF(C120="","",IFERROR(VLOOKUP(C120,'ITEM LIST'!B:M,12,0)*D120,0))</f>
        <v/>
      </c>
    </row>
    <row r="121" spans="1:5" ht="14.25">
      <c r="A121" s="131" t="s">
        <v>310</v>
      </c>
      <c r="B121" s="35" t="s">
        <v>619</v>
      </c>
      <c r="C121" s="35" t="s">
        <v>36</v>
      </c>
      <c r="D121" s="30">
        <v>20</v>
      </c>
      <c r="E121" s="81">
        <f>IF(C121="","",IFERROR(VLOOKUP(C121,'ITEM LIST'!B:M,12,0)*D121,0))</f>
        <v>3.5999999999999996</v>
      </c>
    </row>
    <row r="122" spans="1:5" ht="14.25">
      <c r="A122" s="131" t="s">
        <v>310</v>
      </c>
      <c r="B122" s="35" t="s">
        <v>619</v>
      </c>
      <c r="C122" s="35" t="s">
        <v>330</v>
      </c>
      <c r="D122" s="30">
        <v>20</v>
      </c>
      <c r="E122" s="81">
        <f>IF(C122="","",IFERROR(VLOOKUP(C122,'ITEM LIST'!B:M,12,0)*D122,0))</f>
        <v>3.5999999999999996</v>
      </c>
    </row>
    <row r="123" spans="1:5" ht="14.25">
      <c r="A123" s="131" t="s">
        <v>310</v>
      </c>
      <c r="B123" s="35" t="s">
        <v>619</v>
      </c>
      <c r="C123" s="35" t="s">
        <v>27</v>
      </c>
      <c r="D123" s="30">
        <v>5</v>
      </c>
      <c r="E123" s="81">
        <f>IF(C123="","",IFERROR(VLOOKUP(C123,'ITEM LIST'!B:M,12,0)*D123,0))</f>
        <v>0.4</v>
      </c>
    </row>
    <row r="124" spans="1:5" ht="14.25">
      <c r="A124" s="131" t="s">
        <v>310</v>
      </c>
      <c r="B124" s="35" t="s">
        <v>619</v>
      </c>
      <c r="C124" s="35" t="s">
        <v>25</v>
      </c>
      <c r="D124" s="30">
        <v>36</v>
      </c>
      <c r="E124" s="81">
        <f>IF(C124="","",IFERROR(VLOOKUP(C124,'ITEM LIST'!B:M,12,0)*D124,0))</f>
        <v>1.008</v>
      </c>
    </row>
    <row r="125" spans="1:5" ht="14.25">
      <c r="A125" s="131" t="s">
        <v>310</v>
      </c>
      <c r="B125" s="35" t="s">
        <v>619</v>
      </c>
      <c r="C125" s="35" t="s">
        <v>20</v>
      </c>
      <c r="D125" s="30">
        <v>35</v>
      </c>
      <c r="E125" s="81">
        <f>IF(C125="","",IFERROR(VLOOKUP(C125,'ITEM LIST'!B:M,12,0)*D125,0))</f>
        <v>0.66500000000000004</v>
      </c>
    </row>
    <row r="126" spans="1:5" ht="14.25">
      <c r="A126" s="131" t="s">
        <v>310</v>
      </c>
      <c r="B126" s="35" t="s">
        <v>619</v>
      </c>
      <c r="C126" s="140" t="s">
        <v>518</v>
      </c>
      <c r="D126" s="30">
        <v>10</v>
      </c>
      <c r="E126" s="81">
        <f>IF(C126="","",IFERROR(VLOOKUP(C126,'ITEM LIST'!B:M,12,0)*D126,0))</f>
        <v>0.44999999999999996</v>
      </c>
    </row>
    <row r="127" spans="1:5" ht="14.25">
      <c r="A127" s="131" t="s">
        <v>310</v>
      </c>
      <c r="B127" s="35" t="s">
        <v>619</v>
      </c>
      <c r="C127" s="35" t="s">
        <v>17</v>
      </c>
      <c r="D127" s="30">
        <v>100</v>
      </c>
      <c r="E127" s="81">
        <f>IF(C127="","",IFERROR(VLOOKUP(C127,'ITEM LIST'!B:M,12,0)*D127,0))</f>
        <v>27</v>
      </c>
    </row>
    <row r="128" spans="1:5" ht="14.25">
      <c r="A128" s="131" t="s">
        <v>310</v>
      </c>
      <c r="B128" s="35" t="s">
        <v>619</v>
      </c>
      <c r="C128" s="209" t="s">
        <v>672</v>
      </c>
      <c r="D128" s="30"/>
      <c r="E128" s="81">
        <f>IF(C128="","",IFERROR(VLOOKUP(C128,'ITEM LIST'!B:M,12,0)*D128,0))</f>
        <v>0</v>
      </c>
    </row>
    <row r="129" spans="1:5" ht="14.25">
      <c r="A129" s="131" t="s">
        <v>310</v>
      </c>
      <c r="B129" s="35" t="s">
        <v>619</v>
      </c>
      <c r="C129" s="35" t="s">
        <v>37</v>
      </c>
      <c r="D129" s="30">
        <v>1.5</v>
      </c>
      <c r="E129" s="81">
        <f>IF(C129="","",IFERROR(VLOOKUP(C129,'ITEM LIST'!B:M,12,0)*D129,0))</f>
        <v>0.30000000000000004</v>
      </c>
    </row>
    <row r="130" spans="1:5" ht="14.25">
      <c r="A130" s="131" t="s">
        <v>310</v>
      </c>
      <c r="B130" s="35" t="s">
        <v>619</v>
      </c>
      <c r="C130" s="35" t="s">
        <v>114</v>
      </c>
      <c r="D130" s="30">
        <v>1.5</v>
      </c>
      <c r="E130" s="81">
        <f>IF(C130="","",IFERROR(VLOOKUP(C130,'ITEM LIST'!B:M,12,0)*D130,0))</f>
        <v>4.2000000000000003E-2</v>
      </c>
    </row>
    <row r="131" spans="1:5" ht="14.25">
      <c r="A131" s="131" t="s">
        <v>310</v>
      </c>
      <c r="B131" s="35" t="s">
        <v>619</v>
      </c>
      <c r="C131" s="35" t="s">
        <v>33</v>
      </c>
      <c r="D131" s="30">
        <v>1.5</v>
      </c>
      <c r="E131" s="81">
        <f>IF(C131="","",IFERROR(VLOOKUP(C131,'ITEM LIST'!B:M,12,0)*D131,0))</f>
        <v>0.36</v>
      </c>
    </row>
    <row r="132" spans="1:5" ht="14.25">
      <c r="A132" s="131" t="s">
        <v>310</v>
      </c>
      <c r="B132" s="35" t="s">
        <v>619</v>
      </c>
      <c r="C132" s="35" t="s">
        <v>515</v>
      </c>
      <c r="D132" s="30">
        <v>13</v>
      </c>
      <c r="E132" s="81">
        <f>IF(C132="","",IFERROR(VLOOKUP(C132,'ITEM LIST'!B:M,12,0)*D132,0))</f>
        <v>0</v>
      </c>
    </row>
    <row r="133" spans="1:5" ht="14.25">
      <c r="A133" s="93"/>
      <c r="B133" s="35" t="s">
        <v>371</v>
      </c>
      <c r="C133" s="35" t="s">
        <v>371</v>
      </c>
      <c r="D133" s="31"/>
      <c r="E133" s="81" t="str">
        <f>IF(C133="","",IFERROR(VLOOKUP(C133,'ITEM LIST'!B:M,12,0)*D133,0))</f>
        <v/>
      </c>
    </row>
    <row r="134" spans="1:5" ht="14.25">
      <c r="A134" s="131" t="s">
        <v>310</v>
      </c>
      <c r="B134" s="35" t="s">
        <v>620</v>
      </c>
      <c r="C134" s="35" t="s">
        <v>323</v>
      </c>
      <c r="D134" s="30">
        <v>15</v>
      </c>
      <c r="E134" s="81">
        <f>IF(C134="","",IFERROR(VLOOKUP(C134,'ITEM LIST'!B:M,12,0)*D134,0))</f>
        <v>0.52500000000000002</v>
      </c>
    </row>
    <row r="135" spans="1:5" ht="14.25">
      <c r="A135" s="131" t="s">
        <v>310</v>
      </c>
      <c r="B135" s="35" t="s">
        <v>620</v>
      </c>
      <c r="C135" s="35" t="s">
        <v>114</v>
      </c>
      <c r="D135" s="30">
        <v>5</v>
      </c>
      <c r="E135" s="81">
        <f>IF(C135="","",IFERROR(VLOOKUP(C135,'ITEM LIST'!B:M,12,0)*D135,0))</f>
        <v>0.14000000000000001</v>
      </c>
    </row>
    <row r="136" spans="1:5" ht="14.25">
      <c r="A136" s="131" t="s">
        <v>310</v>
      </c>
      <c r="B136" s="35" t="s">
        <v>620</v>
      </c>
      <c r="C136" s="35" t="s">
        <v>552</v>
      </c>
      <c r="D136" s="30">
        <v>15</v>
      </c>
      <c r="E136" s="81">
        <f>IF(C136="","",IFERROR(VLOOKUP(C136,'ITEM LIST'!B:M,12,0)*D136,0))</f>
        <v>0</v>
      </c>
    </row>
    <row r="137" spans="1:5" ht="14.25">
      <c r="A137" s="131" t="s">
        <v>310</v>
      </c>
      <c r="B137" s="35" t="s">
        <v>620</v>
      </c>
      <c r="C137" s="35" t="s">
        <v>33</v>
      </c>
      <c r="D137" s="30">
        <v>5</v>
      </c>
      <c r="E137" s="81">
        <f>IF(C137="","",IFERROR(VLOOKUP(C137,'ITEM LIST'!B:M,12,0)*D137,0))</f>
        <v>1.2</v>
      </c>
    </row>
    <row r="138" spans="1:5" ht="14.25">
      <c r="A138" s="131" t="s">
        <v>310</v>
      </c>
      <c r="B138" s="35" t="s">
        <v>620</v>
      </c>
      <c r="C138" s="35" t="s">
        <v>532</v>
      </c>
      <c r="D138" s="30">
        <v>22</v>
      </c>
      <c r="E138" s="81">
        <f>IF(C138="","",IFERROR(VLOOKUP(C138,'ITEM LIST'!B:M,12,0)*D138,0))</f>
        <v>2.8600000000000003</v>
      </c>
    </row>
    <row r="139" spans="1:5" ht="14.25">
      <c r="A139" s="131" t="s">
        <v>310</v>
      </c>
      <c r="B139" s="35" t="s">
        <v>620</v>
      </c>
      <c r="C139" s="35" t="s">
        <v>362</v>
      </c>
      <c r="D139" s="30">
        <v>15</v>
      </c>
      <c r="E139" s="81">
        <f>IF(C139="","",IFERROR(VLOOKUP(C139,'ITEM LIST'!B:M,12,0)*D139,0))</f>
        <v>0.69</v>
      </c>
    </row>
    <row r="140" spans="1:5" ht="14.25">
      <c r="A140" s="131" t="s">
        <v>310</v>
      </c>
      <c r="B140" s="35" t="s">
        <v>620</v>
      </c>
      <c r="C140" s="35" t="s">
        <v>324</v>
      </c>
      <c r="D140" s="30">
        <v>18</v>
      </c>
      <c r="E140" s="81">
        <f>IF(C140="","",IFERROR(VLOOKUP(C140,'ITEM LIST'!B:M,12,0)*D140,0))</f>
        <v>1.08</v>
      </c>
    </row>
    <row r="141" spans="1:5" ht="14.25">
      <c r="A141" s="131" t="s">
        <v>310</v>
      </c>
      <c r="B141" s="35" t="s">
        <v>620</v>
      </c>
      <c r="C141" s="35" t="s">
        <v>20</v>
      </c>
      <c r="D141" s="30">
        <v>38</v>
      </c>
      <c r="E141" s="81">
        <f>IF(C141="","",IFERROR(VLOOKUP(C141,'ITEM LIST'!B:M,12,0)*D141,0))</f>
        <v>0.72199999999999998</v>
      </c>
    </row>
    <row r="142" spans="1:5" ht="14.25">
      <c r="A142" s="131" t="s">
        <v>310</v>
      </c>
      <c r="B142" s="35" t="s">
        <v>620</v>
      </c>
      <c r="C142" s="35" t="s">
        <v>18</v>
      </c>
      <c r="D142" s="30">
        <v>1</v>
      </c>
      <c r="E142" s="81">
        <f>IF(C142="","",IFERROR(VLOOKUP(C142,'ITEM LIST'!B:M,12,0)*D142,0))</f>
        <v>0.03</v>
      </c>
    </row>
    <row r="143" spans="1:5" ht="14.25">
      <c r="A143" s="131" t="s">
        <v>310</v>
      </c>
      <c r="B143" s="35" t="s">
        <v>620</v>
      </c>
      <c r="C143" s="35" t="s">
        <v>27</v>
      </c>
      <c r="D143" s="30">
        <v>8</v>
      </c>
      <c r="E143" s="81">
        <f>IF(C143="","",IFERROR(VLOOKUP(C143,'ITEM LIST'!B:M,12,0)*D143,0))</f>
        <v>0.64</v>
      </c>
    </row>
    <row r="144" spans="1:5" ht="14.25">
      <c r="A144" s="131" t="s">
        <v>310</v>
      </c>
      <c r="B144" s="35" t="s">
        <v>620</v>
      </c>
      <c r="C144" s="35" t="s">
        <v>518</v>
      </c>
      <c r="D144" s="30">
        <v>20</v>
      </c>
      <c r="E144" s="81">
        <f>IF(C144="","",IFERROR(VLOOKUP(C144,'ITEM LIST'!B:M,12,0)*D144,0))</f>
        <v>0.89999999999999991</v>
      </c>
    </row>
    <row r="145" spans="1:5" ht="14.25">
      <c r="A145" s="131" t="s">
        <v>310</v>
      </c>
      <c r="B145" s="35" t="s">
        <v>620</v>
      </c>
      <c r="C145" s="35" t="s">
        <v>37</v>
      </c>
      <c r="D145" s="30">
        <v>1</v>
      </c>
      <c r="E145" s="81">
        <f>IF(C145="","",IFERROR(VLOOKUP(C145,'ITEM LIST'!B:M,12,0)*D145,0))</f>
        <v>0.2</v>
      </c>
    </row>
    <row r="146" spans="1:5" ht="14.25">
      <c r="A146" s="131" t="s">
        <v>310</v>
      </c>
      <c r="B146" s="35" t="s">
        <v>620</v>
      </c>
      <c r="C146" s="140" t="s">
        <v>518</v>
      </c>
      <c r="D146" s="30">
        <v>10</v>
      </c>
      <c r="E146" s="81">
        <f>IF(C146="","",IFERROR(VLOOKUP(C146,'ITEM LIST'!B:M,12,0)*D146,0))</f>
        <v>0.44999999999999996</v>
      </c>
    </row>
    <row r="147" spans="1:5" ht="14.25">
      <c r="A147" s="131" t="s">
        <v>310</v>
      </c>
      <c r="B147" s="35" t="s">
        <v>620</v>
      </c>
      <c r="C147" s="209" t="s">
        <v>672</v>
      </c>
      <c r="D147" s="30"/>
      <c r="E147" s="81">
        <f>IF(C147="","",IFERROR(VLOOKUP(C147,'ITEM LIST'!B:M,12,0)*D147,0))</f>
        <v>0</v>
      </c>
    </row>
    <row r="148" spans="1:5" ht="14.25">
      <c r="A148" s="131" t="s">
        <v>310</v>
      </c>
      <c r="B148" s="35" t="s">
        <v>620</v>
      </c>
      <c r="C148" s="35" t="s">
        <v>17</v>
      </c>
      <c r="D148" s="31">
        <v>100</v>
      </c>
      <c r="E148" s="81">
        <f>IF(C148="","",IFERROR(VLOOKUP(C148,'ITEM LIST'!B:M,12,0)*D148,0))</f>
        <v>27</v>
      </c>
    </row>
    <row r="149" spans="1:5" ht="14.25">
      <c r="A149" s="131" t="s">
        <v>310</v>
      </c>
      <c r="B149" s="35" t="s">
        <v>371</v>
      </c>
      <c r="C149" s="35" t="s">
        <v>371</v>
      </c>
      <c r="D149" s="31"/>
      <c r="E149" s="81" t="str">
        <f>IF(C149="","",IFERROR(VLOOKUP(C149,'ITEM LIST'!B:M,12,0)*D149,0))</f>
        <v/>
      </c>
    </row>
    <row r="150" spans="1:5" ht="14.25">
      <c r="A150" s="131" t="s">
        <v>310</v>
      </c>
      <c r="B150" s="35" t="s">
        <v>621</v>
      </c>
      <c r="C150" s="35" t="s">
        <v>20</v>
      </c>
      <c r="D150" s="30">
        <v>100</v>
      </c>
      <c r="E150" s="81">
        <f>IF(C150="","",IFERROR(VLOOKUP(C150,'ITEM LIST'!B:M,12,0)*D150,0))</f>
        <v>1.9</v>
      </c>
    </row>
    <row r="151" spans="1:5" ht="14.25">
      <c r="A151" s="131" t="s">
        <v>310</v>
      </c>
      <c r="B151" s="35" t="s">
        <v>621</v>
      </c>
      <c r="C151" s="35" t="s">
        <v>18</v>
      </c>
      <c r="D151" s="30">
        <v>2</v>
      </c>
      <c r="E151" s="81">
        <f>IF(C151="","",IFERROR(VLOOKUP(C151,'ITEM LIST'!B:M,12,0)*D151,0))</f>
        <v>0.06</v>
      </c>
    </row>
    <row r="152" spans="1:5" ht="14.25">
      <c r="A152" s="131" t="s">
        <v>310</v>
      </c>
      <c r="B152" s="35" t="s">
        <v>621</v>
      </c>
      <c r="C152" s="35" t="s">
        <v>324</v>
      </c>
      <c r="D152" s="30">
        <v>18</v>
      </c>
      <c r="E152" s="81">
        <f>IF(C152="","",IFERROR(VLOOKUP(C152,'ITEM LIST'!B:M,12,0)*D152,0))</f>
        <v>1.08</v>
      </c>
    </row>
    <row r="153" spans="1:5" ht="14.25">
      <c r="A153" s="131" t="s">
        <v>310</v>
      </c>
      <c r="B153" s="35" t="s">
        <v>621</v>
      </c>
      <c r="C153" s="35" t="s">
        <v>114</v>
      </c>
      <c r="D153" s="30">
        <v>2</v>
      </c>
      <c r="E153" s="81">
        <f>IF(C153="","",IFERROR(VLOOKUP(C153,'ITEM LIST'!B:M,12,0)*D153,0))</f>
        <v>5.6000000000000001E-2</v>
      </c>
    </row>
    <row r="154" spans="1:5" ht="14.25">
      <c r="A154" s="131" t="s">
        <v>310</v>
      </c>
      <c r="B154" s="35" t="s">
        <v>621</v>
      </c>
      <c r="C154" s="35" t="s">
        <v>33</v>
      </c>
      <c r="D154" s="30">
        <v>2</v>
      </c>
      <c r="E154" s="81">
        <f>IF(C154="","",IFERROR(VLOOKUP(C154,'ITEM LIST'!B:M,12,0)*D154,0))</f>
        <v>0.48</v>
      </c>
    </row>
    <row r="155" spans="1:5" ht="14.25">
      <c r="A155" s="131" t="s">
        <v>310</v>
      </c>
      <c r="B155" s="35" t="s">
        <v>621</v>
      </c>
      <c r="C155" s="35" t="s">
        <v>515</v>
      </c>
      <c r="D155" s="30">
        <v>10</v>
      </c>
      <c r="E155" s="81">
        <f>IF(C155="","",IFERROR(VLOOKUP(C155,'ITEM LIST'!B:M,12,0)*D155,0))</f>
        <v>0</v>
      </c>
    </row>
    <row r="156" spans="1:5" ht="14.25">
      <c r="A156" s="131" t="s">
        <v>310</v>
      </c>
      <c r="B156" s="35" t="s">
        <v>621</v>
      </c>
      <c r="C156" s="35" t="s">
        <v>360</v>
      </c>
      <c r="D156" s="30">
        <v>15</v>
      </c>
      <c r="E156" s="81">
        <f>IF(C156="","",IFERROR(VLOOKUP(C156,'ITEM LIST'!B:M,12,0)*D156,0))</f>
        <v>1.0799999999999998</v>
      </c>
    </row>
    <row r="157" spans="1:5" ht="14.25">
      <c r="A157" s="131" t="s">
        <v>310</v>
      </c>
      <c r="B157" s="35" t="s">
        <v>621</v>
      </c>
      <c r="C157" s="35" t="s">
        <v>532</v>
      </c>
      <c r="D157" s="30">
        <v>12</v>
      </c>
      <c r="E157" s="81">
        <f>IF(C157="","",IFERROR(VLOOKUP(C157,'ITEM LIST'!B:M,12,0)*D157,0))</f>
        <v>1.56</v>
      </c>
    </row>
    <row r="158" spans="1:5" ht="14.25">
      <c r="A158" s="131" t="s">
        <v>310</v>
      </c>
      <c r="B158" s="35" t="s">
        <v>621</v>
      </c>
      <c r="C158" s="35" t="s">
        <v>362</v>
      </c>
      <c r="D158" s="30">
        <v>8</v>
      </c>
      <c r="E158" s="81">
        <f>IF(C158="","",IFERROR(VLOOKUP(C158,'ITEM LIST'!B:M,12,0)*D158,0))</f>
        <v>0.36799999999999999</v>
      </c>
    </row>
    <row r="159" spans="1:5" ht="14.25">
      <c r="A159" s="131" t="s">
        <v>310</v>
      </c>
      <c r="B159" s="35" t="s">
        <v>621</v>
      </c>
      <c r="C159" s="35" t="s">
        <v>27</v>
      </c>
      <c r="D159" s="30">
        <v>8</v>
      </c>
      <c r="E159" s="81">
        <f>IF(C159="","",IFERROR(VLOOKUP(C159,'ITEM LIST'!B:M,12,0)*D159,0))</f>
        <v>0.64</v>
      </c>
    </row>
    <row r="160" spans="1:5" ht="14.25">
      <c r="A160" s="131" t="s">
        <v>310</v>
      </c>
      <c r="B160" s="35" t="s">
        <v>621</v>
      </c>
      <c r="C160" s="35" t="s">
        <v>385</v>
      </c>
      <c r="D160" s="30">
        <v>5</v>
      </c>
      <c r="E160" s="81">
        <f>IF(C160="","",IFERROR(VLOOKUP(C160,'ITEM LIST'!B:M,12,0)*D160,0))</f>
        <v>0.3</v>
      </c>
    </row>
    <row r="161" spans="1:5" ht="14.25">
      <c r="A161" s="131" t="s">
        <v>310</v>
      </c>
      <c r="B161" s="35" t="s">
        <v>621</v>
      </c>
      <c r="C161" s="209" t="s">
        <v>670</v>
      </c>
      <c r="D161" s="30">
        <v>9</v>
      </c>
      <c r="E161" s="81">
        <f>IF(C161="","",IFERROR(VLOOKUP(C161,'ITEM LIST'!B:M,12,0)*D161,0))</f>
        <v>1.08</v>
      </c>
    </row>
    <row r="162" spans="1:5" ht="14.25">
      <c r="A162" s="131" t="s">
        <v>310</v>
      </c>
      <c r="B162" s="35" t="s">
        <v>621</v>
      </c>
      <c r="C162" s="35" t="s">
        <v>37</v>
      </c>
      <c r="D162" s="30">
        <v>1</v>
      </c>
      <c r="E162" s="81">
        <f>IF(C162="","",IFERROR(VLOOKUP(C162,'ITEM LIST'!B:M,12,0)*D162,0))</f>
        <v>0.2</v>
      </c>
    </row>
    <row r="163" spans="1:5" ht="14.25">
      <c r="A163" s="131" t="s">
        <v>310</v>
      </c>
      <c r="B163" s="35" t="s">
        <v>621</v>
      </c>
      <c r="C163" s="209" t="s">
        <v>672</v>
      </c>
      <c r="D163" s="30"/>
      <c r="E163" s="81">
        <f>IF(C163="","",IFERROR(VLOOKUP(C163,'ITEM LIST'!B:M,12,0)*D163,0))</f>
        <v>0</v>
      </c>
    </row>
    <row r="164" spans="1:5" ht="14.25">
      <c r="A164" s="131" t="s">
        <v>310</v>
      </c>
      <c r="B164" s="35" t="s">
        <v>621</v>
      </c>
      <c r="C164" s="35" t="s">
        <v>554</v>
      </c>
      <c r="D164" s="31">
        <v>8</v>
      </c>
      <c r="E164" s="81">
        <f>IF(C164="","",IFERROR(VLOOKUP(C164,'ITEM LIST'!B:M,12,0)*D164,0))</f>
        <v>15.800000000000002</v>
      </c>
    </row>
    <row r="165" spans="1:5" ht="14.25">
      <c r="A165" s="131" t="s">
        <v>310</v>
      </c>
      <c r="B165" s="35" t="s">
        <v>371</v>
      </c>
      <c r="C165" s="35" t="s">
        <v>371</v>
      </c>
      <c r="D165" s="31"/>
      <c r="E165" s="81" t="str">
        <f>IF(C165="","",IFERROR(VLOOKUP(C165,'ITEM LIST'!B:M,12,0)*D165,0))</f>
        <v/>
      </c>
    </row>
    <row r="166" spans="1:5" ht="14.25">
      <c r="A166" s="131" t="s">
        <v>310</v>
      </c>
      <c r="B166" s="35" t="s">
        <v>622</v>
      </c>
      <c r="C166" s="35" t="s">
        <v>323</v>
      </c>
      <c r="D166" s="30">
        <v>15</v>
      </c>
      <c r="E166" s="81">
        <f>IF(C166="","",IFERROR(VLOOKUP(C166,'ITEM LIST'!B:M,12,0)*D166,0))</f>
        <v>0.52500000000000002</v>
      </c>
    </row>
    <row r="167" spans="1:5" ht="14.25">
      <c r="A167" s="131" t="s">
        <v>310</v>
      </c>
      <c r="B167" s="35" t="s">
        <v>622</v>
      </c>
      <c r="C167" s="35" t="s">
        <v>114</v>
      </c>
      <c r="D167" s="30">
        <v>5</v>
      </c>
      <c r="E167" s="81">
        <f>IF(C167="","",IFERROR(VLOOKUP(C167,'ITEM LIST'!B:M,12,0)*D167,0))</f>
        <v>0.14000000000000001</v>
      </c>
    </row>
    <row r="168" spans="1:5" ht="14.25">
      <c r="A168" s="131" t="s">
        <v>310</v>
      </c>
      <c r="B168" s="35" t="s">
        <v>622</v>
      </c>
      <c r="C168" s="35" t="s">
        <v>552</v>
      </c>
      <c r="D168" s="30">
        <v>12</v>
      </c>
      <c r="E168" s="81">
        <f>IF(C168="","",IFERROR(VLOOKUP(C168,'ITEM LIST'!B:M,12,0)*D168,0))</f>
        <v>0</v>
      </c>
    </row>
    <row r="169" spans="1:5" ht="14.25">
      <c r="A169" s="131" t="s">
        <v>310</v>
      </c>
      <c r="B169" s="35" t="s">
        <v>622</v>
      </c>
      <c r="C169" s="35" t="s">
        <v>33</v>
      </c>
      <c r="D169" s="30">
        <v>5</v>
      </c>
      <c r="E169" s="81">
        <f>IF(C169="","",IFERROR(VLOOKUP(C169,'ITEM LIST'!B:M,12,0)*D169,0))</f>
        <v>1.2</v>
      </c>
    </row>
    <row r="170" spans="1:5" ht="14.25">
      <c r="A170" s="131" t="s">
        <v>310</v>
      </c>
      <c r="B170" s="35" t="s">
        <v>622</v>
      </c>
      <c r="C170" s="35" t="s">
        <v>532</v>
      </c>
      <c r="D170" s="30">
        <v>20</v>
      </c>
      <c r="E170" s="81">
        <f>IF(C170="","",IFERROR(VLOOKUP(C170,'ITEM LIST'!B:M,12,0)*D170,0))</f>
        <v>2.6</v>
      </c>
    </row>
    <row r="171" spans="1:5" ht="14.25">
      <c r="A171" s="131" t="s">
        <v>310</v>
      </c>
      <c r="B171" s="35" t="s">
        <v>622</v>
      </c>
      <c r="C171" s="35" t="s">
        <v>362</v>
      </c>
      <c r="D171" s="30">
        <v>15</v>
      </c>
      <c r="E171" s="81">
        <f>IF(C171="","",IFERROR(VLOOKUP(C171,'ITEM LIST'!B:M,12,0)*D171,0))</f>
        <v>0.69</v>
      </c>
    </row>
    <row r="172" spans="1:5" ht="14.25">
      <c r="A172" s="131" t="s">
        <v>310</v>
      </c>
      <c r="B172" s="35" t="s">
        <v>622</v>
      </c>
      <c r="C172" s="35" t="s">
        <v>324</v>
      </c>
      <c r="D172" s="30">
        <v>18</v>
      </c>
      <c r="E172" s="81">
        <f>IF(C172="","",IFERROR(VLOOKUP(C172,'ITEM LIST'!B:M,12,0)*D172,0))</f>
        <v>1.08</v>
      </c>
    </row>
    <row r="173" spans="1:5" ht="14.25">
      <c r="A173" s="131" t="s">
        <v>310</v>
      </c>
      <c r="B173" s="35" t="s">
        <v>622</v>
      </c>
      <c r="C173" s="35" t="s">
        <v>20</v>
      </c>
      <c r="D173" s="30">
        <v>38</v>
      </c>
      <c r="E173" s="81">
        <f>IF(C173="","",IFERROR(VLOOKUP(C173,'ITEM LIST'!B:M,12,0)*D173,0))</f>
        <v>0.72199999999999998</v>
      </c>
    </row>
    <row r="174" spans="1:5" ht="14.25">
      <c r="A174" s="131" t="s">
        <v>310</v>
      </c>
      <c r="B174" s="35" t="s">
        <v>622</v>
      </c>
      <c r="C174" s="35" t="s">
        <v>18</v>
      </c>
      <c r="D174" s="30">
        <v>1</v>
      </c>
      <c r="E174" s="81">
        <f>IF(C174="","",IFERROR(VLOOKUP(C174,'ITEM LIST'!B:M,12,0)*D174,0))</f>
        <v>0.03</v>
      </c>
    </row>
    <row r="175" spans="1:5" ht="14.25">
      <c r="A175" s="131" t="s">
        <v>310</v>
      </c>
      <c r="B175" s="35" t="s">
        <v>622</v>
      </c>
      <c r="C175" s="35" t="s">
        <v>27</v>
      </c>
      <c r="D175" s="30">
        <v>8</v>
      </c>
      <c r="E175" s="81">
        <f>IF(C175="","",IFERROR(VLOOKUP(C175,'ITEM LIST'!B:M,12,0)*D175,0))</f>
        <v>0.64</v>
      </c>
    </row>
    <row r="176" spans="1:5" ht="14.25">
      <c r="A176" s="131" t="s">
        <v>310</v>
      </c>
      <c r="B176" s="35" t="s">
        <v>622</v>
      </c>
      <c r="C176" s="35" t="s">
        <v>518</v>
      </c>
      <c r="D176" s="30">
        <v>20</v>
      </c>
      <c r="E176" s="81">
        <f>IF(C176="","",IFERROR(VLOOKUP(C176,'ITEM LIST'!B:M,12,0)*D176,0))</f>
        <v>0.89999999999999991</v>
      </c>
    </row>
    <row r="177" spans="1:5" ht="14.25">
      <c r="A177" s="131" t="s">
        <v>310</v>
      </c>
      <c r="B177" s="35" t="s">
        <v>622</v>
      </c>
      <c r="C177" s="35" t="s">
        <v>37</v>
      </c>
      <c r="D177" s="30">
        <v>1</v>
      </c>
      <c r="E177" s="81">
        <f>IF(C177="","",IFERROR(VLOOKUP(C177,'ITEM LIST'!B:M,12,0)*D177,0))</f>
        <v>0.2</v>
      </c>
    </row>
    <row r="178" spans="1:5" ht="14.25">
      <c r="A178" s="131" t="s">
        <v>310</v>
      </c>
      <c r="B178" s="35" t="s">
        <v>622</v>
      </c>
      <c r="C178" s="209" t="s">
        <v>672</v>
      </c>
      <c r="D178" s="30"/>
      <c r="E178" s="81">
        <f>IF(C178="","",IFERROR(VLOOKUP(C178,'ITEM LIST'!B:M,12,0)*D178,0))</f>
        <v>0</v>
      </c>
    </row>
    <row r="179" spans="1:5" ht="14.25">
      <c r="A179" s="131" t="s">
        <v>310</v>
      </c>
      <c r="B179" s="35" t="s">
        <v>622</v>
      </c>
      <c r="C179" s="35" t="s">
        <v>554</v>
      </c>
      <c r="D179" s="31">
        <v>8</v>
      </c>
      <c r="E179" s="81">
        <f>IF(C179="","",IFERROR(VLOOKUP(C179,'ITEM LIST'!B:M,12,0)*D179,0))</f>
        <v>15.800000000000002</v>
      </c>
    </row>
    <row r="180" spans="1:5" ht="14.25">
      <c r="A180" s="131" t="s">
        <v>310</v>
      </c>
      <c r="B180" s="35" t="s">
        <v>371</v>
      </c>
      <c r="C180" s="35" t="s">
        <v>371</v>
      </c>
      <c r="D180" s="31"/>
      <c r="E180" s="81" t="str">
        <f>IF(C180="","",IFERROR(VLOOKUP(C180,'ITEM LIST'!B:M,12,0)*D180,0))</f>
        <v/>
      </c>
    </row>
    <row r="181" spans="1:5" ht="14.25">
      <c r="A181" s="131" t="s">
        <v>310</v>
      </c>
      <c r="B181" s="35" t="s">
        <v>83</v>
      </c>
      <c r="C181" s="35" t="s">
        <v>532</v>
      </c>
      <c r="D181" s="30">
        <v>7</v>
      </c>
      <c r="E181" s="81">
        <f>IF(C181="","",IFERROR(VLOOKUP(C181,'ITEM LIST'!B:M,12,0)*D181,0))</f>
        <v>0.91</v>
      </c>
    </row>
    <row r="182" spans="1:5" ht="14.25">
      <c r="A182" s="131" t="s">
        <v>310</v>
      </c>
      <c r="B182" s="35" t="s">
        <v>83</v>
      </c>
      <c r="C182" s="35" t="s">
        <v>552</v>
      </c>
      <c r="D182" s="30">
        <v>10</v>
      </c>
      <c r="E182" s="81">
        <f>IF(C182="","",IFERROR(VLOOKUP(C182,'ITEM LIST'!B:M,12,0)*D182,0))</f>
        <v>0</v>
      </c>
    </row>
    <row r="183" spans="1:5" ht="14.25">
      <c r="A183" s="131" t="s">
        <v>310</v>
      </c>
      <c r="B183" s="35" t="s">
        <v>83</v>
      </c>
      <c r="C183" s="35" t="s">
        <v>360</v>
      </c>
      <c r="D183" s="30">
        <v>17</v>
      </c>
      <c r="E183" s="81">
        <f>IF(C183="","",IFERROR(VLOOKUP(C183,'ITEM LIST'!B:M,12,0)*D183,0))</f>
        <v>1.224</v>
      </c>
    </row>
    <row r="184" spans="1:5" ht="14.25">
      <c r="A184" s="131" t="s">
        <v>310</v>
      </c>
      <c r="B184" s="35" t="s">
        <v>83</v>
      </c>
      <c r="C184" s="35" t="s">
        <v>114</v>
      </c>
      <c r="D184" s="30">
        <v>6</v>
      </c>
      <c r="E184" s="81">
        <f>IF(C184="","",IFERROR(VLOOKUP(C184,'ITEM LIST'!B:M,12,0)*D184,0))</f>
        <v>0.16800000000000001</v>
      </c>
    </row>
    <row r="185" spans="1:5" ht="14.25">
      <c r="A185" s="131" t="s">
        <v>310</v>
      </c>
      <c r="B185" s="35" t="s">
        <v>83</v>
      </c>
      <c r="C185" s="35" t="s">
        <v>33</v>
      </c>
      <c r="D185" s="30">
        <v>6</v>
      </c>
      <c r="E185" s="81">
        <f>IF(C185="","",IFERROR(VLOOKUP(C185,'ITEM LIST'!B:M,12,0)*D185,0))</f>
        <v>1.44</v>
      </c>
    </row>
    <row r="186" spans="1:5" ht="14.25">
      <c r="A186" s="131" t="s">
        <v>310</v>
      </c>
      <c r="B186" s="35" t="s">
        <v>83</v>
      </c>
      <c r="C186" s="209" t="s">
        <v>670</v>
      </c>
      <c r="D186" s="30">
        <v>10</v>
      </c>
      <c r="E186" s="81">
        <f>IF(C186="","",IFERROR(VLOOKUP(C186,'ITEM LIST'!B:M,12,0)*D186,0))</f>
        <v>1.2</v>
      </c>
    </row>
    <row r="187" spans="1:5" ht="14.25">
      <c r="A187" s="131" t="s">
        <v>310</v>
      </c>
      <c r="B187" s="35" t="s">
        <v>83</v>
      </c>
      <c r="C187" s="35" t="s">
        <v>362</v>
      </c>
      <c r="D187" s="30">
        <v>4</v>
      </c>
      <c r="E187" s="81">
        <f>IF(C187="","",IFERROR(VLOOKUP(C187,'ITEM LIST'!B:M,12,0)*D187,0))</f>
        <v>0.184</v>
      </c>
    </row>
    <row r="188" spans="1:5" ht="14.25">
      <c r="A188" s="131" t="s">
        <v>310</v>
      </c>
      <c r="B188" s="35" t="s">
        <v>83</v>
      </c>
      <c r="C188" s="35" t="s">
        <v>32</v>
      </c>
      <c r="D188" s="30">
        <v>18</v>
      </c>
      <c r="E188" s="81">
        <f>IF(C188="","",IFERROR(VLOOKUP(C188,'ITEM LIST'!B:M,12,0)*D188,0))</f>
        <v>0.63000000000000012</v>
      </c>
    </row>
    <row r="189" spans="1:5" ht="14.25">
      <c r="A189" s="131" t="s">
        <v>310</v>
      </c>
      <c r="B189" s="35" t="s">
        <v>83</v>
      </c>
      <c r="C189" s="35" t="s">
        <v>34</v>
      </c>
      <c r="D189" s="30">
        <v>18</v>
      </c>
      <c r="E189" s="81">
        <f>IF(C189="","",IFERROR(VLOOKUP(C189,'ITEM LIST'!B:M,12,0)*D189,0))</f>
        <v>1.6199999999999999</v>
      </c>
    </row>
    <row r="190" spans="1:5" ht="14.25">
      <c r="A190" s="131" t="s">
        <v>310</v>
      </c>
      <c r="B190" s="35" t="s">
        <v>83</v>
      </c>
      <c r="C190" s="35" t="s">
        <v>35</v>
      </c>
      <c r="D190" s="30">
        <v>18</v>
      </c>
      <c r="E190" s="81">
        <f>IF(C190="","",IFERROR(VLOOKUP(C190,'ITEM LIST'!B:M,12,0)*D190,0))</f>
        <v>0.57600000000000007</v>
      </c>
    </row>
    <row r="191" spans="1:5" ht="14.25">
      <c r="A191" s="131" t="s">
        <v>310</v>
      </c>
      <c r="B191" s="35" t="s">
        <v>83</v>
      </c>
      <c r="C191" s="35" t="s">
        <v>324</v>
      </c>
      <c r="D191" s="30">
        <v>10</v>
      </c>
      <c r="E191" s="81">
        <f>IF(C191="","",IFERROR(VLOOKUP(C191,'ITEM LIST'!B:M,12,0)*D191,0))</f>
        <v>0.6</v>
      </c>
    </row>
    <row r="192" spans="1:5" ht="14.25">
      <c r="A192" s="131" t="s">
        <v>310</v>
      </c>
      <c r="B192" s="35" t="s">
        <v>83</v>
      </c>
      <c r="C192" s="35" t="s">
        <v>389</v>
      </c>
      <c r="D192" s="31">
        <v>140</v>
      </c>
      <c r="E192" s="81">
        <f>IF(C192="","",IFERROR(VLOOKUP(C192,'ITEM LIST'!B:M,12,0)*D192,0))</f>
        <v>5.6000000000000005</v>
      </c>
    </row>
    <row r="193" spans="1:5" ht="14.25">
      <c r="A193" s="131" t="s">
        <v>310</v>
      </c>
      <c r="B193" s="52" t="s">
        <v>83</v>
      </c>
      <c r="C193" s="52" t="s">
        <v>27</v>
      </c>
      <c r="D193" s="53">
        <v>10</v>
      </c>
      <c r="E193" s="85">
        <f>IF(C193="","",IFERROR(VLOOKUP(C193,'ITEM LIST'!B:M,12,0)*D193,0))</f>
        <v>0.8</v>
      </c>
    </row>
  </sheetData>
  <sheetProtection insertRows="0" selectLockedCells="1" sort="0" autoFilter="0"/>
  <mergeCells count="1">
    <mergeCell ref="A1:E1"/>
  </mergeCells>
  <dataValidations count="1">
    <dataValidation type="list" allowBlank="1" showErrorMessage="1" sqref="A3:A193" xr:uid="{00000000-0002-0000-0A00-000001000000}">
      <formula1>"Chaat,Chinese,Breads,Drinks &amp; Beverage,Grill Special,Kulfi,North Indian,South Indian,Specials,Sweets,Namkeen"</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xr:uid="{00000000-0002-0000-0A00-000000000000}">
          <x14:formula1>
            <xm:f>'ITEM LIST'!$B$2:$B$479</xm:f>
          </x14:formula1>
          <xm:sqref>C3:C119 C181:C193 C134:C147 C150:C164 C121:C132 C166:C178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rgb="FFFE829A"/>
    <outlinePr summaryBelow="0" summaryRight="0"/>
  </sheetPr>
  <dimension ref="A1:E51"/>
  <sheetViews>
    <sheetView workbookViewId="0">
      <selection activeCell="B7" sqref="B7"/>
    </sheetView>
  </sheetViews>
  <sheetFormatPr defaultColWidth="12.5703125" defaultRowHeight="15.75" customHeight="1"/>
  <cols>
    <col min="1" max="2" width="16.140625" customWidth="1"/>
    <col min="3" max="3" width="17.85546875" customWidth="1"/>
    <col min="4" max="4" width="15.140625" customWidth="1"/>
    <col min="5" max="5" width="14.5703125" customWidth="1"/>
  </cols>
  <sheetData>
    <row r="1" spans="1:5" ht="20.25">
      <c r="A1" s="274" t="s">
        <v>311</v>
      </c>
      <c r="B1" s="269"/>
      <c r="C1" s="269"/>
      <c r="D1" s="269"/>
      <c r="E1" s="270"/>
    </row>
    <row r="2" spans="1:5" ht="15.75" customHeight="1">
      <c r="A2" s="88" t="s">
        <v>125</v>
      </c>
      <c r="B2" s="89" t="s">
        <v>126</v>
      </c>
      <c r="C2" s="89" t="s">
        <v>8</v>
      </c>
      <c r="D2" s="89" t="s">
        <v>303</v>
      </c>
      <c r="E2" s="90" t="s">
        <v>128</v>
      </c>
    </row>
    <row r="3" spans="1:5" ht="15.75" customHeight="1">
      <c r="A3" s="86" t="s">
        <v>93</v>
      </c>
      <c r="B3" s="26" t="s">
        <v>614</v>
      </c>
      <c r="C3" s="26" t="s">
        <v>56</v>
      </c>
      <c r="D3" s="31">
        <v>230</v>
      </c>
      <c r="E3" s="87">
        <f>IF(C3="","",IFERROR(VLOOKUP(C3,'ITEM LIST'!B:M,12,0)*D3,0))</f>
        <v>8.4563180000000013</v>
      </c>
    </row>
    <row r="4" spans="1:5" ht="15.75" customHeight="1">
      <c r="A4" s="86" t="s">
        <v>93</v>
      </c>
      <c r="B4" s="26" t="s">
        <v>614</v>
      </c>
      <c r="C4" s="26" t="s">
        <v>10</v>
      </c>
      <c r="D4" s="31">
        <v>18</v>
      </c>
      <c r="E4" s="87">
        <f>IF(C4="","",IFERROR(VLOOKUP(C4,'ITEM LIST'!B:M,12,0)*D4,0))</f>
        <v>0.32399999999999995</v>
      </c>
    </row>
    <row r="5" spans="1:5" ht="15.75" customHeight="1">
      <c r="A5" s="86" t="s">
        <v>93</v>
      </c>
      <c r="B5" s="26" t="s">
        <v>614</v>
      </c>
      <c r="C5" s="26" t="s">
        <v>20</v>
      </c>
      <c r="D5" s="31">
        <v>30</v>
      </c>
      <c r="E5" s="87">
        <f>IF(C5="","",IFERROR(VLOOKUP(C5,'ITEM LIST'!B:M,12,0)*D5,0))</f>
        <v>0.56999999999999995</v>
      </c>
    </row>
    <row r="6" spans="1:5" ht="15.75" customHeight="1">
      <c r="A6" s="86" t="s">
        <v>93</v>
      </c>
      <c r="B6" s="26" t="s">
        <v>614</v>
      </c>
      <c r="C6" s="26" t="s">
        <v>6</v>
      </c>
      <c r="D6" s="31">
        <v>20</v>
      </c>
      <c r="E6" s="87">
        <f>IF(C6="","",IFERROR(VLOOKUP(C6,'ITEM LIST'!B:M,12,0)*D6,0))</f>
        <v>0</v>
      </c>
    </row>
    <row r="7" spans="1:5" ht="15.75" customHeight="1">
      <c r="A7" s="86" t="s">
        <v>93</v>
      </c>
      <c r="B7" s="26" t="s">
        <v>614</v>
      </c>
      <c r="C7" s="199" t="s">
        <v>41</v>
      </c>
      <c r="D7" s="31">
        <v>2</v>
      </c>
      <c r="E7" s="87">
        <f>IF(C7="","",IFERROR(VLOOKUP(C7,'ITEM LIST'!B:M,12,0)*D7,0))</f>
        <v>20.994415</v>
      </c>
    </row>
    <row r="8" spans="1:5" ht="15.75" customHeight="1">
      <c r="A8" s="86" t="s">
        <v>93</v>
      </c>
      <c r="B8" s="26" t="s">
        <v>371</v>
      </c>
      <c r="C8" s="26" t="s">
        <v>371</v>
      </c>
      <c r="D8" s="31"/>
      <c r="E8" s="87" t="str">
        <f>IF(C8="","",IFERROR(VLOOKUP(C8,'ITEM LIST'!B:M,12,0)*D8,0))</f>
        <v/>
      </c>
    </row>
    <row r="9" spans="1:5" ht="15.75" customHeight="1">
      <c r="A9" s="86" t="s">
        <v>93</v>
      </c>
      <c r="B9" s="26" t="s">
        <v>615</v>
      </c>
      <c r="C9" s="26" t="s">
        <v>56</v>
      </c>
      <c r="D9" s="31">
        <v>230</v>
      </c>
      <c r="E9" s="87">
        <f>IF(C9="","",IFERROR(VLOOKUP(C9,'ITEM LIST'!B:M,12,0)*D9,0))</f>
        <v>8.4563180000000013</v>
      </c>
    </row>
    <row r="10" spans="1:5" ht="15.75" customHeight="1">
      <c r="A10" s="86" t="s">
        <v>93</v>
      </c>
      <c r="B10" s="26" t="s">
        <v>615</v>
      </c>
      <c r="C10" s="26" t="s">
        <v>10</v>
      </c>
      <c r="D10" s="31">
        <v>18</v>
      </c>
      <c r="E10" s="87">
        <f>IF(C10="","",IFERROR(VLOOKUP(C10,'ITEM LIST'!B:M,12,0)*D10,0))</f>
        <v>0.32399999999999995</v>
      </c>
    </row>
    <row r="11" spans="1:5" ht="15.75" customHeight="1">
      <c r="A11" s="86" t="s">
        <v>93</v>
      </c>
      <c r="B11" s="26" t="s">
        <v>615</v>
      </c>
      <c r="C11" s="26" t="s">
        <v>20</v>
      </c>
      <c r="D11" s="31">
        <v>30</v>
      </c>
      <c r="E11" s="87">
        <f>IF(C11="","",IFERROR(VLOOKUP(C11,'ITEM LIST'!B:M,12,0)*D11,0))</f>
        <v>0.56999999999999995</v>
      </c>
    </row>
    <row r="12" spans="1:5" ht="15.75" customHeight="1">
      <c r="A12" s="86" t="s">
        <v>93</v>
      </c>
      <c r="B12" s="26" t="s">
        <v>615</v>
      </c>
      <c r="C12" s="26" t="s">
        <v>6</v>
      </c>
      <c r="D12" s="31">
        <v>20</v>
      </c>
      <c r="E12" s="87">
        <f>IF(C12="","",IFERROR(VLOOKUP(C12,'ITEM LIST'!B:M,12,0)*D12,0))</f>
        <v>0</v>
      </c>
    </row>
    <row r="13" spans="1:5" ht="15.75" customHeight="1">
      <c r="A13" s="86" t="s">
        <v>93</v>
      </c>
      <c r="B13" s="26" t="s">
        <v>615</v>
      </c>
      <c r="C13" s="26" t="s">
        <v>5</v>
      </c>
      <c r="D13" s="31">
        <v>2</v>
      </c>
      <c r="E13" s="87">
        <f>IF(C13="","",IFERROR(VLOOKUP(C13,'ITEM LIST'!B:M,12,0)*D13,0))</f>
        <v>70</v>
      </c>
    </row>
    <row r="14" spans="1:5" ht="15.75" customHeight="1">
      <c r="A14" s="86" t="s">
        <v>93</v>
      </c>
      <c r="B14" s="26" t="s">
        <v>371</v>
      </c>
      <c r="C14" s="26" t="s">
        <v>371</v>
      </c>
      <c r="D14" s="31"/>
      <c r="E14" s="87" t="str">
        <f>IF(C14="","",IFERROR(VLOOKUP(C14,'ITEM LIST'!B:M,12,0)*D14,0))</f>
        <v/>
      </c>
    </row>
    <row r="15" spans="1:5" ht="15.75" customHeight="1">
      <c r="A15" s="86" t="s">
        <v>93</v>
      </c>
      <c r="B15" s="26" t="s">
        <v>42</v>
      </c>
      <c r="C15" s="26" t="s">
        <v>42</v>
      </c>
      <c r="D15" s="31">
        <v>2</v>
      </c>
      <c r="E15" s="87">
        <f>IF(C15="","",IFERROR(VLOOKUP(C15,'ITEM LIST'!B:M,12,0)*D15,0))</f>
        <v>22.843041000000007</v>
      </c>
    </row>
    <row r="16" spans="1:5" ht="15.75" customHeight="1">
      <c r="A16" s="86" t="s">
        <v>93</v>
      </c>
      <c r="B16" s="26" t="s">
        <v>42</v>
      </c>
      <c r="C16" s="26" t="s">
        <v>120</v>
      </c>
      <c r="D16" s="31">
        <v>86</v>
      </c>
      <c r="E16" s="87">
        <f>IF(C16="","",IFERROR(VLOOKUP(C16,'ITEM LIST'!B:M,12,0)*D16,0))</f>
        <v>2.3222465066284488</v>
      </c>
    </row>
    <row r="17" spans="1:5" ht="15.75" customHeight="1">
      <c r="A17" s="86" t="s">
        <v>93</v>
      </c>
      <c r="B17" s="26" t="s">
        <v>42</v>
      </c>
      <c r="C17" s="26" t="s">
        <v>43</v>
      </c>
      <c r="D17" s="31">
        <v>30</v>
      </c>
      <c r="E17" s="87">
        <f>IF(C17="","",IFERROR(VLOOKUP(C17,'ITEM LIST'!B:M,12,0)*D17,0))</f>
        <v>3.9057749999999998</v>
      </c>
    </row>
    <row r="18" spans="1:5" ht="15.75" customHeight="1">
      <c r="A18" s="86" t="s">
        <v>93</v>
      </c>
      <c r="B18" s="26" t="s">
        <v>42</v>
      </c>
      <c r="C18" s="26" t="s">
        <v>44</v>
      </c>
      <c r="D18" s="31">
        <v>30</v>
      </c>
      <c r="E18" s="87">
        <f>IF(C18="","",IFERROR(VLOOKUP(C18,'ITEM LIST'!B:M,12,0)*D18,0))</f>
        <v>0.75</v>
      </c>
    </row>
    <row r="19" spans="1:5" ht="15.75" customHeight="1">
      <c r="A19" s="86" t="s">
        <v>93</v>
      </c>
      <c r="B19" s="26" t="s">
        <v>371</v>
      </c>
      <c r="C19" s="26" t="s">
        <v>371</v>
      </c>
      <c r="D19" s="31"/>
      <c r="E19" s="87" t="str">
        <f>IF(C19="","",IFERROR(VLOOKUP(C19,'ITEM LIST'!B:M,12,0)*D19,0))</f>
        <v/>
      </c>
    </row>
    <row r="20" spans="1:5" ht="15.75" customHeight="1">
      <c r="A20" s="86" t="s">
        <v>93</v>
      </c>
      <c r="B20" s="26" t="s">
        <v>94</v>
      </c>
      <c r="C20" s="159" t="s">
        <v>45</v>
      </c>
      <c r="D20" s="31">
        <v>2</v>
      </c>
      <c r="E20" s="87">
        <f>IF(C20="","",IFERROR(VLOOKUP(C20,'ITEM LIST'!B:M,12,0)*D20,0))</f>
        <v>35.200000000000003</v>
      </c>
    </row>
    <row r="21" spans="1:5" ht="14.25">
      <c r="A21" s="86" t="s">
        <v>93</v>
      </c>
      <c r="B21" s="26" t="s">
        <v>94</v>
      </c>
      <c r="C21" s="26" t="s">
        <v>120</v>
      </c>
      <c r="D21" s="31">
        <v>86</v>
      </c>
      <c r="E21" s="87">
        <f>IF(C21="","",IFERROR(VLOOKUP(C21,'ITEM LIST'!B:M,12,0)*D21,0))</f>
        <v>2.3222465066284488</v>
      </c>
    </row>
    <row r="22" spans="1:5" ht="14.25">
      <c r="A22" s="86" t="s">
        <v>93</v>
      </c>
      <c r="B22" s="26" t="s">
        <v>94</v>
      </c>
      <c r="C22" s="26" t="s">
        <v>43</v>
      </c>
      <c r="D22" s="31">
        <v>30</v>
      </c>
      <c r="E22" s="87">
        <f>IF(C22="","",IFERROR(VLOOKUP(C22,'ITEM LIST'!B:M,12,0)*D22,0))</f>
        <v>3.9057749999999998</v>
      </c>
    </row>
    <row r="23" spans="1:5" ht="14.25">
      <c r="A23" s="86" t="s">
        <v>93</v>
      </c>
      <c r="B23" s="26" t="s">
        <v>94</v>
      </c>
      <c r="C23" s="26" t="s">
        <v>44</v>
      </c>
      <c r="D23" s="31">
        <v>30</v>
      </c>
      <c r="E23" s="87">
        <f>IF(C23="","",IFERROR(VLOOKUP(C23,'ITEM LIST'!B:M,12,0)*D23,0))</f>
        <v>0.75</v>
      </c>
    </row>
    <row r="24" spans="1:5" ht="14.25">
      <c r="A24" s="86" t="s">
        <v>93</v>
      </c>
      <c r="B24" s="26" t="s">
        <v>371</v>
      </c>
      <c r="C24" s="26" t="s">
        <v>371</v>
      </c>
      <c r="D24" s="31"/>
      <c r="E24" s="87" t="str">
        <f>IF(C24="","",IFERROR(VLOOKUP(C24,'ITEM LIST'!B:M,12,0)*D24,0))</f>
        <v/>
      </c>
    </row>
    <row r="25" spans="1:5" ht="14.25">
      <c r="A25" s="86" t="s">
        <v>93</v>
      </c>
      <c r="B25" s="26" t="s">
        <v>616</v>
      </c>
      <c r="C25" s="26" t="s">
        <v>10</v>
      </c>
      <c r="D25" s="31">
        <v>18</v>
      </c>
      <c r="E25" s="87">
        <f>IF(C25="","",IFERROR(VLOOKUP(C25,'ITEM LIST'!B:M,12,0)*D25,0))</f>
        <v>0.32399999999999995</v>
      </c>
    </row>
    <row r="26" spans="1:5" ht="14.25">
      <c r="A26" s="86" t="s">
        <v>93</v>
      </c>
      <c r="B26" s="26" t="s">
        <v>616</v>
      </c>
      <c r="C26" s="26" t="s">
        <v>6</v>
      </c>
      <c r="D26" s="31">
        <v>20</v>
      </c>
      <c r="E26" s="87">
        <f>IF(C26="","",IFERROR(VLOOKUP(C26,'ITEM LIST'!B:M,12,0)*D26,0))</f>
        <v>0</v>
      </c>
    </row>
    <row r="27" spans="1:5" ht="14.25">
      <c r="A27" s="86" t="s">
        <v>93</v>
      </c>
      <c r="B27" s="26" t="s">
        <v>616</v>
      </c>
      <c r="C27" s="26" t="s">
        <v>56</v>
      </c>
      <c r="D27" s="31">
        <v>230</v>
      </c>
      <c r="E27" s="87">
        <f>IF(C27="","",IFERROR(VLOOKUP(C27,'ITEM LIST'!B:M,12,0)*D27,0))</f>
        <v>8.4563180000000013</v>
      </c>
    </row>
    <row r="28" spans="1:5" ht="14.25">
      <c r="A28" s="86" t="s">
        <v>93</v>
      </c>
      <c r="B28" s="26" t="s">
        <v>371</v>
      </c>
      <c r="C28" s="26" t="s">
        <v>371</v>
      </c>
      <c r="D28" s="31"/>
      <c r="E28" s="87" t="str">
        <f>IF(C28="","",IFERROR(VLOOKUP(C28,'ITEM LIST'!B:M,12,0)*D28,0))</f>
        <v/>
      </c>
    </row>
    <row r="29" spans="1:5" ht="14.25">
      <c r="A29" s="86" t="s">
        <v>93</v>
      </c>
      <c r="B29" s="26" t="s">
        <v>123</v>
      </c>
      <c r="C29" s="26" t="s">
        <v>46</v>
      </c>
      <c r="D29" s="31">
        <v>2</v>
      </c>
      <c r="E29" s="87">
        <f>IF(C29="","",IFERROR(VLOOKUP(C29,'ITEM LIST'!B:M,12,0)*D29,0))</f>
        <v>36.010331034482761</v>
      </c>
    </row>
    <row r="30" spans="1:5" ht="14.25">
      <c r="A30" s="86" t="s">
        <v>93</v>
      </c>
      <c r="B30" s="26" t="s">
        <v>123</v>
      </c>
      <c r="C30" s="26" t="s">
        <v>47</v>
      </c>
      <c r="D30" s="31">
        <v>190</v>
      </c>
      <c r="E30" s="87">
        <f>IF(C30="","",IFERROR(VLOOKUP(C30,'ITEM LIST'!B:M,12,0)*D30,0))</f>
        <v>11.923505882352941</v>
      </c>
    </row>
    <row r="31" spans="1:5" ht="14.25">
      <c r="A31" s="86" t="s">
        <v>93</v>
      </c>
      <c r="B31" s="26" t="s">
        <v>371</v>
      </c>
      <c r="C31" s="26" t="s">
        <v>371</v>
      </c>
      <c r="D31" s="31"/>
      <c r="E31" s="87" t="str">
        <f>IF(C31="","",IFERROR(VLOOKUP(C31,'ITEM LIST'!B:M,12,0)*D31,0))</f>
        <v/>
      </c>
    </row>
    <row r="32" spans="1:5" ht="14.25">
      <c r="A32" s="86" t="s">
        <v>93</v>
      </c>
      <c r="B32" s="26" t="s">
        <v>95</v>
      </c>
      <c r="C32" s="26" t="s">
        <v>295</v>
      </c>
      <c r="D32" s="31">
        <v>230</v>
      </c>
      <c r="E32" s="87">
        <f>IF(C32="","",IFERROR(VLOOKUP(C32,'ITEM LIST'!B:M,12,0)*D32,0))</f>
        <v>28.3563136</v>
      </c>
    </row>
    <row r="33" spans="1:5" ht="14.25">
      <c r="A33" s="86" t="s">
        <v>93</v>
      </c>
      <c r="B33" s="26" t="s">
        <v>95</v>
      </c>
      <c r="C33" s="26" t="s">
        <v>20</v>
      </c>
      <c r="D33" s="31">
        <v>30</v>
      </c>
      <c r="E33" s="87">
        <f>IF(C33="","",IFERROR(VLOOKUP(C33,'ITEM LIST'!B:M,12,0)*D33,0))</f>
        <v>0.56999999999999995</v>
      </c>
    </row>
    <row r="34" spans="1:5" ht="14.25">
      <c r="A34" s="86" t="s">
        <v>93</v>
      </c>
      <c r="B34" s="26" t="s">
        <v>95</v>
      </c>
      <c r="C34" s="26" t="s">
        <v>6</v>
      </c>
      <c r="D34" s="31">
        <v>20</v>
      </c>
      <c r="E34" s="87">
        <f>IF(C34="","",IFERROR(VLOOKUP(C34,'ITEM LIST'!B:M,12,0)*D34,0))</f>
        <v>0</v>
      </c>
    </row>
    <row r="35" spans="1:5" ht="14.25">
      <c r="A35" s="86" t="s">
        <v>93</v>
      </c>
      <c r="B35" s="26" t="s">
        <v>95</v>
      </c>
      <c r="C35" s="26" t="s">
        <v>48</v>
      </c>
      <c r="D35" s="31">
        <v>2</v>
      </c>
      <c r="E35" s="87">
        <f>IF(C35="","",IFERROR(VLOOKUP(C35,'ITEM LIST'!B:M,12,0)*D35,0))</f>
        <v>4.5743076923076931</v>
      </c>
    </row>
    <row r="36" spans="1:5" ht="14.25">
      <c r="A36" s="86" t="s">
        <v>93</v>
      </c>
      <c r="B36" s="26" t="s">
        <v>371</v>
      </c>
      <c r="C36" s="26" t="s">
        <v>371</v>
      </c>
      <c r="D36" s="31"/>
      <c r="E36" s="87" t="str">
        <f>IF(C36="","",IFERROR(VLOOKUP(C36,'ITEM LIST'!B:M,12,0)*D36,0))</f>
        <v/>
      </c>
    </row>
    <row r="37" spans="1:5" ht="14.25">
      <c r="A37" s="86" t="s">
        <v>93</v>
      </c>
      <c r="B37" s="26" t="s">
        <v>617</v>
      </c>
      <c r="C37" s="26" t="s">
        <v>10</v>
      </c>
      <c r="D37" s="31">
        <v>40</v>
      </c>
      <c r="E37" s="87">
        <f>IF(C37="","",IFERROR(VLOOKUP(C37,'ITEM LIST'!B:M,12,0)*D37,0))</f>
        <v>0.72</v>
      </c>
    </row>
    <row r="38" spans="1:5" ht="14.25">
      <c r="A38" s="86" t="s">
        <v>93</v>
      </c>
      <c r="B38" s="26" t="s">
        <v>617</v>
      </c>
      <c r="C38" s="26" t="s">
        <v>391</v>
      </c>
      <c r="D38" s="31">
        <v>400</v>
      </c>
      <c r="E38" s="87">
        <f>IF(C38="","",IFERROR(VLOOKUP(C38,'ITEM LIST'!B:M,12,0)*D38,0))</f>
        <v>40</v>
      </c>
    </row>
    <row r="39" spans="1:5" ht="14.25">
      <c r="A39" s="86" t="s">
        <v>93</v>
      </c>
      <c r="B39" s="26" t="s">
        <v>617</v>
      </c>
      <c r="C39" s="26" t="s">
        <v>548</v>
      </c>
      <c r="D39" s="31">
        <v>400</v>
      </c>
      <c r="E39" s="87">
        <f>IF(C39="","",IFERROR(VLOOKUP(C39,'ITEM LIST'!B:M,12,0)*D39,0))</f>
        <v>14.544473185185188</v>
      </c>
    </row>
    <row r="40" spans="1:5" ht="14.25">
      <c r="A40" s="86" t="s">
        <v>93</v>
      </c>
      <c r="B40" s="26" t="s">
        <v>617</v>
      </c>
      <c r="C40" s="26" t="s">
        <v>114</v>
      </c>
      <c r="D40" s="31">
        <v>6</v>
      </c>
      <c r="E40" s="87">
        <f>IF(C40="","",IFERROR(VLOOKUP(C40,'ITEM LIST'!B:M,12,0)*D40,0))</f>
        <v>0.16800000000000001</v>
      </c>
    </row>
    <row r="41" spans="1:5" ht="14.25">
      <c r="A41" s="86" t="s">
        <v>93</v>
      </c>
      <c r="B41" s="26" t="s">
        <v>617</v>
      </c>
      <c r="C41" s="26" t="s">
        <v>49</v>
      </c>
      <c r="D41" s="31">
        <v>1.2</v>
      </c>
      <c r="E41" s="87">
        <f>IF(C41="","",IFERROR(VLOOKUP(C41,'ITEM LIST'!B:M,12,0)*D41,0))</f>
        <v>0.89999999999999991</v>
      </c>
    </row>
    <row r="42" spans="1:5" ht="14.25">
      <c r="A42" s="86" t="s">
        <v>93</v>
      </c>
      <c r="B42" s="26" t="s">
        <v>617</v>
      </c>
      <c r="C42" s="26" t="s">
        <v>336</v>
      </c>
      <c r="D42" s="31">
        <v>1.8</v>
      </c>
      <c r="E42" s="87">
        <f>IF(C42="","",IFERROR(VLOOKUP(C42,'ITEM LIST'!B:M,12,0)*D42,0))</f>
        <v>0.47880000000000006</v>
      </c>
    </row>
    <row r="43" spans="1:5" ht="14.25">
      <c r="A43" s="86" t="s">
        <v>93</v>
      </c>
      <c r="B43" s="26" t="s">
        <v>617</v>
      </c>
      <c r="C43" s="26" t="s">
        <v>544</v>
      </c>
      <c r="D43" s="31">
        <v>30</v>
      </c>
      <c r="E43" s="87">
        <f>IF(C43="","",IFERROR(VLOOKUP(C43,'ITEM LIST'!B:M,12,0)*D43,0))</f>
        <v>0</v>
      </c>
    </row>
    <row r="44" spans="1:5" ht="14.25">
      <c r="A44" s="86" t="s">
        <v>93</v>
      </c>
      <c r="B44" s="26" t="s">
        <v>617</v>
      </c>
      <c r="C44" s="26" t="s">
        <v>50</v>
      </c>
      <c r="D44" s="31">
        <v>3.6</v>
      </c>
      <c r="E44" s="87">
        <f>IF(C44="","",IFERROR(VLOOKUP(C44,'ITEM LIST'!B:M,12,0)*D44,0))</f>
        <v>0.432</v>
      </c>
    </row>
    <row r="45" spans="1:5" ht="14.25">
      <c r="A45" s="86" t="s">
        <v>93</v>
      </c>
      <c r="B45" s="26" t="s">
        <v>617</v>
      </c>
      <c r="C45" s="26" t="s">
        <v>347</v>
      </c>
      <c r="D45" s="31">
        <v>10</v>
      </c>
      <c r="E45" s="87">
        <f>IF(C45="","",IFERROR(VLOOKUP(C45,'ITEM LIST'!B:M,12,0)*D45,0))</f>
        <v>6.8000000000000007</v>
      </c>
    </row>
    <row r="46" spans="1:5" ht="14.25">
      <c r="A46" s="86" t="s">
        <v>93</v>
      </c>
      <c r="B46" s="26" t="s">
        <v>617</v>
      </c>
      <c r="C46" s="26" t="s">
        <v>340</v>
      </c>
      <c r="D46" s="31">
        <v>2.4</v>
      </c>
      <c r="E46" s="87">
        <f>IF(C46="","",IFERROR(VLOOKUP(C46,'ITEM LIST'!B:M,12,0)*D46,0))</f>
        <v>12</v>
      </c>
    </row>
    <row r="47" spans="1:5" ht="14.25">
      <c r="A47" s="86" t="s">
        <v>93</v>
      </c>
      <c r="B47" s="26" t="s">
        <v>617</v>
      </c>
      <c r="C47" s="26" t="s">
        <v>380</v>
      </c>
      <c r="D47" s="31">
        <v>1.2</v>
      </c>
      <c r="E47" s="87">
        <f>IF(C47="","",IFERROR(VLOOKUP(C47,'ITEM LIST'!B:M,12,0)*D47,0))</f>
        <v>0.63999600000000012</v>
      </c>
    </row>
    <row r="48" spans="1:5" ht="14.25">
      <c r="A48" s="91" t="s">
        <v>93</v>
      </c>
      <c r="B48" s="48" t="s">
        <v>617</v>
      </c>
      <c r="C48" s="48" t="s">
        <v>380</v>
      </c>
      <c r="D48" s="51">
        <v>104</v>
      </c>
      <c r="E48" s="92">
        <f>IF(C48="","",IFERROR(VLOOKUP(C48,'ITEM LIST'!B:M,12,0)*D48,0))</f>
        <v>55.46632000000001</v>
      </c>
    </row>
    <row r="49" spans="1:5" ht="15">
      <c r="A49" s="1"/>
      <c r="B49" s="2"/>
      <c r="C49" s="2"/>
      <c r="D49" s="7"/>
      <c r="E49" s="6"/>
    </row>
    <row r="50" spans="1:5" ht="15">
      <c r="A50" s="1"/>
      <c r="B50" s="2"/>
      <c r="C50" s="2"/>
      <c r="D50" s="7"/>
      <c r="E50" s="6"/>
    </row>
    <row r="51" spans="1:5" ht="15">
      <c r="A51" s="1"/>
      <c r="B51" s="2"/>
      <c r="C51" s="2"/>
      <c r="D51" s="7"/>
      <c r="E51" s="6"/>
    </row>
  </sheetData>
  <sheetProtection insertRows="0" selectLockedCells="1" autoFilter="0" pivotTables="0"/>
  <mergeCells count="1">
    <mergeCell ref="A1:E1"/>
  </mergeCells>
  <dataValidations count="1">
    <dataValidation type="list" allowBlank="1" showErrorMessage="1" sqref="A3:A48" xr:uid="{00000000-0002-0000-0B00-000001000000}">
      <formula1>"Chaat,Chinese,Breads,Drinks &amp; Beverage,Grill Special,Kulfi,North Indian,South Indian,Specials,Sweets,Namkeen"</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ErrorMessage="1" xr:uid="{00000000-0002-0000-0B00-000000000000}">
          <x14:formula1>
            <xm:f>'ITEM LIST'!$B:$B</xm:f>
          </x14:formula1>
          <xm:sqref>C10:C26 C28:C31 C33:C48 C4:C8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rgb="FF00B0F0"/>
    <outlinePr summaryBelow="0" summaryRight="0"/>
  </sheetPr>
  <dimension ref="A1:E87"/>
  <sheetViews>
    <sheetView workbookViewId="0">
      <selection activeCell="E6" sqref="A1:XFD1048576"/>
    </sheetView>
  </sheetViews>
  <sheetFormatPr defaultColWidth="12.5703125" defaultRowHeight="15.75" customHeight="1"/>
  <cols>
    <col min="1" max="1" width="26.42578125" customWidth="1"/>
    <col min="2" max="2" width="19.5703125" customWidth="1"/>
    <col min="3" max="3" width="17.28515625" customWidth="1"/>
    <col min="4" max="4" width="15" customWidth="1"/>
  </cols>
  <sheetData>
    <row r="1" spans="1:5" ht="23.25">
      <c r="A1" s="275" t="s">
        <v>572</v>
      </c>
      <c r="B1" s="265"/>
      <c r="C1" s="265"/>
      <c r="D1" s="265"/>
      <c r="E1" s="265"/>
    </row>
    <row r="2" spans="1:5" ht="15.75" customHeight="1">
      <c r="A2" s="82" t="s">
        <v>125</v>
      </c>
      <c r="B2" s="83" t="s">
        <v>126</v>
      </c>
      <c r="C2" s="83" t="s">
        <v>302</v>
      </c>
      <c r="D2" s="83" t="s">
        <v>303</v>
      </c>
      <c r="E2" s="84" t="s">
        <v>128</v>
      </c>
    </row>
    <row r="3" spans="1:5" ht="15.75" customHeight="1">
      <c r="A3" s="80" t="s">
        <v>572</v>
      </c>
      <c r="B3" s="36" t="s">
        <v>312</v>
      </c>
      <c r="C3" s="36" t="s">
        <v>279</v>
      </c>
      <c r="D3" s="28">
        <v>40</v>
      </c>
      <c r="E3" s="81">
        <f>IF(C3="","",IFERROR(VLOOKUP(C3,'ITEM LIST'!B:M,12,0)*D3,0))</f>
        <v>40</v>
      </c>
    </row>
    <row r="4" spans="1:5" ht="15.75" customHeight="1">
      <c r="A4" s="80" t="s">
        <v>572</v>
      </c>
      <c r="B4" s="36" t="s">
        <v>312</v>
      </c>
      <c r="C4" s="36" t="s">
        <v>149</v>
      </c>
      <c r="D4" s="28">
        <v>35</v>
      </c>
      <c r="E4" s="81">
        <f>IF(C4="","",IFERROR(VLOOKUP(C4,'ITEM LIST'!B:M,12,0)*D4,0))</f>
        <v>4.55</v>
      </c>
    </row>
    <row r="5" spans="1:5" ht="15.75" customHeight="1">
      <c r="A5" s="80" t="s">
        <v>572</v>
      </c>
      <c r="B5" s="36" t="s">
        <v>312</v>
      </c>
      <c r="C5" s="36" t="s">
        <v>338</v>
      </c>
      <c r="D5" s="28">
        <v>3</v>
      </c>
      <c r="E5" s="81">
        <f>IF(C5="","",IFERROR(VLOOKUP(C5,'ITEM LIST'!B:M,12,0)*D5,0))</f>
        <v>0.23699999999999999</v>
      </c>
    </row>
    <row r="6" spans="1:5" ht="15.75" customHeight="1">
      <c r="A6" s="80" t="s">
        <v>572</v>
      </c>
      <c r="B6" s="36" t="s">
        <v>312</v>
      </c>
      <c r="C6" s="36" t="s">
        <v>146</v>
      </c>
      <c r="D6" s="28">
        <v>1</v>
      </c>
      <c r="E6" s="81">
        <f>IF(C6="","",IFERROR(VLOOKUP(C6,'ITEM LIST'!B:M,12,0)*D6,0))</f>
        <v>6.5000000000000002E-2</v>
      </c>
    </row>
    <row r="7" spans="1:5" ht="15.75" customHeight="1">
      <c r="A7" s="80" t="s">
        <v>572</v>
      </c>
      <c r="B7" s="36" t="s">
        <v>312</v>
      </c>
      <c r="C7" s="36" t="s">
        <v>531</v>
      </c>
      <c r="D7" s="28">
        <v>250</v>
      </c>
      <c r="E7" s="81">
        <f>IF(C7="","",IFERROR(VLOOKUP(C7,'ITEM LIST'!B:M,12,0)*D7,0))</f>
        <v>9</v>
      </c>
    </row>
    <row r="8" spans="1:5" ht="15.75" customHeight="1">
      <c r="A8" s="80" t="s">
        <v>572</v>
      </c>
      <c r="B8" s="36" t="s">
        <v>371</v>
      </c>
      <c r="C8" s="36" t="s">
        <v>371</v>
      </c>
      <c r="D8" s="28"/>
      <c r="E8" s="81" t="str">
        <f>IF(C8="","",IFERROR(VLOOKUP(C8,'ITEM LIST'!B:M,12,0)*D8,0))</f>
        <v/>
      </c>
    </row>
    <row r="9" spans="1:5" ht="15.75" customHeight="1">
      <c r="A9" s="80" t="s">
        <v>572</v>
      </c>
      <c r="B9" s="36" t="s">
        <v>638</v>
      </c>
      <c r="C9" s="36" t="s">
        <v>279</v>
      </c>
      <c r="D9" s="28">
        <v>40</v>
      </c>
      <c r="E9" s="81">
        <f>IF(C9="","",IFERROR(VLOOKUP(C9,'ITEM LIST'!B:M,12,0)*D9,0))</f>
        <v>40</v>
      </c>
    </row>
    <row r="10" spans="1:5" ht="15.75" customHeight="1">
      <c r="A10" s="80" t="s">
        <v>572</v>
      </c>
      <c r="B10" s="36" t="s">
        <v>638</v>
      </c>
      <c r="C10" s="36" t="s">
        <v>149</v>
      </c>
      <c r="D10" s="28">
        <v>35</v>
      </c>
      <c r="E10" s="81">
        <f>IF(C10="","",IFERROR(VLOOKUP(C10,'ITEM LIST'!B:M,12,0)*D10,0))</f>
        <v>4.55</v>
      </c>
    </row>
    <row r="11" spans="1:5" ht="15.75" customHeight="1">
      <c r="A11" s="80" t="s">
        <v>572</v>
      </c>
      <c r="B11" s="36" t="s">
        <v>638</v>
      </c>
      <c r="C11" s="36" t="s">
        <v>338</v>
      </c>
      <c r="D11" s="28">
        <v>3</v>
      </c>
      <c r="E11" s="81">
        <f>IF(C11="","",IFERROR(VLOOKUP(C11,'ITEM LIST'!B:M,12,0)*D11,0))</f>
        <v>0.23699999999999999</v>
      </c>
    </row>
    <row r="12" spans="1:5" ht="15.75" customHeight="1">
      <c r="A12" s="80" t="s">
        <v>572</v>
      </c>
      <c r="B12" s="36" t="s">
        <v>638</v>
      </c>
      <c r="C12" s="36" t="s">
        <v>146</v>
      </c>
      <c r="D12" s="28">
        <v>1</v>
      </c>
      <c r="E12" s="81">
        <f>IF(C12="","",IFERROR(VLOOKUP(C12,'ITEM LIST'!B:M,12,0)*D12,0))</f>
        <v>6.5000000000000002E-2</v>
      </c>
    </row>
    <row r="13" spans="1:5" ht="15.75" customHeight="1">
      <c r="A13" s="80" t="s">
        <v>572</v>
      </c>
      <c r="B13" s="36" t="s">
        <v>638</v>
      </c>
      <c r="C13" s="36" t="s">
        <v>531</v>
      </c>
      <c r="D13" s="28">
        <v>250</v>
      </c>
      <c r="E13" s="81">
        <f>IF(C13="","",IFERROR(VLOOKUP(C13,'ITEM LIST'!B:M,12,0)*D13,0))</f>
        <v>9</v>
      </c>
    </row>
    <row r="14" spans="1:5" ht="15.75" customHeight="1">
      <c r="A14" s="80" t="s">
        <v>572</v>
      </c>
      <c r="B14" s="36" t="s">
        <v>371</v>
      </c>
      <c r="C14" s="36" t="s">
        <v>371</v>
      </c>
      <c r="D14" s="28"/>
      <c r="E14" s="81" t="str">
        <f>IF(C14="","",IFERROR(VLOOKUP(C14,'ITEM LIST'!B:M,12,0)*D14,0))</f>
        <v/>
      </c>
    </row>
    <row r="15" spans="1:5" ht="15.75" customHeight="1">
      <c r="A15" s="80" t="s">
        <v>572</v>
      </c>
      <c r="B15" s="36" t="s">
        <v>639</v>
      </c>
      <c r="C15" s="36" t="s">
        <v>279</v>
      </c>
      <c r="D15" s="28">
        <v>40</v>
      </c>
      <c r="E15" s="81">
        <f>IF(C15="","",IFERROR(VLOOKUP(C15,'ITEM LIST'!B:M,12,0)*D15,0))</f>
        <v>40</v>
      </c>
    </row>
    <row r="16" spans="1:5" ht="15.75" customHeight="1">
      <c r="A16" s="80" t="s">
        <v>572</v>
      </c>
      <c r="B16" s="36" t="s">
        <v>639</v>
      </c>
      <c r="C16" s="36" t="s">
        <v>149</v>
      </c>
      <c r="D16" s="28">
        <v>35</v>
      </c>
      <c r="E16" s="81">
        <f>IF(C16="","",IFERROR(VLOOKUP(C16,'ITEM LIST'!B:M,12,0)*D16,0))</f>
        <v>4.55</v>
      </c>
    </row>
    <row r="17" spans="1:5" ht="15.75" customHeight="1">
      <c r="A17" s="80" t="s">
        <v>572</v>
      </c>
      <c r="B17" s="36" t="s">
        <v>639</v>
      </c>
      <c r="C17" s="36" t="s">
        <v>338</v>
      </c>
      <c r="D17" s="28">
        <v>3</v>
      </c>
      <c r="E17" s="81">
        <f>IF(C17="","",IFERROR(VLOOKUP(C17,'ITEM LIST'!B:M,12,0)*D17,0))</f>
        <v>0.23699999999999999</v>
      </c>
    </row>
    <row r="18" spans="1:5" ht="15.75" customHeight="1">
      <c r="A18" s="80" t="s">
        <v>572</v>
      </c>
      <c r="B18" s="36" t="s">
        <v>639</v>
      </c>
      <c r="C18" s="36" t="s">
        <v>146</v>
      </c>
      <c r="D18" s="28">
        <v>1</v>
      </c>
      <c r="E18" s="81">
        <f>IF(C18="","",IFERROR(VLOOKUP(C18,'ITEM LIST'!B:M,12,0)*D18,0))</f>
        <v>6.5000000000000002E-2</v>
      </c>
    </row>
    <row r="19" spans="1:5" ht="15.75" customHeight="1">
      <c r="A19" s="80" t="s">
        <v>572</v>
      </c>
      <c r="B19" s="36" t="s">
        <v>639</v>
      </c>
      <c r="C19" s="36" t="s">
        <v>531</v>
      </c>
      <c r="D19" s="28">
        <v>250</v>
      </c>
      <c r="E19" s="81">
        <f>IF(C19="","",IFERROR(VLOOKUP(C19,'ITEM LIST'!B:M,12,0)*D19,0))</f>
        <v>9</v>
      </c>
    </row>
    <row r="20" spans="1:5" ht="14.25">
      <c r="A20" s="80" t="s">
        <v>572</v>
      </c>
      <c r="B20" s="36" t="s">
        <v>371</v>
      </c>
      <c r="C20" s="36" t="s">
        <v>371</v>
      </c>
      <c r="D20" s="28"/>
      <c r="E20" s="81" t="str">
        <f>IF(C20="","",IFERROR(VLOOKUP(C20,'ITEM LIST'!B:M,12,0)*D20,0))</f>
        <v/>
      </c>
    </row>
    <row r="21" spans="1:5" ht="14.25">
      <c r="A21" s="80" t="s">
        <v>572</v>
      </c>
      <c r="B21" s="36" t="s">
        <v>640</v>
      </c>
      <c r="C21" s="36" t="s">
        <v>279</v>
      </c>
      <c r="D21" s="28">
        <v>40</v>
      </c>
      <c r="E21" s="81">
        <f>IF(C21="","",IFERROR(VLOOKUP(C21,'ITEM LIST'!B:M,12,0)*D21,0))</f>
        <v>40</v>
      </c>
    </row>
    <row r="22" spans="1:5" ht="14.25">
      <c r="A22" s="80" t="s">
        <v>572</v>
      </c>
      <c r="B22" s="36" t="s">
        <v>640</v>
      </c>
      <c r="C22" s="36" t="s">
        <v>149</v>
      </c>
      <c r="D22" s="28">
        <v>35</v>
      </c>
      <c r="E22" s="81">
        <f>IF(C22="","",IFERROR(VLOOKUP(C22,'ITEM LIST'!B:M,12,0)*D22,0))</f>
        <v>4.55</v>
      </c>
    </row>
    <row r="23" spans="1:5" ht="14.25">
      <c r="A23" s="80" t="s">
        <v>572</v>
      </c>
      <c r="B23" s="36" t="s">
        <v>640</v>
      </c>
      <c r="C23" s="36" t="s">
        <v>338</v>
      </c>
      <c r="D23" s="28">
        <v>3</v>
      </c>
      <c r="E23" s="81">
        <f>IF(C23="","",IFERROR(VLOOKUP(C23,'ITEM LIST'!B:M,12,0)*D23,0))</f>
        <v>0.23699999999999999</v>
      </c>
    </row>
    <row r="24" spans="1:5" ht="14.25">
      <c r="A24" s="80" t="s">
        <v>572</v>
      </c>
      <c r="B24" s="36" t="s">
        <v>640</v>
      </c>
      <c r="C24" s="36" t="s">
        <v>146</v>
      </c>
      <c r="D24" s="28">
        <v>1</v>
      </c>
      <c r="E24" s="81">
        <f>IF(C24="","",IFERROR(VLOOKUP(C24,'ITEM LIST'!B:M,12,0)*D24,0))</f>
        <v>6.5000000000000002E-2</v>
      </c>
    </row>
    <row r="25" spans="1:5" ht="14.25">
      <c r="A25" s="80" t="s">
        <v>572</v>
      </c>
      <c r="B25" s="36" t="s">
        <v>640</v>
      </c>
      <c r="C25" s="36" t="s">
        <v>531</v>
      </c>
      <c r="D25" s="28">
        <v>250</v>
      </c>
      <c r="E25" s="81">
        <f>IF(C25="","",IFERROR(VLOOKUP(C25,'ITEM LIST'!B:M,12,0)*D25,0))</f>
        <v>9</v>
      </c>
    </row>
    <row r="26" spans="1:5" ht="14.25">
      <c r="A26" s="80" t="s">
        <v>572</v>
      </c>
      <c r="B26" s="36" t="s">
        <v>371</v>
      </c>
      <c r="C26" s="36" t="s">
        <v>371</v>
      </c>
      <c r="D26" s="28"/>
      <c r="E26" s="81" t="str">
        <f>IF(C26="","",IFERROR(VLOOKUP(C26,'ITEM LIST'!B:M,12,0)*D26,0))</f>
        <v/>
      </c>
    </row>
    <row r="27" spans="1:5" ht="14.25">
      <c r="A27" s="80" t="s">
        <v>572</v>
      </c>
      <c r="B27" s="36" t="s">
        <v>641</v>
      </c>
      <c r="C27" s="36" t="s">
        <v>279</v>
      </c>
      <c r="D27" s="28">
        <v>40</v>
      </c>
      <c r="E27" s="81">
        <f>IF(C27="","",IFERROR(VLOOKUP(C27,'ITEM LIST'!B:M,12,0)*D27,0))</f>
        <v>40</v>
      </c>
    </row>
    <row r="28" spans="1:5" ht="14.25">
      <c r="A28" s="80" t="s">
        <v>572</v>
      </c>
      <c r="B28" s="36" t="s">
        <v>641</v>
      </c>
      <c r="C28" s="36" t="s">
        <v>149</v>
      </c>
      <c r="D28" s="28">
        <v>35</v>
      </c>
      <c r="E28" s="81">
        <f>IF(C28="","",IFERROR(VLOOKUP(C28,'ITEM LIST'!B:M,12,0)*D28,0))</f>
        <v>4.55</v>
      </c>
    </row>
    <row r="29" spans="1:5" ht="14.25">
      <c r="A29" s="80" t="s">
        <v>572</v>
      </c>
      <c r="B29" s="36" t="s">
        <v>641</v>
      </c>
      <c r="C29" s="36" t="s">
        <v>338</v>
      </c>
      <c r="D29" s="28">
        <v>3</v>
      </c>
      <c r="E29" s="81">
        <f>IF(C29="","",IFERROR(VLOOKUP(C29,'ITEM LIST'!B:M,12,0)*D29,0))</f>
        <v>0.23699999999999999</v>
      </c>
    </row>
    <row r="30" spans="1:5" ht="14.25">
      <c r="A30" s="80" t="s">
        <v>572</v>
      </c>
      <c r="B30" s="36" t="s">
        <v>641</v>
      </c>
      <c r="C30" s="36" t="s">
        <v>146</v>
      </c>
      <c r="D30" s="28">
        <v>1</v>
      </c>
      <c r="E30" s="81">
        <f>IF(C30="","",IFERROR(VLOOKUP(C30,'ITEM LIST'!B:M,12,0)*D30,0))</f>
        <v>6.5000000000000002E-2</v>
      </c>
    </row>
    <row r="31" spans="1:5" ht="14.25">
      <c r="A31" s="80" t="s">
        <v>572</v>
      </c>
      <c r="B31" s="36" t="s">
        <v>641</v>
      </c>
      <c r="C31" s="36" t="s">
        <v>531</v>
      </c>
      <c r="D31" s="28">
        <v>250</v>
      </c>
      <c r="E31" s="81">
        <f>IF(C31="","",IFERROR(VLOOKUP(C31,'ITEM LIST'!B:M,12,0)*D31,0))</f>
        <v>9</v>
      </c>
    </row>
    <row r="32" spans="1:5" ht="14.25">
      <c r="A32" s="80" t="s">
        <v>572</v>
      </c>
      <c r="B32" s="36" t="s">
        <v>371</v>
      </c>
      <c r="C32" s="36" t="s">
        <v>371</v>
      </c>
      <c r="D32" s="28"/>
      <c r="E32" s="81" t="str">
        <f>IF(C32="","",IFERROR(VLOOKUP(C32,'ITEM LIST'!B:M,12,0)*D32,0))</f>
        <v/>
      </c>
    </row>
    <row r="33" spans="1:5" ht="14.25">
      <c r="A33" s="80" t="s">
        <v>572</v>
      </c>
      <c r="B33" s="36" t="s">
        <v>642</v>
      </c>
      <c r="C33" s="36" t="s">
        <v>279</v>
      </c>
      <c r="D33" s="28">
        <v>40</v>
      </c>
      <c r="E33" s="81">
        <f>IF(C33="","",IFERROR(VLOOKUP(C33,'ITEM LIST'!B:M,12,0)*D33,0))</f>
        <v>40</v>
      </c>
    </row>
    <row r="34" spans="1:5" ht="14.25">
      <c r="A34" s="80" t="s">
        <v>572</v>
      </c>
      <c r="B34" s="36" t="s">
        <v>642</v>
      </c>
      <c r="C34" s="36" t="s">
        <v>149</v>
      </c>
      <c r="D34" s="28">
        <v>35</v>
      </c>
      <c r="E34" s="81">
        <f>IF(C34="","",IFERROR(VLOOKUP(C34,'ITEM LIST'!B:M,12,0)*D34,0))</f>
        <v>4.55</v>
      </c>
    </row>
    <row r="35" spans="1:5" ht="14.25">
      <c r="A35" s="80" t="s">
        <v>572</v>
      </c>
      <c r="B35" s="36" t="s">
        <v>642</v>
      </c>
      <c r="C35" s="36" t="s">
        <v>338</v>
      </c>
      <c r="D35" s="28">
        <v>3</v>
      </c>
      <c r="E35" s="81">
        <f>IF(C35="","",IFERROR(VLOOKUP(C35,'ITEM LIST'!B:M,12,0)*D35,0))</f>
        <v>0.23699999999999999</v>
      </c>
    </row>
    <row r="36" spans="1:5" ht="14.25">
      <c r="A36" s="80" t="s">
        <v>572</v>
      </c>
      <c r="B36" s="36" t="s">
        <v>642</v>
      </c>
      <c r="C36" s="36" t="s">
        <v>146</v>
      </c>
      <c r="D36" s="28">
        <v>1</v>
      </c>
      <c r="E36" s="81">
        <f>IF(C36="","",IFERROR(VLOOKUP(C36,'ITEM LIST'!B:M,12,0)*D36,0))</f>
        <v>6.5000000000000002E-2</v>
      </c>
    </row>
    <row r="37" spans="1:5" ht="14.25">
      <c r="A37" s="80" t="s">
        <v>572</v>
      </c>
      <c r="B37" s="36" t="s">
        <v>642</v>
      </c>
      <c r="C37" s="36" t="s">
        <v>531</v>
      </c>
      <c r="D37" s="28">
        <v>250</v>
      </c>
      <c r="E37" s="81">
        <f>IF(C37="","",IFERROR(VLOOKUP(C37,'ITEM LIST'!B:M,12,0)*D37,0))</f>
        <v>9</v>
      </c>
    </row>
    <row r="38" spans="1:5" ht="14.25">
      <c r="A38" s="80" t="s">
        <v>572</v>
      </c>
      <c r="B38" s="36" t="s">
        <v>371</v>
      </c>
      <c r="C38" s="36" t="s">
        <v>371</v>
      </c>
      <c r="D38" s="28"/>
      <c r="E38" s="81" t="str">
        <f>IF(C38="","",IFERROR(VLOOKUP(C38,'ITEM LIST'!B:M,12,0)*D38,0))</f>
        <v/>
      </c>
    </row>
    <row r="39" spans="1:5" ht="14.25">
      <c r="A39" s="80" t="s">
        <v>572</v>
      </c>
      <c r="B39" s="36" t="s">
        <v>371</v>
      </c>
      <c r="C39" s="36" t="s">
        <v>371</v>
      </c>
      <c r="D39" s="28"/>
      <c r="E39" s="81" t="str">
        <f>IF(C39="","",IFERROR(VLOOKUP(C39,'ITEM LIST'!B:M,12,0)*D39,0))</f>
        <v/>
      </c>
    </row>
    <row r="40" spans="1:5" ht="14.25">
      <c r="A40" s="80" t="s">
        <v>572</v>
      </c>
      <c r="B40" s="36" t="s">
        <v>643</v>
      </c>
      <c r="C40" s="36" t="s">
        <v>517</v>
      </c>
      <c r="D40" s="28">
        <v>1</v>
      </c>
      <c r="E40" s="81">
        <f>IF(C40="","",IFERROR(VLOOKUP(C40,'ITEM LIST'!B:M,12,0)*D40,0))</f>
        <v>40</v>
      </c>
    </row>
    <row r="41" spans="1:5" ht="14.25">
      <c r="A41" s="80" t="s">
        <v>572</v>
      </c>
      <c r="B41" s="36" t="s">
        <v>643</v>
      </c>
      <c r="C41" s="36" t="s">
        <v>279</v>
      </c>
      <c r="D41" s="28">
        <v>40</v>
      </c>
      <c r="E41" s="81">
        <f>IF(C41="","",IFERROR(VLOOKUP(C41,'ITEM LIST'!B:M,12,0)*D41,0))</f>
        <v>40</v>
      </c>
    </row>
    <row r="42" spans="1:5" ht="14.25">
      <c r="A42" s="80" t="s">
        <v>572</v>
      </c>
      <c r="B42" s="36" t="s">
        <v>643</v>
      </c>
      <c r="C42" s="36" t="s">
        <v>149</v>
      </c>
      <c r="D42" s="28">
        <v>35</v>
      </c>
      <c r="E42" s="81">
        <f>IF(C42="","",IFERROR(VLOOKUP(C42,'ITEM LIST'!B:M,12,0)*D42,0))</f>
        <v>4.55</v>
      </c>
    </row>
    <row r="43" spans="1:5" ht="14.25">
      <c r="A43" s="80" t="s">
        <v>572</v>
      </c>
      <c r="B43" s="36" t="s">
        <v>643</v>
      </c>
      <c r="C43" s="36" t="s">
        <v>338</v>
      </c>
      <c r="D43" s="28">
        <v>3</v>
      </c>
      <c r="E43" s="81">
        <f>IF(C43="","",IFERROR(VLOOKUP(C43,'ITEM LIST'!B:M,12,0)*D43,0))</f>
        <v>0.23699999999999999</v>
      </c>
    </row>
    <row r="44" spans="1:5" ht="14.25">
      <c r="A44" s="80" t="s">
        <v>572</v>
      </c>
      <c r="B44" s="36" t="s">
        <v>643</v>
      </c>
      <c r="C44" s="36" t="s">
        <v>146</v>
      </c>
      <c r="D44" s="28">
        <v>1</v>
      </c>
      <c r="E44" s="81">
        <f>IF(C44="","",IFERROR(VLOOKUP(C44,'ITEM LIST'!B:M,12,0)*D44,0))</f>
        <v>6.5000000000000002E-2</v>
      </c>
    </row>
    <row r="45" spans="1:5" ht="14.25">
      <c r="A45" s="80" t="s">
        <v>572</v>
      </c>
      <c r="B45" s="36" t="s">
        <v>371</v>
      </c>
      <c r="C45" s="36" t="s">
        <v>371</v>
      </c>
      <c r="D45" s="28"/>
      <c r="E45" s="81" t="str">
        <f>IF(C45="","",IFERROR(VLOOKUP(C45,'ITEM LIST'!B:M,12,0)*D45,0))</f>
        <v/>
      </c>
    </row>
    <row r="46" spans="1:5" ht="14.25">
      <c r="A46" s="80" t="s">
        <v>572</v>
      </c>
      <c r="B46" s="136" t="s">
        <v>563</v>
      </c>
      <c r="C46" s="36" t="s">
        <v>149</v>
      </c>
      <c r="D46" s="28">
        <v>35</v>
      </c>
      <c r="E46" s="81">
        <f>IF(C46="","",IFERROR(VLOOKUP(C46,'ITEM LIST'!B:M,12,0)*D46,0))</f>
        <v>4.55</v>
      </c>
    </row>
    <row r="47" spans="1:5" ht="14.25">
      <c r="A47" s="80" t="s">
        <v>572</v>
      </c>
      <c r="B47" s="136" t="s">
        <v>563</v>
      </c>
      <c r="C47" s="36" t="s">
        <v>338</v>
      </c>
      <c r="D47" s="28">
        <v>3</v>
      </c>
      <c r="E47" s="81">
        <f>IF(C47="","",IFERROR(VLOOKUP(C47,'ITEM LIST'!B:M,12,0)*D47,0))</f>
        <v>0.23699999999999999</v>
      </c>
    </row>
    <row r="48" spans="1:5" ht="14.25">
      <c r="A48" s="80" t="s">
        <v>572</v>
      </c>
      <c r="B48" s="136" t="s">
        <v>563</v>
      </c>
      <c r="C48" s="36" t="s">
        <v>146</v>
      </c>
      <c r="D48" s="28">
        <v>1</v>
      </c>
      <c r="E48" s="81">
        <f>IF(C48="","",IFERROR(VLOOKUP(C48,'ITEM LIST'!B:M,12,0)*D48,0))</f>
        <v>6.5000000000000002E-2</v>
      </c>
    </row>
    <row r="49" spans="1:5" ht="14.25">
      <c r="A49" s="80" t="s">
        <v>572</v>
      </c>
      <c r="B49" s="136" t="s">
        <v>563</v>
      </c>
      <c r="C49" s="36" t="s">
        <v>531</v>
      </c>
      <c r="D49" s="28">
        <v>250</v>
      </c>
      <c r="E49" s="81">
        <f>IF(C49="","",IFERROR(VLOOKUP(C49,'ITEM LIST'!B:M,12,0)*D49,0))</f>
        <v>9</v>
      </c>
    </row>
    <row r="50" spans="1:5" ht="14.25">
      <c r="A50" s="80" t="s">
        <v>572</v>
      </c>
      <c r="B50" s="36" t="s">
        <v>371</v>
      </c>
      <c r="C50" s="36"/>
      <c r="D50" s="28"/>
      <c r="E50" s="81" t="str">
        <f>IF(C50="","",IFERROR(VLOOKUP(C50,'ITEM LIST'!B:M,12,0)*D50,0))</f>
        <v/>
      </c>
    </row>
    <row r="51" spans="1:5" ht="14.25">
      <c r="A51" s="80" t="s">
        <v>572</v>
      </c>
      <c r="B51" s="136" t="s">
        <v>565</v>
      </c>
      <c r="C51" s="36" t="s">
        <v>149</v>
      </c>
      <c r="D51" s="28">
        <v>35</v>
      </c>
      <c r="E51" s="81">
        <f>IF(C51="","",IFERROR(VLOOKUP(C51,'ITEM LIST'!B:M,12,0)*D51,0))</f>
        <v>4.55</v>
      </c>
    </row>
    <row r="52" spans="1:5" ht="14.25">
      <c r="A52" s="80" t="s">
        <v>572</v>
      </c>
      <c r="B52" s="136" t="s">
        <v>565</v>
      </c>
      <c r="C52" s="36" t="s">
        <v>338</v>
      </c>
      <c r="D52" s="28">
        <v>3</v>
      </c>
      <c r="E52" s="81">
        <f>IF(C52="","",IFERROR(VLOOKUP(C52,'ITEM LIST'!B:M,12,0)*D52,0))</f>
        <v>0.23699999999999999</v>
      </c>
    </row>
    <row r="53" spans="1:5" ht="14.25">
      <c r="A53" s="80" t="s">
        <v>572</v>
      </c>
      <c r="B53" s="136" t="s">
        <v>565</v>
      </c>
      <c r="C53" s="36" t="s">
        <v>146</v>
      </c>
      <c r="D53" s="28">
        <v>1</v>
      </c>
      <c r="E53" s="81">
        <f>IF(C53="","",IFERROR(VLOOKUP(C53,'ITEM LIST'!B:M,12,0)*D53,0))</f>
        <v>6.5000000000000002E-2</v>
      </c>
    </row>
    <row r="54" spans="1:5" ht="14.25">
      <c r="A54" s="80" t="s">
        <v>572</v>
      </c>
      <c r="B54" s="136" t="s">
        <v>565</v>
      </c>
      <c r="C54" s="136" t="s">
        <v>564</v>
      </c>
      <c r="D54" s="28">
        <v>1</v>
      </c>
      <c r="E54" s="81">
        <f>IF(C54="","",IFERROR(VLOOKUP(C54,'ITEM LIST'!B:M,12,0)*D54,0))</f>
        <v>40</v>
      </c>
    </row>
    <row r="55" spans="1:5" ht="14.25">
      <c r="A55" s="80" t="s">
        <v>572</v>
      </c>
      <c r="B55" s="36" t="s">
        <v>371</v>
      </c>
      <c r="C55" s="36"/>
      <c r="D55" s="28"/>
      <c r="E55" s="81" t="str">
        <f>IF(C55="","",IFERROR(VLOOKUP(C55,'ITEM LIST'!B:M,12,0)*D55,0))</f>
        <v/>
      </c>
    </row>
    <row r="56" spans="1:5" ht="14.25">
      <c r="A56" s="80" t="s">
        <v>572</v>
      </c>
      <c r="B56" s="136" t="s">
        <v>566</v>
      </c>
      <c r="C56" s="136" t="s">
        <v>149</v>
      </c>
      <c r="D56" s="28">
        <v>35</v>
      </c>
      <c r="E56" s="81">
        <f>IF(C56="","",IFERROR(VLOOKUP(C56,'ITEM LIST'!B:M,12,0)*D56,0))</f>
        <v>4.55</v>
      </c>
    </row>
    <row r="57" spans="1:5" ht="14.25">
      <c r="A57" s="80" t="s">
        <v>572</v>
      </c>
      <c r="B57" s="136" t="s">
        <v>566</v>
      </c>
      <c r="C57" s="136" t="s">
        <v>101</v>
      </c>
      <c r="D57" s="28"/>
      <c r="E57" s="81">
        <v>10</v>
      </c>
    </row>
    <row r="58" spans="1:5" ht="14.25">
      <c r="A58" s="80" t="s">
        <v>572</v>
      </c>
      <c r="B58" s="36" t="s">
        <v>371</v>
      </c>
      <c r="C58" s="36"/>
      <c r="D58" s="28"/>
      <c r="E58" s="81" t="str">
        <f>IF(C58="","",IFERROR(VLOOKUP(C58,'ITEM LIST'!B:M,12,0)*D58,0))</f>
        <v/>
      </c>
    </row>
    <row r="59" spans="1:5" ht="14.25">
      <c r="A59" s="80" t="s">
        <v>572</v>
      </c>
      <c r="B59" s="36" t="s">
        <v>644</v>
      </c>
      <c r="C59" s="36" t="s">
        <v>422</v>
      </c>
      <c r="D59" s="28">
        <v>200</v>
      </c>
      <c r="E59" s="81">
        <f>IF(C59="","",IFERROR(VLOOKUP(C59,'ITEM LIST'!B:M,12,0)*D59,0))</f>
        <v>14.000000000000002</v>
      </c>
    </row>
    <row r="60" spans="1:5" ht="14.25">
      <c r="A60" s="80" t="s">
        <v>572</v>
      </c>
      <c r="B60" s="36" t="s">
        <v>644</v>
      </c>
      <c r="C60" s="36" t="s">
        <v>382</v>
      </c>
      <c r="D60" s="28">
        <v>100</v>
      </c>
      <c r="E60" s="81">
        <f>IF(C60="","",IFERROR(VLOOKUP(C60,'ITEM LIST'!B:M,12,0)*D60,0))</f>
        <v>4</v>
      </c>
    </row>
    <row r="61" spans="1:5" ht="14.25">
      <c r="A61" s="80" t="s">
        <v>572</v>
      </c>
      <c r="B61" s="36" t="s">
        <v>644</v>
      </c>
      <c r="C61" s="36" t="s">
        <v>555</v>
      </c>
      <c r="D61" s="28" t="s">
        <v>313</v>
      </c>
      <c r="E61" s="81">
        <f>IF(C61="","",IFERROR(VLOOKUP(C61,'ITEM LIST'!B:M,12,0)*D61,0))</f>
        <v>0</v>
      </c>
    </row>
    <row r="62" spans="1:5" ht="14.25">
      <c r="A62" s="80" t="s">
        <v>572</v>
      </c>
      <c r="B62" s="36" t="s">
        <v>371</v>
      </c>
      <c r="C62" s="36" t="s">
        <v>371</v>
      </c>
      <c r="D62" s="28"/>
      <c r="E62" s="81" t="str">
        <f>IF(C62="","",IFERROR(VLOOKUP(C62,'ITEM LIST'!B:M,12,0)*D62,0))</f>
        <v/>
      </c>
    </row>
    <row r="63" spans="1:5" ht="14.25">
      <c r="A63" s="80" t="s">
        <v>572</v>
      </c>
      <c r="B63" s="37" t="s">
        <v>646</v>
      </c>
      <c r="C63" s="136" t="s">
        <v>500</v>
      </c>
      <c r="D63" s="28">
        <v>0.25</v>
      </c>
      <c r="E63" s="81">
        <f>IF(C63="","",IFERROR(VLOOKUP(C63,'ITEM LIST'!B:M,12,0)*D63,0))</f>
        <v>0.02</v>
      </c>
    </row>
    <row r="64" spans="1:5" ht="14.25">
      <c r="A64" s="80" t="s">
        <v>572</v>
      </c>
      <c r="B64" s="37" t="s">
        <v>646</v>
      </c>
      <c r="C64" s="36" t="s">
        <v>352</v>
      </c>
      <c r="D64" s="28">
        <v>0.9</v>
      </c>
      <c r="E64" s="81">
        <f>IF(C64="","",IFERROR(VLOOKUP(C64,'ITEM LIST'!B:M,12,0)*D64,0))</f>
        <v>1.4400000000000002</v>
      </c>
    </row>
    <row r="65" spans="1:5" ht="14.25">
      <c r="A65" s="80" t="s">
        <v>572</v>
      </c>
      <c r="B65" s="37" t="s">
        <v>646</v>
      </c>
      <c r="C65" s="37" t="s">
        <v>420</v>
      </c>
      <c r="D65" s="38">
        <v>250</v>
      </c>
      <c r="E65" s="81">
        <f>IF(C65="","",IFERROR(VLOOKUP(C65,'ITEM LIST'!B:M,12,0)*D65,0))</f>
        <v>16.5</v>
      </c>
    </row>
    <row r="66" spans="1:5" ht="14.25">
      <c r="A66" s="80" t="s">
        <v>572</v>
      </c>
      <c r="B66" s="37" t="s">
        <v>646</v>
      </c>
      <c r="C66" s="37" t="s">
        <v>411</v>
      </c>
      <c r="D66" s="38">
        <v>2.5000000000000001E-2</v>
      </c>
      <c r="E66" s="81">
        <f>IF(C66="","",IFERROR(VLOOKUP(C66,'ITEM LIST'!B:M,12,0)*D66,0))</f>
        <v>2.625</v>
      </c>
    </row>
    <row r="67" spans="1:5" ht="14.25">
      <c r="A67" s="80" t="s">
        <v>572</v>
      </c>
      <c r="B67" s="37" t="s">
        <v>646</v>
      </c>
      <c r="C67" s="37" t="s">
        <v>533</v>
      </c>
      <c r="D67" s="38">
        <v>10</v>
      </c>
      <c r="E67" s="81">
        <f>IF(C67="","",IFERROR(VLOOKUP(C67,'ITEM LIST'!B:M,12,0)*D67,0))</f>
        <v>7.8000000000000007</v>
      </c>
    </row>
    <row r="68" spans="1:5" ht="14.25">
      <c r="A68" s="80" t="s">
        <v>572</v>
      </c>
      <c r="B68" s="37" t="s">
        <v>646</v>
      </c>
      <c r="C68" s="37" t="s">
        <v>103</v>
      </c>
      <c r="D68" s="38">
        <v>10</v>
      </c>
      <c r="E68" s="81">
        <f>IF(C68="","",IFERROR(VLOOKUP(C68,'ITEM LIST'!B:M,12,0)*D68,0))</f>
        <v>18</v>
      </c>
    </row>
    <row r="69" spans="1:5" ht="14.25">
      <c r="A69" s="80" t="s">
        <v>572</v>
      </c>
      <c r="B69" s="54" t="s">
        <v>646</v>
      </c>
      <c r="C69" s="54" t="s">
        <v>511</v>
      </c>
      <c r="D69" s="55">
        <v>12.5</v>
      </c>
      <c r="E69" s="85">
        <f>IF(C69="","",IFERROR(VLOOKUP(C69,'ITEM LIST'!B:M,12,0)*D69,0))</f>
        <v>0.5</v>
      </c>
    </row>
    <row r="70" spans="1:5" ht="14.25">
      <c r="A70" s="80" t="s">
        <v>572</v>
      </c>
      <c r="B70" s="37" t="s">
        <v>371</v>
      </c>
      <c r="C70" s="37"/>
      <c r="D70" s="38"/>
      <c r="E70" s="81" t="str">
        <f>IF(C70="","",IFERROR(VLOOKUP(C70,'ITEM LIST'!B:M,12,0)*D70,0))</f>
        <v/>
      </c>
    </row>
    <row r="71" spans="1:5" ht="14.25">
      <c r="A71" s="80" t="s">
        <v>572</v>
      </c>
      <c r="B71" s="37" t="s">
        <v>371</v>
      </c>
      <c r="C71" s="37"/>
      <c r="D71" s="38"/>
      <c r="E71" s="81" t="str">
        <f>IF(C71="","",IFERROR(VLOOKUP(C71,'ITEM LIST'!B:M,12,0)*D71,0))</f>
        <v/>
      </c>
    </row>
    <row r="72" spans="1:5" ht="15">
      <c r="A72" s="1"/>
      <c r="B72" s="39"/>
      <c r="C72" s="39"/>
      <c r="D72" s="40"/>
      <c r="E72" s="6"/>
    </row>
    <row r="73" spans="1:5" ht="15">
      <c r="A73" s="1"/>
      <c r="B73" s="39"/>
      <c r="C73" s="39"/>
      <c r="D73" s="40"/>
      <c r="E73" s="6"/>
    </row>
    <row r="74" spans="1:5" ht="15">
      <c r="A74" s="1"/>
      <c r="B74" s="39"/>
      <c r="C74" s="39"/>
      <c r="D74" s="40"/>
      <c r="E74" s="6"/>
    </row>
    <row r="75" spans="1:5" ht="15">
      <c r="A75" s="1"/>
      <c r="B75" s="39"/>
      <c r="C75" s="39"/>
      <c r="D75" s="40"/>
      <c r="E75" s="6"/>
    </row>
    <row r="76" spans="1:5" ht="15">
      <c r="A76" s="1"/>
      <c r="B76" s="39"/>
      <c r="C76" s="39"/>
      <c r="D76" s="40"/>
      <c r="E76" s="6"/>
    </row>
    <row r="77" spans="1:5" ht="15">
      <c r="A77" s="1"/>
      <c r="B77" s="39"/>
      <c r="C77" s="39"/>
      <c r="D77" s="40"/>
      <c r="E77" s="6"/>
    </row>
    <row r="78" spans="1:5" ht="15">
      <c r="A78" s="1"/>
      <c r="B78" s="39"/>
      <c r="C78" s="39"/>
      <c r="D78" s="40"/>
      <c r="E78" s="6"/>
    </row>
    <row r="79" spans="1:5" ht="15">
      <c r="A79" s="1"/>
      <c r="B79" s="39"/>
      <c r="C79" s="39"/>
      <c r="D79" s="40"/>
      <c r="E79" s="6"/>
    </row>
    <row r="80" spans="1:5" ht="15">
      <c r="A80" s="1"/>
      <c r="B80" s="39"/>
      <c r="C80" s="39"/>
      <c r="D80" s="40"/>
      <c r="E80" s="6"/>
    </row>
    <row r="81" ht="12.75"/>
    <row r="82" ht="12.75"/>
    <row r="83" ht="12.75"/>
    <row r="84" ht="12.75"/>
    <row r="85" ht="12.75"/>
    <row r="86" ht="12.75"/>
    <row r="87" ht="12.75"/>
  </sheetData>
  <sheetProtection sheet="1" objects="1" scenarios="1" insertRows="0" selectLockedCells="1" sort="0" autoFilter="0"/>
  <mergeCells count="1">
    <mergeCell ref="A1:E1"/>
  </mergeCells>
  <dataValidations count="1">
    <dataValidation type="list" allowBlank="1" showErrorMessage="1" sqref="A3:A71" xr:uid="{5ABA4A35-AFA9-4174-8546-EE0BEA46120A}">
      <formula1>"Chaat,Chinese,Breads,Drinks,Grill Special,Kulfi,North Indian,South Indian,Specials,Sweets,Namkeen"</formula1>
    </dataValidation>
  </dataValidations>
  <pageMargins left="0.7" right="0.7" top="0.75" bottom="0.75" header="0.3" footer="0.3"/>
  <ignoredErrors>
    <ignoredError sqref="E57" calculatedColumn="1"/>
    <ignoredError sqref="C61" listDataValidation="1"/>
  </ignoredErrors>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ErrorMessage="1" xr:uid="{00000000-0002-0000-0C00-000000000000}">
          <x14:formula1>
            <xm:f>'ITEM LIST'!$B:$B</xm:f>
          </x14:formula1>
          <xm:sqref>C3:C69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rgb="FF7030A0"/>
    <outlinePr summaryBelow="0" summaryRight="0"/>
  </sheetPr>
  <dimension ref="A1:E301"/>
  <sheetViews>
    <sheetView topLeftCell="A69" workbookViewId="0">
      <selection activeCell="A79" sqref="A79"/>
    </sheetView>
  </sheetViews>
  <sheetFormatPr defaultColWidth="12.5703125" defaultRowHeight="15.75" customHeight="1"/>
  <cols>
    <col min="1" max="1" width="19.42578125" customWidth="1"/>
    <col min="2" max="2" width="27.42578125" customWidth="1"/>
    <col min="3" max="3" width="22.28515625" customWidth="1"/>
    <col min="4" max="4" width="11.42578125" customWidth="1"/>
    <col min="5" max="5" width="14.140625" customWidth="1"/>
  </cols>
  <sheetData>
    <row r="1" spans="1:5" ht="23.25">
      <c r="A1" s="276" t="s">
        <v>314</v>
      </c>
      <c r="B1" s="265"/>
      <c r="C1" s="265"/>
      <c r="D1" s="265"/>
      <c r="E1" s="265"/>
    </row>
    <row r="2" spans="1:5" ht="15.75" customHeight="1">
      <c r="A2" s="66" t="s">
        <v>125</v>
      </c>
      <c r="B2" s="67" t="s">
        <v>126</v>
      </c>
      <c r="C2" s="67" t="s">
        <v>302</v>
      </c>
      <c r="D2" s="67" t="s">
        <v>303</v>
      </c>
      <c r="E2" s="68" t="s">
        <v>128</v>
      </c>
    </row>
    <row r="3" spans="1:5" ht="15.75" customHeight="1">
      <c r="A3" s="64" t="s">
        <v>96</v>
      </c>
      <c r="B3" s="41" t="s">
        <v>607</v>
      </c>
      <c r="C3" s="41" t="s">
        <v>51</v>
      </c>
      <c r="D3" s="42">
        <v>150</v>
      </c>
      <c r="E3" s="65">
        <f>IF(C3="","",IFERROR(VLOOKUP(C3,'ITEM LIST'!B:M,12,0)*D3,0))</f>
        <v>22.704255319148935</v>
      </c>
    </row>
    <row r="4" spans="1:5" ht="15.75" customHeight="1">
      <c r="A4" s="64" t="s">
        <v>96</v>
      </c>
      <c r="B4" s="41" t="s">
        <v>607</v>
      </c>
      <c r="C4" s="41" t="s">
        <v>52</v>
      </c>
      <c r="D4" s="42">
        <v>6</v>
      </c>
      <c r="E4" s="65">
        <f>IF(C4="","",IFERROR(VLOOKUP(C4,'ITEM LIST'!B:M,12,0)*D4,0))</f>
        <v>3.9000000000000004</v>
      </c>
    </row>
    <row r="5" spans="1:5" ht="15.75" customHeight="1">
      <c r="A5" s="64" t="s">
        <v>96</v>
      </c>
      <c r="B5" s="41" t="s">
        <v>607</v>
      </c>
      <c r="C5" s="41" t="s">
        <v>53</v>
      </c>
      <c r="D5" s="42">
        <v>3</v>
      </c>
      <c r="E5" s="65">
        <f>IF(C5="","",IFERROR(VLOOKUP(C5,'ITEM LIST'!B:M,12,0)*D5,0))</f>
        <v>1.7999999999999998</v>
      </c>
    </row>
    <row r="6" spans="1:5" ht="15.75" customHeight="1">
      <c r="A6" s="64" t="s">
        <v>96</v>
      </c>
      <c r="B6" s="41" t="s">
        <v>607</v>
      </c>
      <c r="C6" s="41" t="s">
        <v>114</v>
      </c>
      <c r="D6" s="42">
        <v>5</v>
      </c>
      <c r="E6" s="65">
        <f>IF(C6="","",IFERROR(VLOOKUP(C6,'ITEM LIST'!B:M,12,0)*D6,0))</f>
        <v>0.14000000000000001</v>
      </c>
    </row>
    <row r="7" spans="1:5" ht="15.75" customHeight="1">
      <c r="A7" s="64" t="s">
        <v>96</v>
      </c>
      <c r="B7" s="41" t="s">
        <v>607</v>
      </c>
      <c r="C7" s="41" t="s">
        <v>32</v>
      </c>
      <c r="D7" s="42">
        <v>18</v>
      </c>
      <c r="E7" s="65">
        <f>IF(C7="","",IFERROR(VLOOKUP(C7,'ITEM LIST'!B:M,12,0)*D7,0))</f>
        <v>0.63000000000000012</v>
      </c>
    </row>
    <row r="8" spans="1:5" ht="15.75" customHeight="1">
      <c r="A8" s="64" t="s">
        <v>96</v>
      </c>
      <c r="B8" s="41" t="s">
        <v>607</v>
      </c>
      <c r="C8" s="41" t="s">
        <v>54</v>
      </c>
      <c r="D8" s="42">
        <v>10</v>
      </c>
      <c r="E8" s="65">
        <f>IF(C8="","",IFERROR(VLOOKUP(C8,'ITEM LIST'!B:M,12,0)*D8,0))</f>
        <v>1.4000000000000001</v>
      </c>
    </row>
    <row r="9" spans="1:5" ht="15.75" customHeight="1">
      <c r="A9" s="64" t="s">
        <v>96</v>
      </c>
      <c r="B9" s="41" t="s">
        <v>607</v>
      </c>
      <c r="C9" s="41" t="s">
        <v>557</v>
      </c>
      <c r="D9" s="42">
        <v>103</v>
      </c>
      <c r="E9" s="65">
        <f>IF(C9="","",IFERROR(VLOOKUP(C9,'ITEM LIST'!B:M,12,0)*D9,0))</f>
        <v>11.978425682866771</v>
      </c>
    </row>
    <row r="10" spans="1:5" ht="15.75" customHeight="1">
      <c r="A10" s="64" t="s">
        <v>96</v>
      </c>
      <c r="B10" s="41" t="s">
        <v>607</v>
      </c>
      <c r="C10" s="41" t="s">
        <v>43</v>
      </c>
      <c r="D10" s="42">
        <v>93</v>
      </c>
      <c r="E10" s="65">
        <f>IF(C10="","",IFERROR(VLOOKUP(C10,'ITEM LIST'!B:M,12,0)*D10,0))</f>
        <v>12.1079025</v>
      </c>
    </row>
    <row r="11" spans="1:5" ht="15.75" customHeight="1">
      <c r="A11" s="64" t="s">
        <v>96</v>
      </c>
      <c r="B11" s="41" t="s">
        <v>607</v>
      </c>
      <c r="C11" s="41" t="s">
        <v>427</v>
      </c>
      <c r="D11" s="42">
        <v>250</v>
      </c>
      <c r="E11" s="65">
        <f>IF(C11="","",IFERROR(VLOOKUP(C11,'ITEM LIST'!B:M,12,0)*D11,0))</f>
        <v>12</v>
      </c>
    </row>
    <row r="12" spans="1:5" ht="15.75" customHeight="1">
      <c r="A12" s="64" t="s">
        <v>96</v>
      </c>
      <c r="B12" s="43" t="s">
        <v>371</v>
      </c>
      <c r="C12" s="43" t="s">
        <v>371</v>
      </c>
      <c r="D12" s="34"/>
      <c r="E12" s="65" t="str">
        <f>IF(C12="","",IFERROR(VLOOKUP(C12,'ITEM LIST'!B:M,12,0)*D12,0))</f>
        <v/>
      </c>
    </row>
    <row r="13" spans="1:5" ht="15.75" customHeight="1">
      <c r="A13" s="64" t="s">
        <v>96</v>
      </c>
      <c r="B13" s="41" t="s">
        <v>608</v>
      </c>
      <c r="C13" s="41" t="s">
        <v>51</v>
      </c>
      <c r="D13" s="42">
        <v>90</v>
      </c>
      <c r="E13" s="65">
        <f>IF(C13="","",IFERROR(VLOOKUP(C13,'ITEM LIST'!B:M,12,0)*D13,0))</f>
        <v>13.622553191489361</v>
      </c>
    </row>
    <row r="14" spans="1:5" ht="15.75" customHeight="1">
      <c r="A14" s="64" t="s">
        <v>96</v>
      </c>
      <c r="B14" s="41" t="s">
        <v>608</v>
      </c>
      <c r="C14" s="41" t="s">
        <v>55</v>
      </c>
      <c r="D14" s="42">
        <v>45</v>
      </c>
      <c r="E14" s="65">
        <f>IF(C14="","",IFERROR(VLOOKUP(C14,'ITEM LIST'!B:M,12,0)*D14,0))</f>
        <v>0.80370000000000008</v>
      </c>
    </row>
    <row r="15" spans="1:5" ht="15.75" customHeight="1">
      <c r="A15" s="64" t="s">
        <v>96</v>
      </c>
      <c r="B15" s="41" t="s">
        <v>608</v>
      </c>
      <c r="C15" s="41" t="s">
        <v>295</v>
      </c>
      <c r="D15" s="42">
        <v>78</v>
      </c>
      <c r="E15" s="65">
        <f>IF(C15="","",IFERROR(VLOOKUP(C15,'ITEM LIST'!B:M,12,0)*D15,0))</f>
        <v>9.6164889599999999</v>
      </c>
    </row>
    <row r="16" spans="1:5" ht="15.75" customHeight="1">
      <c r="A16" s="64" t="s">
        <v>96</v>
      </c>
      <c r="B16" s="41" t="s">
        <v>608</v>
      </c>
      <c r="C16" s="41" t="s">
        <v>660</v>
      </c>
      <c r="D16" s="42">
        <v>30</v>
      </c>
      <c r="E16" s="65">
        <f>IF(C16="","",IFERROR(VLOOKUP(C16,'ITEM LIST'!B:M,12,0)*D16,0))</f>
        <v>4.0289999999999999</v>
      </c>
    </row>
    <row r="17" spans="1:5" ht="15.75" customHeight="1">
      <c r="A17" s="64" t="s">
        <v>96</v>
      </c>
      <c r="B17" s="41" t="s">
        <v>608</v>
      </c>
      <c r="C17" s="41" t="s">
        <v>52</v>
      </c>
      <c r="D17" s="42">
        <v>6</v>
      </c>
      <c r="E17" s="65">
        <f>IF(C17="","",IFERROR(VLOOKUP(C17,'ITEM LIST'!B:M,12,0)*D17,0))</f>
        <v>3.9000000000000004</v>
      </c>
    </row>
    <row r="18" spans="1:5" ht="15.75" customHeight="1">
      <c r="A18" s="64" t="s">
        <v>96</v>
      </c>
      <c r="B18" s="41" t="s">
        <v>608</v>
      </c>
      <c r="C18" s="41" t="s">
        <v>53</v>
      </c>
      <c r="D18" s="42">
        <v>3</v>
      </c>
      <c r="E18" s="65">
        <f>IF(C18="","",IFERROR(VLOOKUP(C18,'ITEM LIST'!B:M,12,0)*D18,0))</f>
        <v>1.7999999999999998</v>
      </c>
    </row>
    <row r="19" spans="1:5" ht="15.75" customHeight="1">
      <c r="A19" s="64" t="s">
        <v>96</v>
      </c>
      <c r="B19" s="41" t="s">
        <v>608</v>
      </c>
      <c r="C19" s="41" t="s">
        <v>114</v>
      </c>
      <c r="D19" s="42">
        <v>5</v>
      </c>
      <c r="E19" s="65">
        <f>IF(C19="","",IFERROR(VLOOKUP(C19,'ITEM LIST'!B:M,12,0)*D19,0))</f>
        <v>0.14000000000000001</v>
      </c>
    </row>
    <row r="20" spans="1:5" ht="15.75" customHeight="1">
      <c r="A20" s="64" t="s">
        <v>96</v>
      </c>
      <c r="B20" s="41" t="s">
        <v>608</v>
      </c>
      <c r="C20" s="41" t="s">
        <v>32</v>
      </c>
      <c r="D20" s="42">
        <v>18</v>
      </c>
      <c r="E20" s="65">
        <f>IF(C20="","",IFERROR(VLOOKUP(C20,'ITEM LIST'!B:M,12,0)*D20,0))</f>
        <v>0.63000000000000012</v>
      </c>
    </row>
    <row r="21" spans="1:5" ht="12.75">
      <c r="A21" s="64" t="s">
        <v>96</v>
      </c>
      <c r="B21" s="41" t="s">
        <v>608</v>
      </c>
      <c r="C21" s="41" t="s">
        <v>54</v>
      </c>
      <c r="D21" s="42">
        <v>10</v>
      </c>
      <c r="E21" s="65">
        <f>IF(C21="","",IFERROR(VLOOKUP(C21,'ITEM LIST'!B:M,12,0)*D21,0))</f>
        <v>1.4000000000000001</v>
      </c>
    </row>
    <row r="22" spans="1:5" ht="12.75">
      <c r="A22" s="64" t="s">
        <v>96</v>
      </c>
      <c r="B22" s="41" t="s">
        <v>608</v>
      </c>
      <c r="C22" s="41" t="s">
        <v>557</v>
      </c>
      <c r="D22" s="42">
        <v>103</v>
      </c>
      <c r="E22" s="65">
        <f>IF(C22="","",IFERROR(VLOOKUP(C22,'ITEM LIST'!B:M,12,0)*D22,0))</f>
        <v>11.978425682866771</v>
      </c>
    </row>
    <row r="23" spans="1:5" ht="12.75">
      <c r="A23" s="64" t="s">
        <v>96</v>
      </c>
      <c r="B23" s="41" t="s">
        <v>608</v>
      </c>
      <c r="C23" s="41" t="s">
        <v>43</v>
      </c>
      <c r="D23" s="42">
        <v>93</v>
      </c>
      <c r="E23" s="65">
        <f>IF(C23="","",IFERROR(VLOOKUP(C23,'ITEM LIST'!B:M,12,0)*D23,0))</f>
        <v>12.1079025</v>
      </c>
    </row>
    <row r="24" spans="1:5" ht="12.75">
      <c r="A24" s="64" t="s">
        <v>96</v>
      </c>
      <c r="B24" s="41" t="s">
        <v>608</v>
      </c>
      <c r="C24" s="41" t="s">
        <v>427</v>
      </c>
      <c r="D24" s="42">
        <v>250</v>
      </c>
      <c r="E24" s="65">
        <f>IF(C24="","",IFERROR(VLOOKUP(C24,'ITEM LIST'!B:M,12,0)*D24,0))</f>
        <v>12</v>
      </c>
    </row>
    <row r="25" spans="1:5" ht="12.75">
      <c r="A25" s="64" t="s">
        <v>96</v>
      </c>
      <c r="B25" s="43" t="s">
        <v>371</v>
      </c>
      <c r="C25" s="43" t="s">
        <v>371</v>
      </c>
      <c r="D25" s="34"/>
      <c r="E25" s="65" t="str">
        <f>IF(C25="","",IFERROR(VLOOKUP(C25,'ITEM LIST'!B:M,12,0)*D25,0))</f>
        <v/>
      </c>
    </row>
    <row r="26" spans="1:5" ht="12.75">
      <c r="A26" s="64" t="s">
        <v>96</v>
      </c>
      <c r="B26" s="41" t="s">
        <v>609</v>
      </c>
      <c r="C26" s="41" t="s">
        <v>55</v>
      </c>
      <c r="D26" s="42">
        <v>91</v>
      </c>
      <c r="E26" s="65">
        <f>IF(C26="","",IFERROR(VLOOKUP(C26,'ITEM LIST'!B:M,12,0)*D26,0))</f>
        <v>1.6252600000000001</v>
      </c>
    </row>
    <row r="27" spans="1:5" ht="12.75">
      <c r="A27" s="64" t="s">
        <v>96</v>
      </c>
      <c r="B27" s="41" t="s">
        <v>609</v>
      </c>
      <c r="C27" s="41" t="s">
        <v>295</v>
      </c>
      <c r="D27" s="42">
        <v>78</v>
      </c>
      <c r="E27" s="65">
        <f>IF(C27="","",IFERROR(VLOOKUP(C27,'ITEM LIST'!B:M,12,0)*D27,0))</f>
        <v>9.6164889599999999</v>
      </c>
    </row>
    <row r="28" spans="1:5" ht="12.75">
      <c r="A28" s="64" t="s">
        <v>96</v>
      </c>
      <c r="B28" s="41" t="s">
        <v>609</v>
      </c>
      <c r="C28" s="43" t="s">
        <v>660</v>
      </c>
      <c r="D28" s="42">
        <v>30</v>
      </c>
      <c r="E28" s="65">
        <f>IF(C28="","",IFERROR(VLOOKUP(C28,'ITEM LIST'!B:M,12,0)*D28,0))</f>
        <v>4.0289999999999999</v>
      </c>
    </row>
    <row r="29" spans="1:5" ht="12.75">
      <c r="A29" s="64" t="s">
        <v>96</v>
      </c>
      <c r="B29" s="41" t="s">
        <v>609</v>
      </c>
      <c r="C29" s="41" t="s">
        <v>52</v>
      </c>
      <c r="D29" s="42">
        <v>6</v>
      </c>
      <c r="E29" s="65">
        <f>IF(C29="","",IFERROR(VLOOKUP(C29,'ITEM LIST'!B:M,12,0)*D29,0))</f>
        <v>3.9000000000000004</v>
      </c>
    </row>
    <row r="30" spans="1:5" ht="12.75">
      <c r="A30" s="64" t="s">
        <v>96</v>
      </c>
      <c r="B30" s="41" t="s">
        <v>609</v>
      </c>
      <c r="C30" s="41" t="s">
        <v>53</v>
      </c>
      <c r="D30" s="42">
        <v>3</v>
      </c>
      <c r="E30" s="65">
        <f>IF(C30="","",IFERROR(VLOOKUP(C30,'ITEM LIST'!B:M,12,0)*D30,0))</f>
        <v>1.7999999999999998</v>
      </c>
    </row>
    <row r="31" spans="1:5" ht="12.75">
      <c r="A31" s="64" t="s">
        <v>96</v>
      </c>
      <c r="B31" s="41" t="s">
        <v>609</v>
      </c>
      <c r="C31" s="41" t="s">
        <v>114</v>
      </c>
      <c r="D31" s="42">
        <v>5</v>
      </c>
      <c r="E31" s="65">
        <f>IF(C31="","",IFERROR(VLOOKUP(C31,'ITEM LIST'!B:M,12,0)*D31,0))</f>
        <v>0.14000000000000001</v>
      </c>
    </row>
    <row r="32" spans="1:5" ht="12.75">
      <c r="A32" s="64" t="s">
        <v>96</v>
      </c>
      <c r="B32" s="41" t="s">
        <v>609</v>
      </c>
      <c r="C32" s="41" t="s">
        <v>32</v>
      </c>
      <c r="D32" s="42">
        <v>18</v>
      </c>
      <c r="E32" s="65">
        <f>IF(C32="","",IFERROR(VLOOKUP(C32,'ITEM LIST'!B:M,12,0)*D32,0))</f>
        <v>0.63000000000000012</v>
      </c>
    </row>
    <row r="33" spans="1:5" ht="12.75">
      <c r="A33" s="64" t="s">
        <v>96</v>
      </c>
      <c r="B33" s="41" t="s">
        <v>609</v>
      </c>
      <c r="C33" s="41" t="s">
        <v>54</v>
      </c>
      <c r="D33" s="42">
        <v>10</v>
      </c>
      <c r="E33" s="65">
        <f>IF(C33="","",IFERROR(VLOOKUP(C33,'ITEM LIST'!B:M,12,0)*D33,0))</f>
        <v>1.4000000000000001</v>
      </c>
    </row>
    <row r="34" spans="1:5" ht="12.75">
      <c r="A34" s="64" t="s">
        <v>96</v>
      </c>
      <c r="B34" s="41" t="s">
        <v>609</v>
      </c>
      <c r="C34" s="41" t="s">
        <v>427</v>
      </c>
      <c r="D34" s="42">
        <v>250</v>
      </c>
      <c r="E34" s="65">
        <f>IF(C34="","",IFERROR(VLOOKUP(C34,'ITEM LIST'!B:M,12,0)*D34,0))</f>
        <v>12</v>
      </c>
    </row>
    <row r="35" spans="1:5" ht="12.75">
      <c r="A35" s="64" t="s">
        <v>96</v>
      </c>
      <c r="B35" s="41" t="s">
        <v>609</v>
      </c>
      <c r="C35" s="41" t="s">
        <v>557</v>
      </c>
      <c r="D35" s="42">
        <v>118</v>
      </c>
      <c r="E35" s="65">
        <f>IF(C35="","",IFERROR(VLOOKUP(C35,'ITEM LIST'!B:M,12,0)*D35,0))</f>
        <v>13.722856607556107</v>
      </c>
    </row>
    <row r="36" spans="1:5" ht="12.75">
      <c r="A36" s="64" t="s">
        <v>96</v>
      </c>
      <c r="B36" s="41" t="s">
        <v>609</v>
      </c>
      <c r="C36" s="41" t="s">
        <v>43</v>
      </c>
      <c r="D36" s="42">
        <v>30</v>
      </c>
      <c r="E36" s="65">
        <f>IF(C36="","",IFERROR(VLOOKUP(C36,'ITEM LIST'!B:M,12,0)*D36,0))</f>
        <v>3.9057749999999998</v>
      </c>
    </row>
    <row r="37" spans="1:5" ht="12.75">
      <c r="A37" s="64" t="s">
        <v>96</v>
      </c>
      <c r="B37" s="43" t="s">
        <v>371</v>
      </c>
      <c r="C37" s="43" t="s">
        <v>371</v>
      </c>
      <c r="D37" s="34"/>
      <c r="E37" s="65" t="str">
        <f>IF(C37="","",IFERROR(VLOOKUP(C37,'ITEM LIST'!B:M,12,0)*D37,0))</f>
        <v/>
      </c>
    </row>
    <row r="38" spans="1:5" ht="12.75">
      <c r="A38" s="64" t="s">
        <v>96</v>
      </c>
      <c r="B38" s="41" t="s">
        <v>97</v>
      </c>
      <c r="C38" s="41" t="s">
        <v>668</v>
      </c>
      <c r="D38" s="42">
        <v>2</v>
      </c>
      <c r="E38" s="65">
        <f>IF(C38="","",IFERROR(VLOOKUP(C38,'ITEM LIST'!B:M,12,0)*D38,0))</f>
        <v>27.553000000000001</v>
      </c>
    </row>
    <row r="39" spans="1:5" ht="12.75">
      <c r="A39" s="64" t="s">
        <v>96</v>
      </c>
      <c r="B39" s="41" t="s">
        <v>97</v>
      </c>
      <c r="C39" s="41" t="s">
        <v>557</v>
      </c>
      <c r="D39" s="42">
        <v>103</v>
      </c>
      <c r="E39" s="65">
        <f>IF(C39="","",IFERROR(VLOOKUP(C39,'ITEM LIST'!B:M,12,0)*D39,0))</f>
        <v>11.978425682866771</v>
      </c>
    </row>
    <row r="40" spans="1:5" ht="12.75">
      <c r="A40" s="64" t="s">
        <v>96</v>
      </c>
      <c r="B40" s="41" t="s">
        <v>97</v>
      </c>
      <c r="C40" s="41" t="s">
        <v>43</v>
      </c>
      <c r="D40" s="42">
        <v>93</v>
      </c>
      <c r="E40" s="65">
        <f>IF(C40="","",IFERROR(VLOOKUP(C40,'ITEM LIST'!B:M,12,0)*D40,0))</f>
        <v>12.1079025</v>
      </c>
    </row>
    <row r="41" spans="1:5" ht="12.75">
      <c r="A41" s="64" t="s">
        <v>96</v>
      </c>
      <c r="B41" s="41" t="s">
        <v>97</v>
      </c>
      <c r="C41" s="41" t="s">
        <v>44</v>
      </c>
      <c r="D41" s="42">
        <v>25</v>
      </c>
      <c r="E41" s="65">
        <f>IF(C41="","",IFERROR(VLOOKUP(C41,'ITEM LIST'!B:M,12,0)*D41,0))</f>
        <v>0.625</v>
      </c>
    </row>
    <row r="42" spans="1:5" ht="12.75">
      <c r="A42" s="64" t="s">
        <v>96</v>
      </c>
      <c r="B42" s="41" t="s">
        <v>97</v>
      </c>
      <c r="C42" s="41" t="s">
        <v>52</v>
      </c>
      <c r="D42" s="42">
        <v>6</v>
      </c>
      <c r="E42" s="65">
        <f>IF(C42="","",IFERROR(VLOOKUP(C42,'ITEM LIST'!B:M,12,0)*D42,0))</f>
        <v>3.9000000000000004</v>
      </c>
    </row>
    <row r="43" spans="1:5" ht="12.75">
      <c r="A43" s="64" t="s">
        <v>96</v>
      </c>
      <c r="B43" s="41" t="s">
        <v>97</v>
      </c>
      <c r="C43" s="41" t="s">
        <v>114</v>
      </c>
      <c r="D43" s="42">
        <v>5</v>
      </c>
      <c r="E43" s="65">
        <f>IF(C43="","",IFERROR(VLOOKUP(C43,'ITEM LIST'!B:M,12,0)*D43,0))</f>
        <v>0.14000000000000001</v>
      </c>
    </row>
    <row r="44" spans="1:5" ht="12.75">
      <c r="A44" s="64" t="s">
        <v>96</v>
      </c>
      <c r="B44" s="43" t="s">
        <v>371</v>
      </c>
      <c r="C44" s="41" t="s">
        <v>371</v>
      </c>
      <c r="D44" s="34"/>
      <c r="E44" s="65" t="str">
        <f>IF(C44="","",IFERROR(VLOOKUP(C44,'ITEM LIST'!B:M,12,0)*D44,0))</f>
        <v/>
      </c>
    </row>
    <row r="45" spans="1:5" ht="12.75">
      <c r="A45" s="64" t="s">
        <v>96</v>
      </c>
      <c r="B45" s="41" t="s">
        <v>610</v>
      </c>
      <c r="C45" s="41" t="s">
        <v>668</v>
      </c>
      <c r="D45" s="42">
        <v>2</v>
      </c>
      <c r="E45" s="65">
        <f>IF(C45="","",IFERROR(VLOOKUP(C45,'ITEM LIST'!B:M,12,0)*D45,0))</f>
        <v>27.553000000000001</v>
      </c>
    </row>
    <row r="46" spans="1:5" ht="12.75">
      <c r="A46" s="64" t="s">
        <v>96</v>
      </c>
      <c r="B46" s="41" t="s">
        <v>610</v>
      </c>
      <c r="C46" s="41" t="s">
        <v>557</v>
      </c>
      <c r="D46" s="42">
        <v>103</v>
      </c>
      <c r="E46" s="65">
        <f>IF(C46="","",IFERROR(VLOOKUP(C46,'ITEM LIST'!B:M,12,0)*D46,0))</f>
        <v>11.978425682866771</v>
      </c>
    </row>
    <row r="47" spans="1:5" ht="12.75">
      <c r="A47" s="64" t="s">
        <v>96</v>
      </c>
      <c r="B47" s="41" t="s">
        <v>610</v>
      </c>
      <c r="C47" s="41" t="s">
        <v>43</v>
      </c>
      <c r="D47" s="42">
        <v>93</v>
      </c>
      <c r="E47" s="65">
        <f>IF(C47="","",IFERROR(VLOOKUP(C47,'ITEM LIST'!B:M,12,0)*D47,0))</f>
        <v>12.1079025</v>
      </c>
    </row>
    <row r="48" spans="1:5" ht="12.75">
      <c r="A48" s="64" t="s">
        <v>96</v>
      </c>
      <c r="B48" s="41" t="s">
        <v>610</v>
      </c>
      <c r="C48" s="41" t="s">
        <v>44</v>
      </c>
      <c r="D48" s="42">
        <v>25</v>
      </c>
      <c r="E48" s="65">
        <f>IF(C48="","",IFERROR(VLOOKUP(C48,'ITEM LIST'!B:M,12,0)*D48,0))</f>
        <v>0.625</v>
      </c>
    </row>
    <row r="49" spans="1:5" ht="12.75">
      <c r="A49" s="64" t="s">
        <v>96</v>
      </c>
      <c r="B49" s="41" t="s">
        <v>610</v>
      </c>
      <c r="C49" s="41" t="s">
        <v>52</v>
      </c>
      <c r="D49" s="42">
        <v>6</v>
      </c>
      <c r="E49" s="65">
        <f>IF(C49="","",IFERROR(VLOOKUP(C49,'ITEM LIST'!B:M,12,0)*D49,0))</f>
        <v>3.9000000000000004</v>
      </c>
    </row>
    <row r="50" spans="1:5" ht="12.75">
      <c r="A50" s="64" t="s">
        <v>96</v>
      </c>
      <c r="B50" s="41" t="s">
        <v>610</v>
      </c>
      <c r="C50" s="41" t="s">
        <v>114</v>
      </c>
      <c r="D50" s="42">
        <v>5</v>
      </c>
      <c r="E50" s="65">
        <f>IF(C50="","",IFERROR(VLOOKUP(C50,'ITEM LIST'!B:M,12,0)*D50,0))</f>
        <v>0.14000000000000001</v>
      </c>
    </row>
    <row r="51" spans="1:5" ht="12.75">
      <c r="A51" s="64" t="s">
        <v>96</v>
      </c>
      <c r="B51" s="41" t="s">
        <v>610</v>
      </c>
      <c r="C51" s="41" t="s">
        <v>427</v>
      </c>
      <c r="D51" s="42">
        <v>109</v>
      </c>
      <c r="E51" s="65">
        <f>IF(C51="","",IFERROR(VLOOKUP(C51,'ITEM LIST'!B:M,12,0)*D51,0))</f>
        <v>5.2320000000000002</v>
      </c>
    </row>
    <row r="52" spans="1:5" ht="12.75">
      <c r="A52" s="64" t="s">
        <v>96</v>
      </c>
      <c r="B52" s="43" t="s">
        <v>371</v>
      </c>
      <c r="C52" s="41" t="s">
        <v>371</v>
      </c>
      <c r="D52" s="34"/>
      <c r="E52" s="65" t="str">
        <f>IF(C52="","",IFERROR(VLOOKUP(C52,'ITEM LIST'!B:M,12,0)*D52,0))</f>
        <v/>
      </c>
    </row>
    <row r="53" spans="1:5" ht="12.75">
      <c r="A53" s="64" t="s">
        <v>96</v>
      </c>
      <c r="B53" s="41" t="s">
        <v>611</v>
      </c>
      <c r="C53" s="41" t="s">
        <v>668</v>
      </c>
      <c r="D53" s="42">
        <v>2</v>
      </c>
      <c r="E53" s="65">
        <f>IF(C53="","",IFERROR(VLOOKUP(C53,'ITEM LIST'!B:M,12,0)*D53,0))</f>
        <v>27.553000000000001</v>
      </c>
    </row>
    <row r="54" spans="1:5" ht="12.75">
      <c r="A54" s="64" t="s">
        <v>96</v>
      </c>
      <c r="B54" s="41" t="s">
        <v>611</v>
      </c>
      <c r="C54" s="41" t="s">
        <v>557</v>
      </c>
      <c r="D54" s="42">
        <v>103</v>
      </c>
      <c r="E54" s="65">
        <f>IF(C54="","",IFERROR(VLOOKUP(C54,'ITEM LIST'!B:M,12,0)*D54,0))</f>
        <v>11.978425682866771</v>
      </c>
    </row>
    <row r="55" spans="1:5" ht="12.75">
      <c r="A55" s="64" t="s">
        <v>96</v>
      </c>
      <c r="B55" s="41" t="s">
        <v>611</v>
      </c>
      <c r="C55" s="41" t="s">
        <v>43</v>
      </c>
      <c r="D55" s="42">
        <v>93</v>
      </c>
      <c r="E55" s="65">
        <f>IF(C55="","",IFERROR(VLOOKUP(C55,'ITEM LIST'!B:M,12,0)*D55,0))</f>
        <v>12.1079025</v>
      </c>
    </row>
    <row r="56" spans="1:5" ht="12.75">
      <c r="A56" s="64" t="s">
        <v>96</v>
      </c>
      <c r="B56" s="41" t="s">
        <v>611</v>
      </c>
      <c r="C56" s="41" t="s">
        <v>44</v>
      </c>
      <c r="D56" s="42">
        <v>25</v>
      </c>
      <c r="E56" s="65">
        <f>IF(C56="","",IFERROR(VLOOKUP(C56,'ITEM LIST'!B:M,12,0)*D56,0))</f>
        <v>0.625</v>
      </c>
    </row>
    <row r="57" spans="1:5" ht="12.75">
      <c r="A57" s="64" t="s">
        <v>96</v>
      </c>
      <c r="B57" s="41" t="s">
        <v>611</v>
      </c>
      <c r="C57" s="41" t="s">
        <v>52</v>
      </c>
      <c r="D57" s="42">
        <v>6</v>
      </c>
      <c r="E57" s="65">
        <f>IF(C57="","",IFERROR(VLOOKUP(C57,'ITEM LIST'!B:M,12,0)*D57,0))</f>
        <v>3.9000000000000004</v>
      </c>
    </row>
    <row r="58" spans="1:5" ht="12.75">
      <c r="A58" s="64" t="s">
        <v>96</v>
      </c>
      <c r="B58" s="41" t="s">
        <v>611</v>
      </c>
      <c r="C58" s="41" t="s">
        <v>114</v>
      </c>
      <c r="D58" s="42">
        <v>5</v>
      </c>
      <c r="E58" s="65">
        <f>IF(C58="","",IFERROR(VLOOKUP(C58,'ITEM LIST'!B:M,12,0)*D58,0))</f>
        <v>0.14000000000000001</v>
      </c>
    </row>
    <row r="59" spans="1:5" ht="12.75">
      <c r="A59" s="64" t="s">
        <v>96</v>
      </c>
      <c r="B59" s="41" t="s">
        <v>611</v>
      </c>
      <c r="C59" s="41" t="s">
        <v>295</v>
      </c>
      <c r="D59" s="42">
        <v>115</v>
      </c>
      <c r="E59" s="65">
        <f>IF(C59="","",IFERROR(VLOOKUP(C59,'ITEM LIST'!B:M,12,0)*D59,0))</f>
        <v>14.1781568</v>
      </c>
    </row>
    <row r="60" spans="1:5" ht="12.75">
      <c r="A60" s="64" t="s">
        <v>96</v>
      </c>
      <c r="B60" s="43" t="s">
        <v>371</v>
      </c>
      <c r="C60" s="43" t="s">
        <v>371</v>
      </c>
      <c r="D60" s="34"/>
      <c r="E60" s="65" t="str">
        <f>IF(C60="","",IFERROR(VLOOKUP(C60,'ITEM LIST'!B:M,12,0)*D60,0))</f>
        <v/>
      </c>
    </row>
    <row r="61" spans="1:5" ht="12.75">
      <c r="A61" s="64" t="s">
        <v>96</v>
      </c>
      <c r="B61" s="41" t="s">
        <v>612</v>
      </c>
      <c r="C61" s="41" t="s">
        <v>57</v>
      </c>
      <c r="D61" s="42">
        <v>6</v>
      </c>
      <c r="E61" s="65">
        <f>IF(C61="","",IFERROR(VLOOKUP(C61,'ITEM LIST'!B:M,12,0)*D61,0))</f>
        <v>3.84</v>
      </c>
    </row>
    <row r="62" spans="1:5" ht="12.75">
      <c r="A62" s="64" t="s">
        <v>96</v>
      </c>
      <c r="B62" s="41" t="s">
        <v>612</v>
      </c>
      <c r="C62" s="41" t="s">
        <v>10</v>
      </c>
      <c r="D62" s="42">
        <v>8</v>
      </c>
      <c r="E62" s="65">
        <f>IF(C62="","",IFERROR(VLOOKUP(C62,'ITEM LIST'!B:M,12,0)*D62,0))</f>
        <v>0.14399999999999999</v>
      </c>
    </row>
    <row r="63" spans="1:5" ht="12.75">
      <c r="A63" s="64" t="s">
        <v>96</v>
      </c>
      <c r="B63" s="41" t="s">
        <v>612</v>
      </c>
      <c r="C63" s="41" t="s">
        <v>558</v>
      </c>
      <c r="D63" s="42">
        <v>20</v>
      </c>
      <c r="E63" s="65">
        <f>IF(C63="","",IFERROR(VLOOKUP(C63,'ITEM LIST'!B:M,12,0)*D63,0))</f>
        <v>0</v>
      </c>
    </row>
    <row r="64" spans="1:5" ht="12.75">
      <c r="A64" s="64" t="s">
        <v>96</v>
      </c>
      <c r="B64" s="43" t="s">
        <v>371</v>
      </c>
      <c r="C64" s="43" t="s">
        <v>371</v>
      </c>
      <c r="D64" s="34"/>
      <c r="E64" s="65" t="str">
        <f>IF(C64="","",IFERROR(VLOOKUP(C64,'ITEM LIST'!B:M,12,0)*D64,0))</f>
        <v/>
      </c>
    </row>
    <row r="65" spans="1:5" ht="12.75">
      <c r="A65" s="64" t="s">
        <v>96</v>
      </c>
      <c r="B65" s="41" t="s">
        <v>98</v>
      </c>
      <c r="C65" s="41" t="s">
        <v>57</v>
      </c>
      <c r="D65" s="44">
        <v>6</v>
      </c>
      <c r="E65" s="65">
        <f>IF(C65="","",IFERROR(VLOOKUP(C65,'ITEM LIST'!B:M,12,0)*D65,0))</f>
        <v>3.84</v>
      </c>
    </row>
    <row r="66" spans="1:5" ht="12.75">
      <c r="A66" s="64" t="s">
        <v>96</v>
      </c>
      <c r="B66" s="41" t="s">
        <v>98</v>
      </c>
      <c r="C66" s="41" t="s">
        <v>58</v>
      </c>
      <c r="D66" s="42">
        <v>31</v>
      </c>
      <c r="E66" s="65">
        <f>IF(C66="","",IFERROR(VLOOKUP(C66,'ITEM LIST'!B:M,12,0)*D66,0))</f>
        <v>0</v>
      </c>
    </row>
    <row r="67" spans="1:5" ht="12.75">
      <c r="A67" s="64" t="s">
        <v>96</v>
      </c>
      <c r="B67" s="41" t="s">
        <v>98</v>
      </c>
      <c r="C67" s="41" t="s">
        <v>427</v>
      </c>
      <c r="D67" s="42">
        <v>350</v>
      </c>
      <c r="E67" s="65">
        <f>IF(C67="","",IFERROR(VLOOKUP(C67,'ITEM LIST'!B:M,12,0)*D67,0))</f>
        <v>16.8</v>
      </c>
    </row>
    <row r="68" spans="1:5" ht="12.75">
      <c r="A68" s="64" t="s">
        <v>96</v>
      </c>
      <c r="B68" s="41" t="s">
        <v>98</v>
      </c>
      <c r="C68" s="41" t="s">
        <v>52</v>
      </c>
      <c r="D68" s="42">
        <v>6</v>
      </c>
      <c r="E68" s="65">
        <f>IF(C68="","",IFERROR(VLOOKUP(C68,'ITEM LIST'!B:M,12,0)*D68,0))</f>
        <v>3.9000000000000004</v>
      </c>
    </row>
    <row r="69" spans="1:5" ht="12.75">
      <c r="A69" s="64" t="s">
        <v>96</v>
      </c>
      <c r="B69" s="41" t="s">
        <v>98</v>
      </c>
      <c r="C69" s="41" t="s">
        <v>53</v>
      </c>
      <c r="D69" s="42">
        <v>3</v>
      </c>
      <c r="E69" s="65">
        <f>IF(C69="","",IFERROR(VLOOKUP(C69,'ITEM LIST'!B:M,12,0)*D69,0))</f>
        <v>1.7999999999999998</v>
      </c>
    </row>
    <row r="70" spans="1:5" ht="12.75">
      <c r="A70" s="64" t="s">
        <v>96</v>
      </c>
      <c r="B70" s="41" t="s">
        <v>98</v>
      </c>
      <c r="C70" s="41" t="s">
        <v>114</v>
      </c>
      <c r="D70" s="42">
        <v>5</v>
      </c>
      <c r="E70" s="65">
        <f>IF(C70="","",IFERROR(VLOOKUP(C70,'ITEM LIST'!B:M,12,0)*D70,0))</f>
        <v>0.14000000000000001</v>
      </c>
    </row>
    <row r="71" spans="1:5" ht="12.75">
      <c r="A71" s="64" t="s">
        <v>96</v>
      </c>
      <c r="B71" s="41" t="s">
        <v>98</v>
      </c>
      <c r="C71" s="41" t="s">
        <v>32</v>
      </c>
      <c r="D71" s="42">
        <v>18</v>
      </c>
      <c r="E71" s="65">
        <f>IF(C71="","",IFERROR(VLOOKUP(C71,'ITEM LIST'!B:M,12,0)*D71,0))</f>
        <v>0.63000000000000012</v>
      </c>
    </row>
    <row r="72" spans="1:5" ht="12.75">
      <c r="A72" s="64" t="s">
        <v>96</v>
      </c>
      <c r="B72" s="41" t="s">
        <v>98</v>
      </c>
      <c r="C72" s="41" t="s">
        <v>54</v>
      </c>
      <c r="D72" s="42">
        <v>10</v>
      </c>
      <c r="E72" s="65">
        <f>IF(C72="","",IFERROR(VLOOKUP(C72,'ITEM LIST'!B:M,12,0)*D72,0))</f>
        <v>1.4000000000000001</v>
      </c>
    </row>
    <row r="73" spans="1:5" ht="12.75">
      <c r="A73" s="64" t="s">
        <v>96</v>
      </c>
      <c r="B73" s="41" t="s">
        <v>98</v>
      </c>
      <c r="C73" s="41" t="s">
        <v>557</v>
      </c>
      <c r="D73" s="42">
        <v>118</v>
      </c>
      <c r="E73" s="65">
        <f>IF(C73="","",IFERROR(VLOOKUP(C73,'ITEM LIST'!B:M,12,0)*D73,0))</f>
        <v>13.722856607556107</v>
      </c>
    </row>
    <row r="74" spans="1:5" ht="12.75">
      <c r="A74" s="64" t="s">
        <v>96</v>
      </c>
      <c r="B74" s="41" t="s">
        <v>98</v>
      </c>
      <c r="C74" s="41" t="s">
        <v>43</v>
      </c>
      <c r="D74" s="42">
        <v>30</v>
      </c>
      <c r="E74" s="65">
        <f>IF(C74="","",IFERROR(VLOOKUP(C74,'ITEM LIST'!B:M,12,0)*D74,0))</f>
        <v>3.9057749999999998</v>
      </c>
    </row>
    <row r="75" spans="1:5" ht="12.75">
      <c r="A75" s="64" t="s">
        <v>96</v>
      </c>
      <c r="B75" s="43" t="s">
        <v>371</v>
      </c>
      <c r="C75" s="43" t="s">
        <v>371</v>
      </c>
      <c r="D75" s="34"/>
      <c r="E75" s="65" t="str">
        <f>IF(C75="","",IFERROR(VLOOKUP(C75,'ITEM LIST'!B:M,12,0)*D75,0))</f>
        <v/>
      </c>
    </row>
    <row r="76" spans="1:5" ht="12.75">
      <c r="A76" s="64" t="s">
        <v>96</v>
      </c>
      <c r="B76" s="41" t="s">
        <v>99</v>
      </c>
      <c r="C76" s="41" t="s">
        <v>676</v>
      </c>
      <c r="D76" s="42">
        <v>1</v>
      </c>
      <c r="E76" s="65">
        <f>IF(C76="","",IFERROR(VLOOKUP(C76,'ITEM LIST'!B:M,12,0)*D76,0))</f>
        <v>0.76</v>
      </c>
    </row>
    <row r="77" spans="1:5" ht="12.75">
      <c r="A77" s="64" t="s">
        <v>96</v>
      </c>
      <c r="B77" s="41" t="s">
        <v>99</v>
      </c>
      <c r="C77" s="41" t="s">
        <v>55</v>
      </c>
      <c r="D77" s="42">
        <v>10</v>
      </c>
      <c r="E77" s="65">
        <f>IF(C77="","",IFERROR(VLOOKUP(C77,'ITEM LIST'!B:M,12,0)*D77,0))</f>
        <v>0.17860000000000001</v>
      </c>
    </row>
    <row r="78" spans="1:5" ht="12.75">
      <c r="A78" s="64" t="s">
        <v>96</v>
      </c>
      <c r="B78" s="41" t="s">
        <v>99</v>
      </c>
      <c r="C78" s="41" t="s">
        <v>52</v>
      </c>
      <c r="D78" s="42">
        <v>6</v>
      </c>
      <c r="E78" s="65">
        <f>IF(C78="","",IFERROR(VLOOKUP(C78,'ITEM LIST'!B:M,12,0)*D78,0))</f>
        <v>3.9000000000000004</v>
      </c>
    </row>
    <row r="79" spans="1:5" ht="12.75">
      <c r="A79" s="64" t="s">
        <v>96</v>
      </c>
      <c r="B79" s="41" t="s">
        <v>99</v>
      </c>
      <c r="C79" s="41" t="s">
        <v>53</v>
      </c>
      <c r="D79" s="42">
        <v>3</v>
      </c>
      <c r="E79" s="65">
        <f>IF(C79="","",IFERROR(VLOOKUP(C79,'ITEM LIST'!B:M,12,0)*D79,0))</f>
        <v>1.7999999999999998</v>
      </c>
    </row>
    <row r="80" spans="1:5" ht="12.75">
      <c r="A80" s="64" t="s">
        <v>96</v>
      </c>
      <c r="B80" s="41" t="s">
        <v>99</v>
      </c>
      <c r="C80" s="41" t="s">
        <v>114</v>
      </c>
      <c r="D80" s="42">
        <v>5</v>
      </c>
      <c r="E80" s="65">
        <f>IF(C80="","",IFERROR(VLOOKUP(C80,'ITEM LIST'!B:M,12,0)*D80,0))</f>
        <v>0.14000000000000001</v>
      </c>
    </row>
    <row r="81" spans="1:5" ht="12.75">
      <c r="A81" s="64" t="s">
        <v>96</v>
      </c>
      <c r="B81" s="41" t="s">
        <v>99</v>
      </c>
      <c r="C81" s="41" t="s">
        <v>32</v>
      </c>
      <c r="D81" s="42">
        <v>18</v>
      </c>
      <c r="E81" s="65">
        <f>IF(C81="","",IFERROR(VLOOKUP(C81,'ITEM LIST'!B:M,12,0)*D81,0))</f>
        <v>0.63000000000000012</v>
      </c>
    </row>
    <row r="82" spans="1:5" ht="12.75">
      <c r="A82" s="64" t="s">
        <v>96</v>
      </c>
      <c r="B82" s="41" t="s">
        <v>99</v>
      </c>
      <c r="C82" s="41" t="s">
        <v>54</v>
      </c>
      <c r="D82" s="42">
        <v>16</v>
      </c>
      <c r="E82" s="65">
        <f>IF(C82="","",IFERROR(VLOOKUP(C82,'ITEM LIST'!B:M,12,0)*D82,0))</f>
        <v>2.2400000000000002</v>
      </c>
    </row>
    <row r="83" spans="1:5" ht="12.75">
      <c r="A83" s="64" t="s">
        <v>96</v>
      </c>
      <c r="B83" s="41" t="s">
        <v>99</v>
      </c>
      <c r="C83" s="41" t="s">
        <v>427</v>
      </c>
      <c r="D83" s="42">
        <v>350</v>
      </c>
      <c r="E83" s="65">
        <f>IF(C83="","",IFERROR(VLOOKUP(C83,'ITEM LIST'!B:M,12,0)*D83,0))</f>
        <v>16.8</v>
      </c>
    </row>
    <row r="84" spans="1:5" ht="12.75">
      <c r="A84" s="64" t="s">
        <v>96</v>
      </c>
      <c r="B84" s="41" t="s">
        <v>99</v>
      </c>
      <c r="C84" s="41" t="s">
        <v>58</v>
      </c>
      <c r="D84" s="42">
        <v>68</v>
      </c>
      <c r="E84" s="65">
        <f>IF(C84="","",IFERROR(VLOOKUP(C84,'ITEM LIST'!B:M,12,0)*D84,0))</f>
        <v>0</v>
      </c>
    </row>
    <row r="85" spans="1:5" ht="12.75">
      <c r="A85" s="64" t="s">
        <v>96</v>
      </c>
      <c r="B85" s="41" t="s">
        <v>99</v>
      </c>
      <c r="C85" s="41" t="s">
        <v>557</v>
      </c>
      <c r="D85" s="42">
        <v>118</v>
      </c>
      <c r="E85" s="65">
        <f>IF(C85="","",IFERROR(VLOOKUP(C85,'ITEM LIST'!B:M,12,0)*D85,0))</f>
        <v>13.722856607556107</v>
      </c>
    </row>
    <row r="86" spans="1:5" ht="12.75">
      <c r="A86" s="64" t="s">
        <v>96</v>
      </c>
      <c r="B86" s="41" t="s">
        <v>99</v>
      </c>
      <c r="C86" s="41" t="s">
        <v>43</v>
      </c>
      <c r="D86" s="42">
        <v>30</v>
      </c>
      <c r="E86" s="65">
        <f>IF(C86="","",IFERROR(VLOOKUP(C86,'ITEM LIST'!B:M,12,0)*D86,0))</f>
        <v>3.9057749999999998</v>
      </c>
    </row>
    <row r="87" spans="1:5" ht="12.75">
      <c r="A87" s="64" t="s">
        <v>96</v>
      </c>
      <c r="B87" s="41" t="s">
        <v>99</v>
      </c>
      <c r="C87" s="41" t="s">
        <v>288</v>
      </c>
      <c r="D87" s="42">
        <v>1</v>
      </c>
      <c r="E87" s="65">
        <f>IF(C87="","",IFERROR(VLOOKUP(C87,'ITEM LIST'!B:M,12,0)*D87,0))</f>
        <v>0.1399</v>
      </c>
    </row>
    <row r="88" spans="1:5" ht="12.75">
      <c r="A88" s="64" t="s">
        <v>96</v>
      </c>
      <c r="B88" s="41"/>
      <c r="C88" s="41"/>
      <c r="D88" s="42"/>
      <c r="E88" s="65" t="str">
        <f>IF(C88="","",IFERROR(VLOOKUP(C88,'ITEM LIST'!B:M,12,0)*D88,0))</f>
        <v/>
      </c>
    </row>
    <row r="89" spans="1:5" ht="12.75">
      <c r="A89" s="64" t="s">
        <v>96</v>
      </c>
      <c r="B89" s="41"/>
      <c r="C89" s="41"/>
      <c r="D89" s="42"/>
      <c r="E89" s="65" t="str">
        <f>IF(C89="","",IFERROR(VLOOKUP(C89,'ITEM LIST'!B:M,12,0)*D89,0))</f>
        <v/>
      </c>
    </row>
    <row r="90" spans="1:5" ht="12.75">
      <c r="A90" s="64" t="s">
        <v>96</v>
      </c>
      <c r="B90" s="41"/>
      <c r="C90" s="41"/>
      <c r="D90" s="42"/>
      <c r="E90" s="65" t="str">
        <f>IF(C90="","",IFERROR(VLOOKUP(C90,'ITEM LIST'!B:M,12,0)*D90,0))</f>
        <v/>
      </c>
    </row>
    <row r="91" spans="1:5" ht="12.75">
      <c r="A91" s="64" t="s">
        <v>96</v>
      </c>
      <c r="B91" s="41" t="s">
        <v>613</v>
      </c>
      <c r="C91" s="41" t="s">
        <v>557</v>
      </c>
      <c r="D91" s="42">
        <v>118</v>
      </c>
      <c r="E91" s="65">
        <f>IF(C91="","",IFERROR(VLOOKUP(C91,'ITEM LIST'!B:M,12,0)*D91,0))</f>
        <v>13.722856607556107</v>
      </c>
    </row>
    <row r="92" spans="1:5" ht="12.75">
      <c r="A92" s="64" t="s">
        <v>96</v>
      </c>
      <c r="B92" s="41" t="s">
        <v>613</v>
      </c>
      <c r="C92" s="41" t="s">
        <v>43</v>
      </c>
      <c r="D92" s="42">
        <v>30</v>
      </c>
      <c r="E92" s="65">
        <f>IF(C92="","",IFERROR(VLOOKUP(C92,'ITEM LIST'!B:M,12,0)*D92,0))</f>
        <v>3.9057749999999998</v>
      </c>
    </row>
    <row r="93" spans="1:5" ht="12.75">
      <c r="A93" s="64" t="s">
        <v>96</v>
      </c>
      <c r="B93" s="41" t="s">
        <v>613</v>
      </c>
      <c r="C93" s="41" t="s">
        <v>561</v>
      </c>
      <c r="D93" s="42">
        <v>190</v>
      </c>
      <c r="E93" s="65">
        <f>IF(C93="","",IFERROR(VLOOKUP(C93,'ITEM LIST'!B:M,12,0)*D93,0))</f>
        <v>12.315368700000004</v>
      </c>
    </row>
    <row r="94" spans="1:5" ht="12.75">
      <c r="A94" s="64" t="s">
        <v>96</v>
      </c>
      <c r="B94" s="41" t="s">
        <v>613</v>
      </c>
      <c r="C94" s="43" t="s">
        <v>52</v>
      </c>
      <c r="D94" s="42">
        <v>6</v>
      </c>
      <c r="E94" s="65">
        <f>IF(C94="","",IFERROR(VLOOKUP(C94,'ITEM LIST'!B:M,12,0)*D94,0))</f>
        <v>3.9000000000000004</v>
      </c>
    </row>
    <row r="95" spans="1:5" ht="12.75">
      <c r="A95" s="64" t="s">
        <v>96</v>
      </c>
      <c r="B95" s="41" t="s">
        <v>613</v>
      </c>
      <c r="C95" s="41" t="s">
        <v>53</v>
      </c>
      <c r="D95" s="42">
        <v>3</v>
      </c>
      <c r="E95" s="65">
        <f>IF(C95="","",IFERROR(VLOOKUP(C95,'ITEM LIST'!B:M,12,0)*D95,0))</f>
        <v>1.7999999999999998</v>
      </c>
    </row>
    <row r="96" spans="1:5" ht="12.75">
      <c r="A96" s="64" t="s">
        <v>96</v>
      </c>
      <c r="B96" s="41" t="s">
        <v>613</v>
      </c>
      <c r="C96" s="41" t="s">
        <v>114</v>
      </c>
      <c r="D96" s="42">
        <v>5</v>
      </c>
      <c r="E96" s="65">
        <f>IF(C96="","",IFERROR(VLOOKUP(C96,'ITEM LIST'!B:M,12,0)*D96,0))</f>
        <v>0.14000000000000001</v>
      </c>
    </row>
    <row r="97" spans="1:5" ht="12.75">
      <c r="A97" s="64" t="s">
        <v>96</v>
      </c>
      <c r="B97" s="41" t="s">
        <v>613</v>
      </c>
      <c r="C97" s="41" t="s">
        <v>32</v>
      </c>
      <c r="D97" s="42">
        <v>18</v>
      </c>
      <c r="E97" s="65">
        <f>IF(C97="","",IFERROR(VLOOKUP(C97,'ITEM LIST'!B:M,12,0)*D97,0))</f>
        <v>0.63000000000000012</v>
      </c>
    </row>
    <row r="98" spans="1:5" ht="12.75">
      <c r="A98" s="64" t="s">
        <v>96</v>
      </c>
      <c r="B98" s="41" t="s">
        <v>613</v>
      </c>
      <c r="C98" s="41" t="s">
        <v>54</v>
      </c>
      <c r="D98" s="42">
        <v>10</v>
      </c>
      <c r="E98" s="65">
        <f>IF(C98="","",IFERROR(VLOOKUP(C98,'ITEM LIST'!B:M,12,0)*D98,0))</f>
        <v>1.4000000000000001</v>
      </c>
    </row>
    <row r="99" spans="1:5" ht="12.75">
      <c r="A99" s="69" t="s">
        <v>96</v>
      </c>
      <c r="B99" s="56" t="s">
        <v>613</v>
      </c>
      <c r="C99" s="56" t="s">
        <v>427</v>
      </c>
      <c r="D99" s="57">
        <v>250</v>
      </c>
      <c r="E99" s="70">
        <f>IF(C99="","",IFERROR(VLOOKUP(C99,'ITEM LIST'!B:M,12,0)*D99,0))</f>
        <v>12</v>
      </c>
    </row>
    <row r="100" spans="1:5" ht="12.75">
      <c r="A100" s="1"/>
      <c r="B100" s="1"/>
      <c r="C100" s="1"/>
      <c r="D100" s="5"/>
      <c r="E100" s="6"/>
    </row>
    <row r="101" spans="1:5" ht="12.75">
      <c r="A101" s="1"/>
      <c r="B101" s="1"/>
      <c r="C101" s="1"/>
      <c r="D101" s="5"/>
      <c r="E101" s="6"/>
    </row>
    <row r="102" spans="1:5" ht="12.75">
      <c r="A102" s="1"/>
      <c r="B102" s="1"/>
      <c r="C102" s="1"/>
      <c r="D102" s="5"/>
      <c r="E102" s="6"/>
    </row>
    <row r="103" spans="1:5" ht="12.75">
      <c r="A103" s="1"/>
      <c r="B103" s="1"/>
      <c r="C103" s="1"/>
      <c r="D103" s="5"/>
      <c r="E103" s="6"/>
    </row>
    <row r="104" spans="1:5" ht="12.75">
      <c r="A104" s="1"/>
      <c r="B104" s="1"/>
      <c r="C104" s="1"/>
      <c r="D104" s="5"/>
      <c r="E104" s="6"/>
    </row>
    <row r="105" spans="1:5" ht="12.75">
      <c r="A105" s="1"/>
      <c r="B105" s="1"/>
      <c r="C105" s="1"/>
      <c r="D105" s="5"/>
      <c r="E105" s="6"/>
    </row>
    <row r="106" spans="1:5" ht="12.75">
      <c r="A106" s="1"/>
      <c r="B106" s="1"/>
      <c r="C106" s="1"/>
      <c r="D106" s="5"/>
      <c r="E106" s="6"/>
    </row>
    <row r="107" spans="1:5" ht="12.75">
      <c r="A107" s="1"/>
      <c r="B107" s="1"/>
      <c r="C107" s="1"/>
      <c r="D107" s="5"/>
      <c r="E107" s="6"/>
    </row>
    <row r="108" spans="1:5" ht="12.75">
      <c r="A108" s="1"/>
      <c r="B108" s="1"/>
      <c r="C108" s="1"/>
      <c r="D108" s="5"/>
      <c r="E108" s="6"/>
    </row>
    <row r="109" spans="1:5" ht="12.75">
      <c r="A109" s="1"/>
      <c r="B109" s="1"/>
      <c r="C109" s="1"/>
      <c r="D109" s="5"/>
      <c r="E109" s="6"/>
    </row>
    <row r="110" spans="1:5" ht="12.75">
      <c r="A110" s="1"/>
      <c r="B110" s="1"/>
      <c r="C110" s="1"/>
      <c r="D110" s="5"/>
      <c r="E110" s="6"/>
    </row>
    <row r="111" spans="1:5" ht="12.75">
      <c r="A111" s="1"/>
      <c r="B111" s="1"/>
      <c r="C111" s="1"/>
      <c r="D111" s="5"/>
      <c r="E111" s="6"/>
    </row>
    <row r="112" spans="1:5" ht="12.75">
      <c r="A112" s="1"/>
      <c r="B112" s="1"/>
      <c r="C112" s="1"/>
      <c r="D112" s="5"/>
      <c r="E112" s="6"/>
    </row>
    <row r="113" spans="1:5" ht="12.75">
      <c r="A113" s="1"/>
      <c r="B113" s="1"/>
      <c r="C113" s="1"/>
      <c r="D113" s="5"/>
      <c r="E113" s="6"/>
    </row>
    <row r="114" spans="1:5" ht="12.75">
      <c r="A114" s="1"/>
      <c r="B114" s="1"/>
      <c r="C114" s="1"/>
      <c r="D114" s="5"/>
      <c r="E114" s="6"/>
    </row>
    <row r="115" spans="1:5" ht="12.75">
      <c r="A115" s="1"/>
      <c r="B115" s="1"/>
      <c r="C115" s="1"/>
      <c r="D115" s="5"/>
      <c r="E115" s="6"/>
    </row>
    <row r="116" spans="1:5" ht="12.75">
      <c r="A116" s="1"/>
      <c r="B116" s="1"/>
      <c r="C116" s="1"/>
      <c r="D116" s="5"/>
      <c r="E116" s="6"/>
    </row>
    <row r="117" spans="1:5" ht="12.75">
      <c r="A117" s="1"/>
      <c r="B117" s="1"/>
      <c r="C117" s="1"/>
      <c r="D117" s="5"/>
      <c r="E117" s="6"/>
    </row>
    <row r="118" spans="1:5" ht="12.75">
      <c r="A118" s="1"/>
      <c r="B118" s="1"/>
      <c r="C118" s="1"/>
      <c r="D118" s="5"/>
      <c r="E118" s="6"/>
    </row>
    <row r="119" spans="1:5" ht="12.75">
      <c r="A119" s="1"/>
      <c r="B119" s="1"/>
      <c r="C119" s="1"/>
      <c r="D119" s="5"/>
      <c r="E119" s="6"/>
    </row>
    <row r="120" spans="1:5" ht="12.75">
      <c r="A120" s="1"/>
      <c r="B120" s="1"/>
      <c r="C120" s="1"/>
      <c r="D120" s="5"/>
      <c r="E120" s="6"/>
    </row>
    <row r="121" spans="1:5" ht="12.75">
      <c r="A121" s="1"/>
      <c r="B121" s="1"/>
      <c r="C121" s="1"/>
      <c r="D121" s="5"/>
      <c r="E121" s="6"/>
    </row>
    <row r="122" spans="1:5" ht="12.75">
      <c r="A122" s="1"/>
      <c r="B122" s="1"/>
      <c r="C122" s="1"/>
      <c r="D122" s="5"/>
      <c r="E122" s="6"/>
    </row>
    <row r="123" spans="1:5" ht="12.75">
      <c r="A123" s="1"/>
      <c r="B123" s="1"/>
      <c r="C123" s="1"/>
      <c r="D123" s="5"/>
      <c r="E123" s="6"/>
    </row>
    <row r="124" spans="1:5" ht="12.75">
      <c r="A124" s="1"/>
      <c r="B124" s="1"/>
      <c r="C124" s="1"/>
      <c r="D124" s="5"/>
      <c r="E124" s="6"/>
    </row>
    <row r="125" spans="1:5" ht="12.75">
      <c r="A125" s="1"/>
      <c r="B125" s="1"/>
      <c r="C125" s="1"/>
      <c r="D125" s="5"/>
      <c r="E125" s="6"/>
    </row>
    <row r="126" spans="1:5" ht="12.75">
      <c r="A126" s="1"/>
      <c r="B126" s="1"/>
      <c r="C126" s="1"/>
      <c r="D126" s="5"/>
      <c r="E126" s="6"/>
    </row>
    <row r="127" spans="1:5" ht="12.75">
      <c r="A127" s="1"/>
      <c r="B127" s="1"/>
      <c r="C127" s="1"/>
      <c r="D127" s="5"/>
      <c r="E127" s="6"/>
    </row>
    <row r="128" spans="1:5" ht="12.75">
      <c r="A128" s="1"/>
      <c r="B128" s="1"/>
      <c r="C128" s="1"/>
      <c r="D128" s="5"/>
      <c r="E128" s="6"/>
    </row>
    <row r="129" spans="1:5" ht="12.75">
      <c r="A129" s="1"/>
      <c r="B129" s="1"/>
      <c r="C129" s="1"/>
      <c r="D129" s="5"/>
      <c r="E129" s="6"/>
    </row>
    <row r="130" spans="1:5" ht="12.75">
      <c r="A130" s="1"/>
      <c r="B130" s="1"/>
      <c r="C130" s="1"/>
      <c r="D130" s="5"/>
      <c r="E130" s="6"/>
    </row>
    <row r="131" spans="1:5" ht="12.75">
      <c r="A131" s="1"/>
      <c r="B131" s="1"/>
      <c r="C131" s="1"/>
      <c r="D131" s="5"/>
      <c r="E131" s="6"/>
    </row>
    <row r="132" spans="1:5" ht="12.75">
      <c r="A132" s="1"/>
      <c r="B132" s="1"/>
      <c r="C132" s="1"/>
      <c r="D132" s="5"/>
      <c r="E132" s="6"/>
    </row>
    <row r="133" spans="1:5" ht="12.75">
      <c r="A133" s="1"/>
      <c r="B133" s="1"/>
      <c r="C133" s="1"/>
      <c r="D133" s="5"/>
      <c r="E133" s="6"/>
    </row>
    <row r="134" spans="1:5" ht="12.75">
      <c r="A134" s="1"/>
      <c r="B134" s="1"/>
      <c r="C134" s="1"/>
      <c r="D134" s="5"/>
      <c r="E134" s="6"/>
    </row>
    <row r="135" spans="1:5" ht="12.75">
      <c r="A135" s="1"/>
      <c r="B135" s="1"/>
      <c r="C135" s="1"/>
      <c r="D135" s="5"/>
      <c r="E135" s="6"/>
    </row>
    <row r="136" spans="1:5" ht="12.75">
      <c r="A136" s="1"/>
      <c r="B136" s="1"/>
      <c r="C136" s="1"/>
      <c r="D136" s="5"/>
      <c r="E136" s="6"/>
    </row>
    <row r="137" spans="1:5" ht="12.75">
      <c r="A137" s="1"/>
      <c r="B137" s="1"/>
      <c r="C137" s="1"/>
      <c r="D137" s="5"/>
      <c r="E137" s="6"/>
    </row>
    <row r="138" spans="1:5" ht="12.75">
      <c r="A138" s="1"/>
      <c r="B138" s="1"/>
      <c r="C138" s="1"/>
      <c r="D138" s="5"/>
      <c r="E138" s="6"/>
    </row>
    <row r="139" spans="1:5" ht="12.75">
      <c r="A139" s="1"/>
      <c r="B139" s="1"/>
      <c r="C139" s="1"/>
      <c r="D139" s="5"/>
      <c r="E139" s="6"/>
    </row>
    <row r="140" spans="1:5" ht="12.75">
      <c r="A140" s="1"/>
      <c r="B140" s="1"/>
      <c r="C140" s="1"/>
      <c r="D140" s="5"/>
      <c r="E140" s="6"/>
    </row>
    <row r="141" spans="1:5" ht="12.75">
      <c r="A141" s="1"/>
      <c r="B141" s="1"/>
      <c r="C141" s="1"/>
      <c r="D141" s="5"/>
      <c r="E141" s="6"/>
    </row>
    <row r="142" spans="1:5" ht="12.75">
      <c r="A142" s="1"/>
      <c r="B142" s="1"/>
      <c r="C142" s="1"/>
      <c r="D142" s="5"/>
      <c r="E142" s="6"/>
    </row>
    <row r="143" spans="1:5" ht="12.75">
      <c r="A143" s="1"/>
      <c r="B143" s="1"/>
      <c r="C143" s="1"/>
      <c r="D143" s="5"/>
      <c r="E143" s="6"/>
    </row>
    <row r="144" spans="1:5" ht="12.75">
      <c r="A144" s="1"/>
      <c r="B144" s="1"/>
      <c r="C144" s="1"/>
      <c r="D144" s="5"/>
      <c r="E144" s="6"/>
    </row>
    <row r="145" spans="1:5" ht="12.75">
      <c r="A145" s="1"/>
      <c r="B145" s="1"/>
      <c r="C145" s="1"/>
      <c r="D145" s="5"/>
      <c r="E145" s="6"/>
    </row>
    <row r="146" spans="1:5" ht="12.75">
      <c r="A146" s="1"/>
      <c r="B146" s="1"/>
      <c r="C146" s="1"/>
      <c r="D146" s="5"/>
      <c r="E146" s="6"/>
    </row>
    <row r="147" spans="1:5" ht="12.75">
      <c r="A147" s="1"/>
      <c r="B147" s="1"/>
      <c r="C147" s="1"/>
      <c r="D147" s="5"/>
      <c r="E147" s="6"/>
    </row>
    <row r="148" spans="1:5" ht="12.75">
      <c r="A148" s="1"/>
      <c r="B148" s="1"/>
      <c r="C148" s="1"/>
      <c r="D148" s="5"/>
      <c r="E148" s="6"/>
    </row>
    <row r="149" spans="1:5" ht="12.75">
      <c r="A149" s="1"/>
      <c r="B149" s="1"/>
      <c r="C149" s="1"/>
      <c r="D149" s="5"/>
      <c r="E149" s="6"/>
    </row>
    <row r="150" spans="1:5" ht="12.75">
      <c r="A150" s="1"/>
      <c r="B150" s="1"/>
      <c r="C150" s="1"/>
      <c r="D150" s="5"/>
      <c r="E150" s="6"/>
    </row>
    <row r="151" spans="1:5" ht="12.75">
      <c r="A151" s="1"/>
      <c r="B151" s="1"/>
      <c r="C151" s="1"/>
      <c r="D151" s="5"/>
      <c r="E151" s="6"/>
    </row>
    <row r="152" spans="1:5" ht="12.75">
      <c r="A152" s="1"/>
      <c r="B152" s="1"/>
      <c r="C152" s="1"/>
      <c r="D152" s="5"/>
      <c r="E152" s="6"/>
    </row>
    <row r="153" spans="1:5" ht="12.75">
      <c r="A153" s="1"/>
      <c r="B153" s="1"/>
      <c r="C153" s="1"/>
      <c r="D153" s="5"/>
      <c r="E153" s="6"/>
    </row>
    <row r="154" spans="1:5" ht="12.75">
      <c r="A154" s="1"/>
      <c r="B154" s="1"/>
      <c r="C154" s="1"/>
      <c r="D154" s="5"/>
      <c r="E154" s="6"/>
    </row>
    <row r="155" spans="1:5" ht="12.75">
      <c r="A155" s="1"/>
      <c r="B155" s="1"/>
      <c r="C155" s="1"/>
      <c r="D155" s="5"/>
      <c r="E155" s="6"/>
    </row>
    <row r="156" spans="1:5" ht="12.75">
      <c r="A156" s="1"/>
      <c r="B156" s="1"/>
      <c r="C156" s="1"/>
      <c r="D156" s="5"/>
      <c r="E156" s="6"/>
    </row>
    <row r="157" spans="1:5" ht="12.75">
      <c r="A157" s="1"/>
      <c r="B157" s="1"/>
      <c r="C157" s="1"/>
      <c r="D157" s="5"/>
      <c r="E157" s="6"/>
    </row>
    <row r="158" spans="1:5" ht="12.75">
      <c r="A158" s="1"/>
      <c r="B158" s="1"/>
      <c r="C158" s="1"/>
      <c r="D158" s="5"/>
      <c r="E158" s="6"/>
    </row>
    <row r="159" spans="1:5" ht="12.75">
      <c r="A159" s="1"/>
      <c r="B159" s="1"/>
      <c r="C159" s="1"/>
      <c r="D159" s="5"/>
      <c r="E159" s="6"/>
    </row>
    <row r="160" spans="1:5" ht="12.75">
      <c r="A160" s="1"/>
      <c r="B160" s="1"/>
      <c r="C160" s="1"/>
      <c r="D160" s="5"/>
      <c r="E160" s="6"/>
    </row>
    <row r="161" spans="1:5" ht="12.75">
      <c r="A161" s="1"/>
      <c r="B161" s="1"/>
      <c r="C161" s="1"/>
      <c r="D161" s="5"/>
      <c r="E161" s="6"/>
    </row>
    <row r="162" spans="1:5" ht="12.75">
      <c r="A162" s="1"/>
      <c r="B162" s="1"/>
      <c r="C162" s="1"/>
      <c r="D162" s="5"/>
      <c r="E162" s="6"/>
    </row>
    <row r="163" spans="1:5" ht="12.75">
      <c r="A163" s="1"/>
      <c r="B163" s="1"/>
      <c r="C163" s="1"/>
      <c r="D163" s="5"/>
      <c r="E163" s="6"/>
    </row>
    <row r="164" spans="1:5" ht="12.75">
      <c r="A164" s="1"/>
      <c r="B164" s="1"/>
      <c r="C164" s="1"/>
      <c r="D164" s="5"/>
      <c r="E164" s="6"/>
    </row>
    <row r="165" spans="1:5" ht="12.75">
      <c r="A165" s="1"/>
      <c r="B165" s="1"/>
      <c r="C165" s="1"/>
      <c r="D165" s="5"/>
      <c r="E165" s="6"/>
    </row>
    <row r="166" spans="1:5" ht="12.75">
      <c r="A166" s="1"/>
      <c r="B166" s="1"/>
      <c r="C166" s="1"/>
      <c r="D166" s="5"/>
      <c r="E166" s="6"/>
    </row>
    <row r="167" spans="1:5" ht="12.75">
      <c r="A167" s="1"/>
      <c r="B167" s="1"/>
      <c r="C167" s="1"/>
      <c r="D167" s="5"/>
      <c r="E167" s="6"/>
    </row>
    <row r="168" spans="1:5" ht="12.75">
      <c r="A168" s="1"/>
      <c r="B168" s="1"/>
      <c r="C168" s="1"/>
      <c r="D168" s="5"/>
      <c r="E168" s="6"/>
    </row>
    <row r="169" spans="1:5" ht="12.75">
      <c r="A169" s="1"/>
      <c r="B169" s="1"/>
      <c r="C169" s="1"/>
      <c r="D169" s="5"/>
      <c r="E169" s="6"/>
    </row>
    <row r="170" spans="1:5" ht="12.75">
      <c r="A170" s="1"/>
      <c r="B170" s="1"/>
      <c r="C170" s="1"/>
      <c r="D170" s="5"/>
      <c r="E170" s="6"/>
    </row>
    <row r="171" spans="1:5" ht="12.75">
      <c r="A171" s="1"/>
      <c r="B171" s="1"/>
      <c r="C171" s="1"/>
      <c r="D171" s="5"/>
      <c r="E171" s="6"/>
    </row>
    <row r="172" spans="1:5" ht="12.75">
      <c r="A172" s="1"/>
      <c r="B172" s="1"/>
      <c r="C172" s="1"/>
      <c r="D172" s="5"/>
      <c r="E172" s="6"/>
    </row>
    <row r="173" spans="1:5" ht="12.75">
      <c r="A173" s="1"/>
      <c r="B173" s="1"/>
      <c r="C173" s="1"/>
      <c r="D173" s="5"/>
      <c r="E173" s="6"/>
    </row>
    <row r="174" spans="1:5" ht="12.75">
      <c r="A174" s="1"/>
      <c r="B174" s="1"/>
      <c r="C174" s="1"/>
      <c r="D174" s="5"/>
      <c r="E174" s="6"/>
    </row>
    <row r="175" spans="1:5" ht="12.75">
      <c r="A175" s="1"/>
      <c r="B175" s="1"/>
      <c r="C175" s="1"/>
      <c r="D175" s="5"/>
      <c r="E175" s="6"/>
    </row>
    <row r="176" spans="1:5" ht="12.75">
      <c r="A176" s="1"/>
      <c r="B176" s="1"/>
      <c r="C176" s="1"/>
      <c r="D176" s="5"/>
      <c r="E176" s="6"/>
    </row>
    <row r="177" spans="1:5" ht="12.75">
      <c r="A177" s="1"/>
      <c r="B177" s="1"/>
      <c r="C177" s="1"/>
      <c r="D177" s="5"/>
      <c r="E177" s="6"/>
    </row>
    <row r="178" spans="1:5" ht="12.75">
      <c r="A178" s="1"/>
      <c r="B178" s="1"/>
      <c r="C178" s="1"/>
      <c r="D178" s="5"/>
      <c r="E178" s="6"/>
    </row>
    <row r="179" spans="1:5" ht="12.75">
      <c r="A179" s="1"/>
      <c r="B179" s="1"/>
      <c r="C179" s="1"/>
      <c r="D179" s="5"/>
      <c r="E179" s="6"/>
    </row>
    <row r="180" spans="1:5" ht="12.75">
      <c r="A180" s="1"/>
      <c r="B180" s="1"/>
      <c r="C180" s="1"/>
      <c r="D180" s="5"/>
      <c r="E180" s="6"/>
    </row>
    <row r="181" spans="1:5" ht="12.75">
      <c r="A181" s="1"/>
      <c r="B181" s="1"/>
      <c r="C181" s="1"/>
      <c r="D181" s="5"/>
      <c r="E181" s="6"/>
    </row>
    <row r="182" spans="1:5" ht="12.75">
      <c r="A182" s="1"/>
      <c r="B182" s="1"/>
      <c r="C182" s="1"/>
      <c r="D182" s="5"/>
      <c r="E182" s="6"/>
    </row>
    <row r="183" spans="1:5" ht="12.75">
      <c r="A183" s="1"/>
      <c r="B183" s="1"/>
      <c r="C183" s="1"/>
      <c r="D183" s="5"/>
      <c r="E183" s="6"/>
    </row>
    <row r="184" spans="1:5" ht="12.75">
      <c r="A184" s="1"/>
      <c r="B184" s="1"/>
      <c r="C184" s="1"/>
      <c r="D184" s="5"/>
      <c r="E184" s="6"/>
    </row>
    <row r="185" spans="1:5" ht="12.75">
      <c r="A185" s="1"/>
      <c r="B185" s="1"/>
      <c r="C185" s="1"/>
      <c r="D185" s="5"/>
      <c r="E185" s="6"/>
    </row>
    <row r="186" spans="1:5" ht="12.75">
      <c r="A186" s="1"/>
      <c r="B186" s="1"/>
      <c r="C186" s="1"/>
      <c r="D186" s="5"/>
      <c r="E186" s="6"/>
    </row>
    <row r="187" spans="1:5" ht="12.75">
      <c r="A187" s="1"/>
      <c r="B187" s="1"/>
      <c r="C187" s="1"/>
      <c r="D187" s="5"/>
      <c r="E187" s="6"/>
    </row>
    <row r="188" spans="1:5" ht="12.75">
      <c r="A188" s="1"/>
      <c r="B188" s="1"/>
      <c r="C188" s="1"/>
      <c r="D188" s="5"/>
      <c r="E188" s="6"/>
    </row>
    <row r="189" spans="1:5" ht="12.75">
      <c r="A189" s="1"/>
      <c r="B189" s="1"/>
      <c r="C189" s="1"/>
      <c r="D189" s="5"/>
      <c r="E189" s="6"/>
    </row>
    <row r="190" spans="1:5" ht="12.75">
      <c r="A190" s="1"/>
      <c r="B190" s="1"/>
      <c r="C190" s="1"/>
      <c r="D190" s="5"/>
      <c r="E190" s="6"/>
    </row>
    <row r="191" spans="1:5" ht="12.75">
      <c r="A191" s="1"/>
      <c r="B191" s="1"/>
      <c r="C191" s="1"/>
      <c r="D191" s="5"/>
      <c r="E191" s="6"/>
    </row>
    <row r="192" spans="1:5" ht="12.75">
      <c r="A192" s="1"/>
      <c r="B192" s="1"/>
      <c r="C192" s="1"/>
      <c r="D192" s="5"/>
      <c r="E192" s="6"/>
    </row>
    <row r="193" spans="1:5" ht="12.75">
      <c r="A193" s="1"/>
      <c r="B193" s="1"/>
      <c r="C193" s="1"/>
      <c r="D193" s="5"/>
      <c r="E193" s="6"/>
    </row>
    <row r="194" spans="1:5" ht="12.75">
      <c r="A194" s="1"/>
      <c r="B194" s="1"/>
      <c r="C194" s="1"/>
      <c r="D194" s="5"/>
      <c r="E194" s="6"/>
    </row>
    <row r="195" spans="1:5" ht="12.75">
      <c r="A195" s="1"/>
      <c r="B195" s="1"/>
      <c r="C195" s="1"/>
      <c r="D195" s="5"/>
      <c r="E195" s="6"/>
    </row>
    <row r="196" spans="1:5" ht="12.75">
      <c r="A196" s="1"/>
      <c r="B196" s="1"/>
      <c r="C196" s="1"/>
      <c r="D196" s="5"/>
      <c r="E196" s="6"/>
    </row>
    <row r="197" spans="1:5" ht="12.75">
      <c r="A197" s="1"/>
      <c r="B197" s="1"/>
      <c r="C197" s="1"/>
      <c r="D197" s="5"/>
      <c r="E197" s="6"/>
    </row>
    <row r="198" spans="1:5" ht="12.75">
      <c r="A198" s="1"/>
      <c r="B198" s="1"/>
      <c r="C198" s="1"/>
      <c r="D198" s="5"/>
      <c r="E198" s="6"/>
    </row>
    <row r="199" spans="1:5" ht="12.75">
      <c r="A199" s="1"/>
      <c r="B199" s="1"/>
      <c r="C199" s="1"/>
      <c r="D199" s="5"/>
      <c r="E199" s="6"/>
    </row>
    <row r="200" spans="1:5" ht="12.75">
      <c r="A200" s="1"/>
      <c r="B200" s="1"/>
      <c r="C200" s="1"/>
      <c r="D200" s="5"/>
      <c r="E200" s="6"/>
    </row>
    <row r="201" spans="1:5" ht="12.75">
      <c r="A201" s="1"/>
      <c r="B201" s="1"/>
      <c r="C201" s="1"/>
      <c r="D201" s="5"/>
      <c r="E201" s="6"/>
    </row>
    <row r="202" spans="1:5" ht="12.75">
      <c r="A202" s="1"/>
      <c r="B202" s="1"/>
      <c r="C202" s="1"/>
      <c r="D202" s="5"/>
      <c r="E202" s="6"/>
    </row>
    <row r="203" spans="1:5" ht="12.75">
      <c r="A203" s="1"/>
      <c r="B203" s="1"/>
      <c r="C203" s="1"/>
      <c r="D203" s="5"/>
      <c r="E203" s="6"/>
    </row>
    <row r="204" spans="1:5" ht="12.75">
      <c r="A204" s="1"/>
      <c r="B204" s="1"/>
      <c r="C204" s="1"/>
      <c r="D204" s="5"/>
      <c r="E204" s="6"/>
    </row>
    <row r="205" spans="1:5" ht="12.75">
      <c r="A205" s="1"/>
      <c r="B205" s="1"/>
      <c r="C205" s="1"/>
      <c r="D205" s="5"/>
      <c r="E205" s="6"/>
    </row>
    <row r="206" spans="1:5" ht="12.75">
      <c r="A206" s="1"/>
      <c r="B206" s="1"/>
      <c r="C206" s="1"/>
      <c r="D206" s="5"/>
      <c r="E206" s="6"/>
    </row>
    <row r="207" spans="1:5" ht="12.75">
      <c r="A207" s="1"/>
      <c r="B207" s="1"/>
      <c r="C207" s="1"/>
      <c r="D207" s="5"/>
      <c r="E207" s="6"/>
    </row>
    <row r="208" spans="1:5" ht="12.75">
      <c r="A208" s="1"/>
      <c r="B208" s="1"/>
      <c r="C208" s="1"/>
      <c r="D208" s="5"/>
      <c r="E208" s="6"/>
    </row>
    <row r="209" spans="1:5" ht="12.75">
      <c r="A209" s="1"/>
      <c r="B209" s="1"/>
      <c r="C209" s="1"/>
      <c r="D209" s="5"/>
      <c r="E209" s="6"/>
    </row>
    <row r="210" spans="1:5" ht="12.75">
      <c r="A210" s="1"/>
      <c r="B210" s="1"/>
      <c r="C210" s="1"/>
      <c r="D210" s="5"/>
      <c r="E210" s="6"/>
    </row>
    <row r="211" spans="1:5" ht="12.75">
      <c r="A211" s="1"/>
      <c r="B211" s="1"/>
      <c r="C211" s="1"/>
      <c r="D211" s="5"/>
      <c r="E211" s="6"/>
    </row>
    <row r="212" spans="1:5" ht="12.75">
      <c r="A212" s="1"/>
      <c r="B212" s="1"/>
      <c r="C212" s="1"/>
      <c r="D212" s="5"/>
      <c r="E212" s="6"/>
    </row>
    <row r="213" spans="1:5" ht="12.75">
      <c r="A213" s="1"/>
      <c r="B213" s="1"/>
      <c r="C213" s="1"/>
      <c r="D213" s="5"/>
      <c r="E213" s="6"/>
    </row>
    <row r="214" spans="1:5" ht="12.75">
      <c r="A214" s="1"/>
      <c r="B214" s="1"/>
      <c r="C214" s="1"/>
      <c r="D214" s="5"/>
      <c r="E214" s="6"/>
    </row>
    <row r="215" spans="1:5" ht="12.75">
      <c r="A215" s="1"/>
      <c r="B215" s="1"/>
      <c r="C215" s="1"/>
      <c r="D215" s="5"/>
      <c r="E215" s="6"/>
    </row>
    <row r="216" spans="1:5" ht="12.75">
      <c r="A216" s="1"/>
      <c r="B216" s="1"/>
      <c r="C216" s="1"/>
      <c r="D216" s="5"/>
      <c r="E216" s="6"/>
    </row>
    <row r="217" spans="1:5" ht="12.75">
      <c r="A217" s="1"/>
      <c r="B217" s="1"/>
      <c r="C217" s="1"/>
      <c r="D217" s="5"/>
      <c r="E217" s="6"/>
    </row>
    <row r="218" spans="1:5" ht="12.75">
      <c r="A218" s="1"/>
      <c r="B218" s="1"/>
      <c r="C218" s="1"/>
      <c r="D218" s="5"/>
      <c r="E218" s="6"/>
    </row>
    <row r="219" spans="1:5" ht="12.75">
      <c r="A219" s="1"/>
      <c r="B219" s="1"/>
      <c r="C219" s="1"/>
      <c r="D219" s="5"/>
      <c r="E219" s="6"/>
    </row>
    <row r="220" spans="1:5" ht="12.75">
      <c r="A220" s="1"/>
      <c r="B220" s="1"/>
      <c r="C220" s="1"/>
      <c r="D220" s="5"/>
      <c r="E220" s="6"/>
    </row>
    <row r="221" spans="1:5" ht="12.75">
      <c r="A221" s="1"/>
      <c r="B221" s="1"/>
      <c r="C221" s="1"/>
      <c r="D221" s="5"/>
      <c r="E221" s="6"/>
    </row>
    <row r="222" spans="1:5" ht="12.75">
      <c r="A222" s="1"/>
      <c r="B222" s="1"/>
      <c r="C222" s="1"/>
      <c r="D222" s="5"/>
      <c r="E222" s="6"/>
    </row>
    <row r="223" spans="1:5" ht="12.75">
      <c r="A223" s="1"/>
      <c r="B223" s="1"/>
      <c r="C223" s="1"/>
      <c r="D223" s="5"/>
      <c r="E223" s="6"/>
    </row>
    <row r="224" spans="1:5" ht="12.75">
      <c r="A224" s="1"/>
      <c r="B224" s="1"/>
      <c r="C224" s="1"/>
      <c r="D224" s="5"/>
      <c r="E224" s="6"/>
    </row>
    <row r="225" spans="1:5" ht="12.75">
      <c r="A225" s="1"/>
      <c r="B225" s="1"/>
      <c r="C225" s="1"/>
      <c r="D225" s="5"/>
      <c r="E225" s="6"/>
    </row>
    <row r="226" spans="1:5" ht="12.75">
      <c r="A226" s="1"/>
      <c r="B226" s="1"/>
      <c r="C226" s="1"/>
      <c r="D226" s="5"/>
      <c r="E226" s="6"/>
    </row>
    <row r="227" spans="1:5" ht="12.75">
      <c r="A227" s="1"/>
      <c r="B227" s="1"/>
      <c r="C227" s="1"/>
      <c r="D227" s="5"/>
      <c r="E227" s="6"/>
    </row>
    <row r="228" spans="1:5" ht="12.75">
      <c r="A228" s="1"/>
      <c r="B228" s="1"/>
      <c r="C228" s="1"/>
      <c r="D228" s="5"/>
      <c r="E228" s="6"/>
    </row>
    <row r="229" spans="1:5" ht="12.75">
      <c r="A229" s="1"/>
      <c r="B229" s="1"/>
      <c r="C229" s="1"/>
      <c r="D229" s="5"/>
      <c r="E229" s="6"/>
    </row>
    <row r="230" spans="1:5" ht="12.75">
      <c r="A230" s="1"/>
      <c r="B230" s="1"/>
      <c r="C230" s="1"/>
      <c r="D230" s="5"/>
      <c r="E230" s="6"/>
    </row>
    <row r="231" spans="1:5" ht="12.75">
      <c r="A231" s="1"/>
      <c r="B231" s="1"/>
      <c r="C231" s="1"/>
      <c r="D231" s="5"/>
      <c r="E231" s="6"/>
    </row>
    <row r="232" spans="1:5" ht="12.75">
      <c r="A232" s="1"/>
      <c r="B232" s="1"/>
      <c r="C232" s="1"/>
      <c r="D232" s="5"/>
      <c r="E232" s="6"/>
    </row>
    <row r="233" spans="1:5" ht="12.75">
      <c r="A233" s="1"/>
      <c r="B233" s="1"/>
      <c r="C233" s="1"/>
      <c r="D233" s="5"/>
      <c r="E233" s="6"/>
    </row>
    <row r="234" spans="1:5" ht="12.75">
      <c r="A234" s="1"/>
      <c r="B234" s="1"/>
      <c r="C234" s="1"/>
      <c r="D234" s="5"/>
      <c r="E234" s="6"/>
    </row>
    <row r="235" spans="1:5" ht="12.75">
      <c r="A235" s="1"/>
      <c r="B235" s="1"/>
      <c r="C235" s="1"/>
      <c r="D235" s="5"/>
      <c r="E235" s="6"/>
    </row>
    <row r="236" spans="1:5" ht="12.75">
      <c r="A236" s="1"/>
      <c r="B236" s="1"/>
      <c r="C236" s="1"/>
      <c r="D236" s="5"/>
      <c r="E236" s="6"/>
    </row>
    <row r="237" spans="1:5" ht="12.75">
      <c r="A237" s="1"/>
      <c r="B237" s="1"/>
      <c r="C237" s="1"/>
      <c r="D237" s="5"/>
      <c r="E237" s="6"/>
    </row>
    <row r="238" spans="1:5" ht="12.75">
      <c r="A238" s="1"/>
      <c r="B238" s="1"/>
      <c r="C238" s="1"/>
      <c r="D238" s="5"/>
      <c r="E238" s="6"/>
    </row>
    <row r="239" spans="1:5" ht="12.75">
      <c r="A239" s="1"/>
      <c r="B239" s="1"/>
      <c r="C239" s="1"/>
      <c r="D239" s="5"/>
      <c r="E239" s="6"/>
    </row>
    <row r="240" spans="1:5" ht="12.75">
      <c r="A240" s="1"/>
      <c r="B240" s="1"/>
      <c r="C240" s="1"/>
      <c r="D240" s="5"/>
      <c r="E240" s="6"/>
    </row>
    <row r="241" spans="1:5" ht="12.75">
      <c r="A241" s="1"/>
      <c r="B241" s="1"/>
      <c r="C241" s="1"/>
      <c r="D241" s="5"/>
      <c r="E241" s="6"/>
    </row>
    <row r="242" spans="1:5" ht="12.75">
      <c r="A242" s="1"/>
      <c r="B242" s="1"/>
      <c r="C242" s="1"/>
      <c r="D242" s="5"/>
      <c r="E242" s="6"/>
    </row>
    <row r="243" spans="1:5" ht="12.75">
      <c r="A243" s="1"/>
      <c r="B243" s="1"/>
      <c r="C243" s="1"/>
      <c r="D243" s="5"/>
      <c r="E243" s="6"/>
    </row>
    <row r="244" spans="1:5" ht="12.75">
      <c r="A244" s="1"/>
      <c r="B244" s="1"/>
      <c r="C244" s="1"/>
      <c r="D244" s="5"/>
      <c r="E244" s="6"/>
    </row>
    <row r="245" spans="1:5" ht="12.75">
      <c r="A245" s="1"/>
      <c r="B245" s="1"/>
      <c r="C245" s="1"/>
      <c r="D245" s="5"/>
      <c r="E245" s="6"/>
    </row>
    <row r="246" spans="1:5" ht="12.75">
      <c r="A246" s="1"/>
      <c r="B246" s="1"/>
      <c r="C246" s="1"/>
      <c r="D246" s="5"/>
      <c r="E246" s="6"/>
    </row>
    <row r="247" spans="1:5" ht="12.75">
      <c r="A247" s="1"/>
      <c r="B247" s="1"/>
      <c r="C247" s="1"/>
      <c r="D247" s="5"/>
      <c r="E247" s="6"/>
    </row>
    <row r="248" spans="1:5" ht="12.75">
      <c r="A248" s="1"/>
      <c r="B248" s="1"/>
      <c r="C248" s="1"/>
      <c r="D248" s="5"/>
      <c r="E248" s="6"/>
    </row>
    <row r="249" spans="1:5" ht="12.75">
      <c r="A249" s="1"/>
      <c r="B249" s="1"/>
      <c r="C249" s="1"/>
      <c r="D249" s="5"/>
      <c r="E249" s="6"/>
    </row>
    <row r="250" spans="1:5" ht="12.75">
      <c r="A250" s="1"/>
      <c r="B250" s="1"/>
      <c r="C250" s="1"/>
      <c r="D250" s="5"/>
      <c r="E250" s="6"/>
    </row>
    <row r="251" spans="1:5" ht="12.75">
      <c r="A251" s="1"/>
      <c r="B251" s="1"/>
      <c r="C251" s="1"/>
      <c r="D251" s="5"/>
      <c r="E251" s="6"/>
    </row>
    <row r="252" spans="1:5" ht="12.75">
      <c r="A252" s="1"/>
      <c r="B252" s="1"/>
      <c r="C252" s="1"/>
      <c r="D252" s="5"/>
      <c r="E252" s="6"/>
    </row>
    <row r="253" spans="1:5" ht="12.75">
      <c r="A253" s="1"/>
      <c r="B253" s="1"/>
      <c r="C253" s="1"/>
      <c r="D253" s="5"/>
      <c r="E253" s="6"/>
    </row>
    <row r="254" spans="1:5" ht="12.75">
      <c r="A254" s="1"/>
      <c r="B254" s="1"/>
      <c r="C254" s="1"/>
      <c r="D254" s="5"/>
      <c r="E254" s="6"/>
    </row>
    <row r="255" spans="1:5" ht="12.75">
      <c r="A255" s="1"/>
      <c r="B255" s="1"/>
      <c r="C255" s="1"/>
      <c r="D255" s="5"/>
      <c r="E255" s="6"/>
    </row>
    <row r="256" spans="1:5" ht="12.75">
      <c r="A256" s="1"/>
      <c r="B256" s="1"/>
      <c r="C256" s="1"/>
      <c r="D256" s="5"/>
      <c r="E256" s="6"/>
    </row>
    <row r="257" spans="1:5" ht="12.75">
      <c r="A257" s="1"/>
      <c r="B257" s="1"/>
      <c r="C257" s="1"/>
      <c r="D257" s="5"/>
      <c r="E257" s="6"/>
    </row>
    <row r="258" spans="1:5" ht="12.75">
      <c r="A258" s="1"/>
      <c r="B258" s="1"/>
      <c r="C258" s="1"/>
      <c r="D258" s="5"/>
      <c r="E258" s="6"/>
    </row>
    <row r="259" spans="1:5" ht="12.75">
      <c r="A259" s="1"/>
      <c r="B259" s="1"/>
      <c r="C259" s="1"/>
      <c r="D259" s="5"/>
      <c r="E259" s="6"/>
    </row>
    <row r="260" spans="1:5" ht="12.75">
      <c r="A260" s="1"/>
      <c r="B260" s="1"/>
      <c r="C260" s="1"/>
      <c r="D260" s="5"/>
      <c r="E260" s="6"/>
    </row>
    <row r="261" spans="1:5" ht="12.75">
      <c r="A261" s="1"/>
      <c r="B261" s="1"/>
      <c r="C261" s="1"/>
      <c r="D261" s="5"/>
      <c r="E261" s="6"/>
    </row>
    <row r="262" spans="1:5" ht="12.75">
      <c r="A262" s="1"/>
      <c r="B262" s="1"/>
      <c r="C262" s="1"/>
      <c r="D262" s="5"/>
      <c r="E262" s="6"/>
    </row>
    <row r="263" spans="1:5" ht="12.75">
      <c r="A263" s="1"/>
      <c r="B263" s="1"/>
      <c r="C263" s="1"/>
      <c r="D263" s="5"/>
      <c r="E263" s="6"/>
    </row>
    <row r="264" spans="1:5" ht="12.75">
      <c r="A264" s="1"/>
      <c r="B264" s="1"/>
      <c r="C264" s="1"/>
      <c r="D264" s="5"/>
      <c r="E264" s="6"/>
    </row>
    <row r="265" spans="1:5" ht="12.75">
      <c r="A265" s="1"/>
      <c r="B265" s="1"/>
      <c r="C265" s="1"/>
      <c r="D265" s="5"/>
      <c r="E265" s="6"/>
    </row>
    <row r="266" spans="1:5" ht="12.75">
      <c r="A266" s="1"/>
      <c r="B266" s="1"/>
      <c r="C266" s="1"/>
      <c r="D266" s="5"/>
      <c r="E266" s="6"/>
    </row>
    <row r="267" spans="1:5" ht="12.75">
      <c r="A267" s="1"/>
      <c r="B267" s="1"/>
      <c r="C267" s="1"/>
      <c r="D267" s="5"/>
      <c r="E267" s="6"/>
    </row>
    <row r="268" spans="1:5" ht="12.75">
      <c r="A268" s="1"/>
      <c r="B268" s="1"/>
      <c r="C268" s="1"/>
      <c r="D268" s="5"/>
      <c r="E268" s="6"/>
    </row>
    <row r="269" spans="1:5" ht="12.75">
      <c r="A269" s="1"/>
      <c r="B269" s="1"/>
      <c r="C269" s="1"/>
      <c r="D269" s="5"/>
      <c r="E269" s="6"/>
    </row>
    <row r="270" spans="1:5" ht="12.75">
      <c r="A270" s="1"/>
      <c r="B270" s="1"/>
      <c r="C270" s="1"/>
      <c r="D270" s="5"/>
      <c r="E270" s="6"/>
    </row>
    <row r="271" spans="1:5" ht="12.75">
      <c r="A271" s="1"/>
      <c r="B271" s="1"/>
      <c r="C271" s="1"/>
      <c r="D271" s="5"/>
      <c r="E271" s="6"/>
    </row>
    <row r="272" spans="1:5" ht="12.75">
      <c r="A272" s="1"/>
      <c r="B272" s="1"/>
      <c r="C272" s="1"/>
      <c r="D272" s="5"/>
      <c r="E272" s="6"/>
    </row>
    <row r="273" spans="1:5" ht="12.75">
      <c r="A273" s="1"/>
      <c r="B273" s="1"/>
      <c r="C273" s="1"/>
      <c r="D273" s="5"/>
      <c r="E273" s="6"/>
    </row>
    <row r="274" spans="1:5" ht="12.75">
      <c r="A274" s="1"/>
      <c r="B274" s="1"/>
      <c r="C274" s="1"/>
      <c r="D274" s="5"/>
      <c r="E274" s="6"/>
    </row>
    <row r="275" spans="1:5" ht="12.75">
      <c r="A275" s="1"/>
      <c r="B275" s="1"/>
      <c r="C275" s="1"/>
      <c r="D275" s="5"/>
      <c r="E275" s="6"/>
    </row>
    <row r="276" spans="1:5" ht="12.75">
      <c r="A276" s="1"/>
      <c r="B276" s="1"/>
      <c r="C276" s="1"/>
      <c r="D276" s="5"/>
      <c r="E276" s="6"/>
    </row>
    <row r="277" spans="1:5" ht="12.75">
      <c r="A277" s="1"/>
      <c r="B277" s="1"/>
      <c r="C277" s="1"/>
      <c r="D277" s="5"/>
      <c r="E277" s="6"/>
    </row>
    <row r="278" spans="1:5" ht="12.75">
      <c r="A278" s="1"/>
      <c r="B278" s="1"/>
      <c r="C278" s="1"/>
      <c r="D278" s="5"/>
      <c r="E278" s="6"/>
    </row>
    <row r="279" spans="1:5" ht="12.75">
      <c r="A279" s="1"/>
      <c r="B279" s="1"/>
      <c r="C279" s="1"/>
      <c r="D279" s="5"/>
      <c r="E279" s="6"/>
    </row>
    <row r="280" spans="1:5" ht="12.75">
      <c r="A280" s="1"/>
      <c r="B280" s="1"/>
      <c r="C280" s="1"/>
      <c r="D280" s="5"/>
      <c r="E280" s="6"/>
    </row>
    <row r="281" spans="1:5" ht="12.75">
      <c r="A281" s="1"/>
      <c r="B281" s="1"/>
      <c r="C281" s="1"/>
      <c r="D281" s="5"/>
      <c r="E281" s="6"/>
    </row>
    <row r="282" spans="1:5" ht="12.75">
      <c r="A282" s="1"/>
      <c r="B282" s="1"/>
      <c r="C282" s="1"/>
      <c r="D282" s="5"/>
      <c r="E282" s="6"/>
    </row>
    <row r="283" spans="1:5" ht="12.75">
      <c r="A283" s="1"/>
      <c r="B283" s="1"/>
      <c r="C283" s="1"/>
      <c r="D283" s="5"/>
      <c r="E283" s="6"/>
    </row>
    <row r="284" spans="1:5" ht="12.75">
      <c r="A284" s="1"/>
      <c r="B284" s="1"/>
      <c r="C284" s="1"/>
      <c r="D284" s="5"/>
      <c r="E284" s="6"/>
    </row>
    <row r="285" spans="1:5" ht="12.75">
      <c r="A285" s="1"/>
      <c r="B285" s="1"/>
      <c r="C285" s="1"/>
      <c r="D285" s="5"/>
      <c r="E285" s="6"/>
    </row>
    <row r="286" spans="1:5" ht="12.75">
      <c r="A286" s="1"/>
      <c r="B286" s="1"/>
      <c r="C286" s="1"/>
      <c r="D286" s="5"/>
      <c r="E286" s="6"/>
    </row>
    <row r="287" spans="1:5" ht="12.75">
      <c r="A287" s="1"/>
      <c r="B287" s="1"/>
      <c r="C287" s="1"/>
      <c r="D287" s="5"/>
      <c r="E287" s="6"/>
    </row>
    <row r="288" spans="1:5" ht="12.75">
      <c r="A288" s="1"/>
      <c r="B288" s="1"/>
      <c r="C288" s="1"/>
      <c r="D288" s="5"/>
      <c r="E288" s="6"/>
    </row>
    <row r="289" spans="1:5" ht="12.75">
      <c r="A289" s="1"/>
      <c r="B289" s="1"/>
      <c r="C289" s="1"/>
      <c r="D289" s="5"/>
      <c r="E289" s="6"/>
    </row>
    <row r="290" spans="1:5" ht="12.75">
      <c r="A290" s="1"/>
      <c r="B290" s="1"/>
      <c r="C290" s="1"/>
      <c r="D290" s="5"/>
      <c r="E290" s="6"/>
    </row>
    <row r="291" spans="1:5" ht="12.75">
      <c r="A291" s="1"/>
      <c r="B291" s="1"/>
      <c r="C291" s="1"/>
      <c r="D291" s="5"/>
      <c r="E291" s="6"/>
    </row>
    <row r="292" spans="1:5" ht="12.75">
      <c r="A292" s="1"/>
      <c r="B292" s="1"/>
      <c r="C292" s="1"/>
      <c r="D292" s="5"/>
      <c r="E292" s="6"/>
    </row>
    <row r="293" spans="1:5" ht="12.75">
      <c r="A293" s="1"/>
      <c r="B293" s="1"/>
      <c r="C293" s="1"/>
      <c r="D293" s="5"/>
      <c r="E293" s="6"/>
    </row>
    <row r="294" spans="1:5" ht="12.75">
      <c r="A294" s="1"/>
      <c r="B294" s="1"/>
      <c r="C294" s="1"/>
      <c r="D294" s="5"/>
      <c r="E294" s="6"/>
    </row>
    <row r="295" spans="1:5" ht="15.75" customHeight="1">
      <c r="A295" s="1"/>
      <c r="B295" s="1"/>
      <c r="C295" s="1"/>
      <c r="D295" s="5"/>
      <c r="E295" s="6"/>
    </row>
    <row r="296" spans="1:5" ht="15.75" customHeight="1">
      <c r="A296" s="1"/>
      <c r="B296" s="1"/>
      <c r="C296" s="1"/>
      <c r="D296" s="5"/>
      <c r="E296" s="6"/>
    </row>
    <row r="297" spans="1:5" ht="15.75" customHeight="1">
      <c r="A297" s="1"/>
      <c r="B297" s="1"/>
      <c r="C297" s="1"/>
      <c r="D297" s="5"/>
      <c r="E297" s="6"/>
    </row>
    <row r="298" spans="1:5" ht="15.75" customHeight="1">
      <c r="A298" s="1"/>
      <c r="B298" s="1"/>
      <c r="C298" s="1"/>
      <c r="D298" s="5"/>
      <c r="E298" s="6"/>
    </row>
    <row r="299" spans="1:5" ht="15.75" customHeight="1">
      <c r="A299" s="1"/>
      <c r="B299" s="1"/>
      <c r="C299" s="1"/>
      <c r="D299" s="5"/>
      <c r="E299" s="6"/>
    </row>
    <row r="300" spans="1:5" ht="15.75" customHeight="1">
      <c r="A300" s="1"/>
      <c r="B300" s="1"/>
      <c r="C300" s="1"/>
      <c r="D300" s="5"/>
      <c r="E300" s="6"/>
    </row>
    <row r="301" spans="1:5" ht="15.75" customHeight="1">
      <c r="A301" s="1"/>
      <c r="B301" s="1"/>
      <c r="C301" s="1"/>
      <c r="D301" s="5"/>
      <c r="E301" s="6"/>
    </row>
  </sheetData>
  <sheetProtection formatCells="0" formatColumns="0" formatRows="0" insertRows="0" selectLockedCells="1" sort="0" autoFilter="0" selectUnlockedCells="1"/>
  <mergeCells count="1">
    <mergeCell ref="A1:E1"/>
  </mergeCells>
  <dataValidations count="1">
    <dataValidation type="list" allowBlank="1" showErrorMessage="1" sqref="A3:A99" xr:uid="{00000000-0002-0000-0D00-000001000000}">
      <formula1>"Chaat,Chinese,Breads,Drinks &amp; Beverage,Grill Special,Kulfi,North Indian,South Indian,Specials,Sweets,Namkeen"</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xr:uid="{00000000-0002-0000-0D00-000000000000}">
          <x14:formula1>
            <xm:f>'ITEM LIST'!$B$2:$B$479</xm:f>
          </x14:formula1>
          <xm:sqref>C29:C36 C46:C51 C3:C11 C65:C74 C26:C27 C39:C43 C54:C59 C17:C24 C13:C14 C61:C63 C76:C86 C88:C301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8" tint="-0.249977111117893"/>
    <outlinePr summaryBelow="0" summaryRight="0"/>
  </sheetPr>
  <dimension ref="A1:E863"/>
  <sheetViews>
    <sheetView topLeftCell="A227" zoomScale="88" workbookViewId="0">
      <selection activeCell="E243" sqref="E243"/>
    </sheetView>
  </sheetViews>
  <sheetFormatPr defaultColWidth="12.5703125" defaultRowHeight="15.75" customHeight="1"/>
  <cols>
    <col min="1" max="1" width="16.42578125" customWidth="1"/>
    <col min="2" max="2" width="15.28515625" customWidth="1"/>
    <col min="3" max="3" width="18.42578125" customWidth="1"/>
    <col min="4" max="4" width="16" style="123" customWidth="1"/>
    <col min="5" max="5" width="16.5703125" style="120" customWidth="1"/>
  </cols>
  <sheetData>
    <row r="1" spans="1:5" ht="20.25">
      <c r="A1" s="277" t="s">
        <v>100</v>
      </c>
      <c r="B1" s="265"/>
      <c r="C1" s="265"/>
      <c r="D1" s="265"/>
      <c r="E1" s="265"/>
    </row>
    <row r="2" spans="1:5" ht="15.75" customHeight="1">
      <c r="A2" s="61" t="s">
        <v>125</v>
      </c>
      <c r="B2" s="62" t="s">
        <v>126</v>
      </c>
      <c r="C2" s="62" t="s">
        <v>302</v>
      </c>
      <c r="D2" s="152" t="s">
        <v>303</v>
      </c>
      <c r="E2" s="153" t="s">
        <v>128</v>
      </c>
    </row>
    <row r="3" spans="1:5" ht="15.75" customHeight="1">
      <c r="A3" s="60" t="s">
        <v>100</v>
      </c>
      <c r="B3" s="45" t="s">
        <v>584</v>
      </c>
      <c r="C3" s="45" t="s">
        <v>40</v>
      </c>
      <c r="D3" s="169">
        <v>666.66666666666674</v>
      </c>
      <c r="E3" s="72">
        <f>IF(C3="","",IFERROR(VLOOKUP(C3,'ITEM LIST'!B:M,12,0)*D3,0))</f>
        <v>21.333333333333336</v>
      </c>
    </row>
    <row r="4" spans="1:5" ht="15.75" customHeight="1">
      <c r="A4" s="60" t="s">
        <v>100</v>
      </c>
      <c r="B4" s="45" t="s">
        <v>584</v>
      </c>
      <c r="C4" s="45" t="s">
        <v>380</v>
      </c>
      <c r="D4" s="169">
        <v>200</v>
      </c>
      <c r="E4" s="72">
        <f>IF(C4="","",IFERROR(VLOOKUP(C4,'ITEM LIST'!B:M,12,0)*D4,0))</f>
        <v>106.66600000000001</v>
      </c>
    </row>
    <row r="5" spans="1:5" ht="15.75" customHeight="1">
      <c r="A5" s="60" t="s">
        <v>100</v>
      </c>
      <c r="B5" s="45" t="s">
        <v>584</v>
      </c>
      <c r="C5" s="45" t="s">
        <v>101</v>
      </c>
      <c r="D5" s="169">
        <v>100</v>
      </c>
      <c r="E5" s="72">
        <f>IF(C5="","",IFERROR(VLOOKUP(C5,'ITEM LIST'!B:M,12,0)*D5,0))</f>
        <v>0</v>
      </c>
    </row>
    <row r="6" spans="1:5" ht="15.75" customHeight="1">
      <c r="A6" s="60" t="s">
        <v>100</v>
      </c>
      <c r="B6" s="45" t="s">
        <v>584</v>
      </c>
      <c r="C6" s="45" t="s">
        <v>355</v>
      </c>
      <c r="D6" s="169">
        <v>4</v>
      </c>
      <c r="E6" s="72">
        <f>IF(C6="","",IFERROR(VLOOKUP(C6,'ITEM LIST'!B:M,12,0)*D6,0))</f>
        <v>0.64</v>
      </c>
    </row>
    <row r="7" spans="1:5" ht="15.75" customHeight="1">
      <c r="A7" s="60" t="s">
        <v>100</v>
      </c>
      <c r="B7" s="45" t="s">
        <v>584</v>
      </c>
      <c r="C7" s="45" t="s">
        <v>512</v>
      </c>
      <c r="D7" s="169">
        <v>1000</v>
      </c>
      <c r="E7" s="72">
        <f>IF(C7="","",IFERROR(VLOOKUP(C7,'ITEM LIST'!B:M,12,0)*D7,0))</f>
        <v>50</v>
      </c>
    </row>
    <row r="8" spans="1:5" ht="15.75" customHeight="1">
      <c r="A8" s="60"/>
      <c r="B8" s="45" t="s">
        <v>371</v>
      </c>
      <c r="C8" s="45" t="s">
        <v>371</v>
      </c>
      <c r="D8" s="170"/>
      <c r="E8" s="72" t="str">
        <f>IF(C8="","",IFERROR(VLOOKUP(C8,'ITEM LIST'!B:M,12,0)*D8,0))</f>
        <v/>
      </c>
    </row>
    <row r="9" spans="1:5" ht="15.75" customHeight="1">
      <c r="A9" s="60" t="s">
        <v>100</v>
      </c>
      <c r="B9" s="45" t="s">
        <v>585</v>
      </c>
      <c r="C9" s="45" t="s">
        <v>40</v>
      </c>
      <c r="D9" s="169">
        <v>666.66666666666663</v>
      </c>
      <c r="E9" s="72">
        <f>IF(C9="","",IFERROR(VLOOKUP(C9,'ITEM LIST'!B:M,12,0)*D9,0))</f>
        <v>21.333333333333332</v>
      </c>
    </row>
    <row r="10" spans="1:5" ht="15.75" customHeight="1">
      <c r="A10" s="60" t="s">
        <v>100</v>
      </c>
      <c r="B10" s="45" t="s">
        <v>585</v>
      </c>
      <c r="C10" s="45" t="s">
        <v>380</v>
      </c>
      <c r="D10" s="169">
        <v>200</v>
      </c>
      <c r="E10" s="72">
        <f>IF(C10="","",IFERROR(VLOOKUP(C10,'ITEM LIST'!B:M,12,0)*D10,0))</f>
        <v>106.66600000000001</v>
      </c>
    </row>
    <row r="11" spans="1:5" ht="15.75" customHeight="1">
      <c r="A11" s="60" t="s">
        <v>100</v>
      </c>
      <c r="B11" s="45" t="s">
        <v>585</v>
      </c>
      <c r="C11" s="45" t="s">
        <v>59</v>
      </c>
      <c r="D11" s="169">
        <v>833.33333333333337</v>
      </c>
      <c r="E11" s="72">
        <f>IF(C11="","",IFERROR(VLOOKUP(C11,'ITEM LIST'!B:M,12,0)*D11,0))</f>
        <v>58.333333333333343</v>
      </c>
    </row>
    <row r="12" spans="1:5" ht="15.75" customHeight="1">
      <c r="A12" s="60" t="s">
        <v>100</v>
      </c>
      <c r="B12" s="45" t="s">
        <v>585</v>
      </c>
      <c r="C12" s="45" t="s">
        <v>101</v>
      </c>
      <c r="D12" s="169">
        <v>100</v>
      </c>
      <c r="E12" s="72">
        <f>IF(C12="","",IFERROR(VLOOKUP(C12,'ITEM LIST'!B:M,12,0)*D12,0))</f>
        <v>0</v>
      </c>
    </row>
    <row r="13" spans="1:5" ht="15.75" customHeight="1">
      <c r="A13" s="60" t="s">
        <v>100</v>
      </c>
      <c r="B13" s="45" t="s">
        <v>371</v>
      </c>
      <c r="C13" s="45" t="s">
        <v>371</v>
      </c>
      <c r="D13" s="170"/>
      <c r="E13" s="72" t="str">
        <f>IF(C13="","",IFERROR(VLOOKUP(C13,'ITEM LIST'!B:M,12,0)*D13,0))</f>
        <v/>
      </c>
    </row>
    <row r="14" spans="1:5" ht="15.75" customHeight="1">
      <c r="A14" s="60" t="s">
        <v>100</v>
      </c>
      <c r="B14" s="45" t="s">
        <v>586</v>
      </c>
      <c r="C14" s="45" t="s">
        <v>420</v>
      </c>
      <c r="D14" s="169">
        <v>3240</v>
      </c>
      <c r="E14" s="72">
        <f>IF(C14="","",IFERROR(VLOOKUP(C14,'ITEM LIST'!B:M,12,0)*D14,0))</f>
        <v>213.84</v>
      </c>
    </row>
    <row r="15" spans="1:5" ht="15.75" customHeight="1">
      <c r="A15" s="60" t="s">
        <v>100</v>
      </c>
      <c r="B15" s="45" t="s">
        <v>586</v>
      </c>
      <c r="C15" s="45" t="s">
        <v>653</v>
      </c>
      <c r="D15" s="169">
        <v>1.3513513513513513</v>
      </c>
      <c r="E15" s="72">
        <f>IF(C15="","",IFERROR(VLOOKUP(C15,'ITEM LIST'!B:M,12,0)*D15,0))</f>
        <v>1.0810810810810811</v>
      </c>
    </row>
    <row r="16" spans="1:5" ht="15.75" customHeight="1">
      <c r="A16" s="60" t="s">
        <v>100</v>
      </c>
      <c r="B16" s="45" t="s">
        <v>586</v>
      </c>
      <c r="C16" s="45" t="s">
        <v>512</v>
      </c>
      <c r="D16" s="169">
        <v>151.35135135135135</v>
      </c>
      <c r="E16" s="72">
        <f>IF(C16="","",IFERROR(VLOOKUP(C16,'ITEM LIST'!B:M,12,0)*D16,0))</f>
        <v>7.5675675675675684</v>
      </c>
    </row>
    <row r="17" spans="1:5" ht="15.75" customHeight="1">
      <c r="A17" s="60" t="s">
        <v>100</v>
      </c>
      <c r="B17" s="45" t="s">
        <v>371</v>
      </c>
      <c r="C17" s="45" t="s">
        <v>371</v>
      </c>
      <c r="D17" s="170"/>
      <c r="E17" s="72" t="str">
        <f>IF(C17="","",IFERROR(VLOOKUP(C17,'ITEM LIST'!B:M,12,0)*D17,0))</f>
        <v/>
      </c>
    </row>
    <row r="18" spans="1:5" ht="15.75" customHeight="1">
      <c r="A18" s="60" t="s">
        <v>100</v>
      </c>
      <c r="B18" s="45" t="s">
        <v>587</v>
      </c>
      <c r="C18" s="45" t="s">
        <v>122</v>
      </c>
      <c r="D18" s="169">
        <v>750</v>
      </c>
      <c r="E18" s="72">
        <f>IF(C18="","",IFERROR(VLOOKUP(C18,'ITEM LIST'!B:M,12,0)*D18,0))</f>
        <v>210.00000000000003</v>
      </c>
    </row>
    <row r="19" spans="1:5" ht="15.75" customHeight="1">
      <c r="A19" s="60" t="s">
        <v>100</v>
      </c>
      <c r="B19" s="45" t="s">
        <v>587</v>
      </c>
      <c r="C19" s="45" t="s">
        <v>512</v>
      </c>
      <c r="D19" s="169">
        <v>208.33333333333334</v>
      </c>
      <c r="E19" s="72">
        <f>IF(C19="","",IFERROR(VLOOKUP(C19,'ITEM LIST'!B:M,12,0)*D19,0))</f>
        <v>10.416666666666668</v>
      </c>
    </row>
    <row r="20" spans="1:5" ht="15.75" customHeight="1">
      <c r="A20" s="60" t="s">
        <v>100</v>
      </c>
      <c r="B20" s="45" t="s">
        <v>587</v>
      </c>
      <c r="C20" s="45" t="s">
        <v>380</v>
      </c>
      <c r="D20" s="169">
        <v>33.333333333333336</v>
      </c>
      <c r="E20" s="72">
        <f>IF(C20="","",IFERROR(VLOOKUP(C20,'ITEM LIST'!B:M,12,0)*D20,0))</f>
        <v>17.777666666666672</v>
      </c>
    </row>
    <row r="21" spans="1:5" ht="14.25">
      <c r="A21" s="60" t="s">
        <v>100</v>
      </c>
      <c r="B21" s="45" t="s">
        <v>587</v>
      </c>
      <c r="C21" s="45" t="s">
        <v>103</v>
      </c>
      <c r="D21" s="169">
        <v>25</v>
      </c>
      <c r="E21" s="72">
        <f>IF(C21="","",IFERROR(VLOOKUP(C21,'ITEM LIST'!B:M,12,0)*D21,0))</f>
        <v>45</v>
      </c>
    </row>
    <row r="22" spans="1:5" ht="14.25">
      <c r="A22" s="60" t="s">
        <v>100</v>
      </c>
      <c r="B22" s="45" t="s">
        <v>587</v>
      </c>
      <c r="C22" s="45" t="s">
        <v>581</v>
      </c>
      <c r="D22" s="169">
        <v>8.3333333333333339</v>
      </c>
      <c r="E22" s="72">
        <f>IF(C22="","",IFERROR(VLOOKUP(C22,'ITEM LIST'!B:M,12,0)*D22,0))</f>
        <v>16.666666666666668</v>
      </c>
    </row>
    <row r="23" spans="1:5" ht="14.25">
      <c r="A23" s="60" t="s">
        <v>100</v>
      </c>
      <c r="B23" s="45" t="s">
        <v>371</v>
      </c>
      <c r="C23" s="45" t="s">
        <v>371</v>
      </c>
      <c r="D23" s="170"/>
      <c r="E23" s="72" t="str">
        <f>IF(C23="","",IFERROR(VLOOKUP(C23,'ITEM LIST'!B:M,12,0)*D23,0))</f>
        <v/>
      </c>
    </row>
    <row r="24" spans="1:5" ht="14.25">
      <c r="A24" s="60" t="s">
        <v>100</v>
      </c>
      <c r="B24" s="45" t="s">
        <v>588</v>
      </c>
      <c r="C24" s="45" t="s">
        <v>122</v>
      </c>
      <c r="D24" s="169">
        <v>762.71186440677957</v>
      </c>
      <c r="E24" s="72">
        <f>IF(C24="","",IFERROR(VLOOKUP(C24,'ITEM LIST'!B:M,12,0)*D24,0))</f>
        <v>213.5593220338983</v>
      </c>
    </row>
    <row r="25" spans="1:5" ht="14.25">
      <c r="A25" s="60" t="s">
        <v>100</v>
      </c>
      <c r="B25" s="45" t="s">
        <v>588</v>
      </c>
      <c r="C25" s="45" t="s">
        <v>512</v>
      </c>
      <c r="D25" s="169">
        <v>211.86440677966101</v>
      </c>
      <c r="E25" s="72">
        <f>IF(C25="","",IFERROR(VLOOKUP(C25,'ITEM LIST'!B:M,12,0)*D25,0))</f>
        <v>10.593220338983052</v>
      </c>
    </row>
    <row r="26" spans="1:5" ht="14.25">
      <c r="A26" s="60" t="s">
        <v>100</v>
      </c>
      <c r="B26" s="45" t="s">
        <v>588</v>
      </c>
      <c r="C26" s="45" t="s">
        <v>380</v>
      </c>
      <c r="D26" s="169">
        <v>33.898305084745758</v>
      </c>
      <c r="E26" s="72">
        <f>IF(C26="","",IFERROR(VLOOKUP(C26,'ITEM LIST'!B:M,12,0)*D26,0))</f>
        <v>18.078983050847459</v>
      </c>
    </row>
    <row r="27" spans="1:5" ht="14.25">
      <c r="A27" s="60" t="s">
        <v>100</v>
      </c>
      <c r="B27" s="45" t="s">
        <v>588</v>
      </c>
      <c r="C27" s="45" t="s">
        <v>581</v>
      </c>
      <c r="D27" s="169">
        <v>8.4745762711864394</v>
      </c>
      <c r="E27" s="72">
        <f>IF(C27="","",IFERROR(VLOOKUP(C27,'ITEM LIST'!B:M,12,0)*D27,0))</f>
        <v>16.949152542372879</v>
      </c>
    </row>
    <row r="28" spans="1:5" ht="14.25">
      <c r="A28" s="60" t="s">
        <v>100</v>
      </c>
      <c r="B28" s="45" t="s">
        <v>588</v>
      </c>
      <c r="C28" s="45" t="s">
        <v>418</v>
      </c>
      <c r="D28" s="170">
        <v>3.33</v>
      </c>
      <c r="E28" s="72">
        <f>IF(C28="","",IFERROR(VLOOKUP(C28,'ITEM LIST'!B:M,12,0)*D28,0))</f>
        <v>233.1</v>
      </c>
    </row>
    <row r="29" spans="1:5" ht="14.25">
      <c r="A29" s="60" t="s">
        <v>100</v>
      </c>
      <c r="B29" s="45" t="s">
        <v>371</v>
      </c>
      <c r="C29" s="45" t="s">
        <v>371</v>
      </c>
      <c r="D29" s="170"/>
      <c r="E29" s="72" t="str">
        <f>IF(C29="","",IFERROR(VLOOKUP(C29,'ITEM LIST'!B:M,12,0)*D29,0))</f>
        <v/>
      </c>
    </row>
    <row r="30" spans="1:5" ht="14.25">
      <c r="A30" s="60" t="s">
        <v>100</v>
      </c>
      <c r="B30" s="45" t="s">
        <v>589</v>
      </c>
      <c r="C30" s="45" t="s">
        <v>122</v>
      </c>
      <c r="D30" s="169">
        <v>800</v>
      </c>
      <c r="E30" s="72">
        <f>IF(C30="","",IFERROR(VLOOKUP(C30,'ITEM LIST'!B:M,12,0)*D30,0))</f>
        <v>224.00000000000003</v>
      </c>
    </row>
    <row r="31" spans="1:5" ht="14.25">
      <c r="A31" s="60" t="s">
        <v>100</v>
      </c>
      <c r="B31" s="45" t="s">
        <v>589</v>
      </c>
      <c r="C31" s="45" t="s">
        <v>503</v>
      </c>
      <c r="D31" s="169">
        <v>8</v>
      </c>
      <c r="E31" s="72">
        <f>IF(C31="","",IFERROR(VLOOKUP(C31,'ITEM LIST'!B:M,12,0)*D31,0))</f>
        <v>3.44</v>
      </c>
    </row>
    <row r="32" spans="1:5" ht="14.25">
      <c r="A32" s="60" t="s">
        <v>100</v>
      </c>
      <c r="B32" s="45" t="s">
        <v>589</v>
      </c>
      <c r="C32" s="45" t="s">
        <v>512</v>
      </c>
      <c r="D32" s="169">
        <v>240</v>
      </c>
      <c r="E32" s="72">
        <f>IF(C32="","",IFERROR(VLOOKUP(C32,'ITEM LIST'!B:M,12,0)*D32,0))</f>
        <v>12</v>
      </c>
    </row>
    <row r="33" spans="1:5" ht="14.25">
      <c r="A33" s="60" t="s">
        <v>100</v>
      </c>
      <c r="B33" s="45" t="s">
        <v>589</v>
      </c>
      <c r="C33" s="45" t="s">
        <v>418</v>
      </c>
      <c r="D33" s="170">
        <v>2.25</v>
      </c>
      <c r="E33" s="72">
        <f>IF(C33="","",IFERROR(VLOOKUP(C33,'ITEM LIST'!B:M,12,0)*D33,0))</f>
        <v>157.5</v>
      </c>
    </row>
    <row r="34" spans="1:5" ht="14.25">
      <c r="A34" s="60" t="s">
        <v>100</v>
      </c>
      <c r="B34" s="45" t="s">
        <v>371</v>
      </c>
      <c r="C34" s="45" t="s">
        <v>371</v>
      </c>
      <c r="D34" s="170"/>
      <c r="E34" s="72" t="str">
        <f>IF(C34="","",IFERROR(VLOOKUP(C34,'ITEM LIST'!B:M,12,0)*D34,0))</f>
        <v/>
      </c>
    </row>
    <row r="35" spans="1:5" ht="14.25">
      <c r="A35" s="60" t="s">
        <v>100</v>
      </c>
      <c r="B35" s="45" t="s">
        <v>371</v>
      </c>
      <c r="C35" s="45" t="s">
        <v>371</v>
      </c>
      <c r="D35" s="170"/>
      <c r="E35" s="72" t="str">
        <f>IF(C35="","",IFERROR(VLOOKUP(C35,'ITEM LIST'!B:M,12,0)*D35,0))</f>
        <v/>
      </c>
    </row>
    <row r="36" spans="1:5" ht="14.25">
      <c r="A36" s="60" t="s">
        <v>100</v>
      </c>
      <c r="B36" s="45" t="s">
        <v>590</v>
      </c>
      <c r="C36" s="45" t="s">
        <v>122</v>
      </c>
      <c r="D36" s="169">
        <v>714.28571428571433</v>
      </c>
      <c r="E36" s="72">
        <f>IF(C36="","",IFERROR(VLOOKUP(C36,'ITEM LIST'!B:M,12,0)*D36,0))</f>
        <v>200.00000000000003</v>
      </c>
    </row>
    <row r="37" spans="1:5" ht="14.25">
      <c r="A37" s="60" t="s">
        <v>100</v>
      </c>
      <c r="B37" s="45" t="s">
        <v>590</v>
      </c>
      <c r="C37" s="45" t="s">
        <v>496</v>
      </c>
      <c r="D37" s="169">
        <v>71.428571428571431</v>
      </c>
      <c r="E37" s="72">
        <f>IF(C37="","",IFERROR(VLOOKUP(C37,'ITEM LIST'!B:M,12,0)*D37,0))</f>
        <v>11.428571428571429</v>
      </c>
    </row>
    <row r="38" spans="1:5" ht="14.25">
      <c r="A38" s="60" t="s">
        <v>100</v>
      </c>
      <c r="B38" s="45" t="s">
        <v>590</v>
      </c>
      <c r="C38" s="45" t="s">
        <v>512</v>
      </c>
      <c r="D38" s="169">
        <v>214.28571428571428</v>
      </c>
      <c r="E38" s="72">
        <f>IF(C38="","",IFERROR(VLOOKUP(C38,'ITEM LIST'!B:M,12,0)*D38,0))</f>
        <v>10.714285714285715</v>
      </c>
    </row>
    <row r="39" spans="1:5" ht="14.25">
      <c r="A39" s="60" t="s">
        <v>100</v>
      </c>
      <c r="B39" s="45" t="s">
        <v>590</v>
      </c>
      <c r="C39" s="45" t="s">
        <v>380</v>
      </c>
      <c r="D39" s="169">
        <v>57.142857142857146</v>
      </c>
      <c r="E39" s="72">
        <f>IF(C39="","",IFERROR(VLOOKUP(C39,'ITEM LIST'!B:M,12,0)*D39,0))</f>
        <v>30.476000000000006</v>
      </c>
    </row>
    <row r="40" spans="1:5" ht="14.25">
      <c r="A40" s="60" t="s">
        <v>100</v>
      </c>
      <c r="B40" s="45" t="s">
        <v>590</v>
      </c>
      <c r="C40" s="45" t="s">
        <v>418</v>
      </c>
      <c r="D40" s="170">
        <v>1.56</v>
      </c>
      <c r="E40" s="72">
        <f>IF(C40="","",IFERROR(VLOOKUP(C40,'ITEM LIST'!B:M,12,0)*D40,0))</f>
        <v>109.2</v>
      </c>
    </row>
    <row r="41" spans="1:5" ht="14.25">
      <c r="A41" s="60" t="s">
        <v>100</v>
      </c>
      <c r="B41" s="45" t="s">
        <v>371</v>
      </c>
      <c r="C41" s="45" t="s">
        <v>371</v>
      </c>
      <c r="D41" s="170"/>
      <c r="E41" s="72" t="str">
        <f>IF(C41="","",IFERROR(VLOOKUP(C41,'ITEM LIST'!B:M,12,0)*D41,0))</f>
        <v/>
      </c>
    </row>
    <row r="42" spans="1:5" ht="14.25">
      <c r="A42" s="60" t="s">
        <v>100</v>
      </c>
      <c r="B42" s="45" t="s">
        <v>436</v>
      </c>
      <c r="C42" s="45" t="s">
        <v>414</v>
      </c>
      <c r="D42" s="169">
        <v>571.42857142857144</v>
      </c>
      <c r="E42" s="72">
        <f>IF(C42="","",IFERROR(VLOOKUP(C42,'ITEM LIST'!B:M,12,0)*D42,0))</f>
        <v>291.42857142857144</v>
      </c>
    </row>
    <row r="43" spans="1:5" ht="14.25">
      <c r="A43" s="60" t="s">
        <v>100</v>
      </c>
      <c r="B43" s="45" t="s">
        <v>436</v>
      </c>
      <c r="C43" s="45" t="s">
        <v>512</v>
      </c>
      <c r="D43" s="169">
        <v>571.42857142857144</v>
      </c>
      <c r="E43" s="72">
        <f>IF(C43="","",IFERROR(VLOOKUP(C43,'ITEM LIST'!B:M,12,0)*D43,0))</f>
        <v>28.571428571428573</v>
      </c>
    </row>
    <row r="44" spans="1:5" ht="14.25">
      <c r="A44" s="60" t="s">
        <v>100</v>
      </c>
      <c r="B44" s="45" t="s">
        <v>436</v>
      </c>
      <c r="C44" s="45" t="s">
        <v>418</v>
      </c>
      <c r="D44" s="170">
        <v>3.5</v>
      </c>
      <c r="E44" s="72">
        <f>IF(C44="","",IFERROR(VLOOKUP(C44,'ITEM LIST'!B:M,12,0)*D44,0))</f>
        <v>245</v>
      </c>
    </row>
    <row r="45" spans="1:5" ht="14.25">
      <c r="A45" s="60" t="s">
        <v>100</v>
      </c>
      <c r="B45" s="45" t="s">
        <v>371</v>
      </c>
      <c r="C45" s="45" t="s">
        <v>371</v>
      </c>
      <c r="D45" s="170"/>
      <c r="E45" s="72" t="str">
        <f>IF(C45="","",IFERROR(VLOOKUP(C45,'ITEM LIST'!B:M,12,0)*D45,0))</f>
        <v/>
      </c>
    </row>
    <row r="46" spans="1:5" ht="14.25">
      <c r="A46" s="60" t="s">
        <v>100</v>
      </c>
      <c r="B46" s="45" t="s">
        <v>371</v>
      </c>
      <c r="C46" s="45" t="s">
        <v>371</v>
      </c>
      <c r="D46" s="170"/>
      <c r="E46" s="72" t="str">
        <f>IF(C46="","",IFERROR(VLOOKUP(C46,'ITEM LIST'!B:M,12,0)*D46,0))</f>
        <v/>
      </c>
    </row>
    <row r="47" spans="1:5" ht="14.25">
      <c r="A47" s="60" t="s">
        <v>100</v>
      </c>
      <c r="B47" s="45" t="s">
        <v>591</v>
      </c>
      <c r="C47" s="45" t="s">
        <v>40</v>
      </c>
      <c r="D47" s="169">
        <v>160</v>
      </c>
      <c r="E47" s="72">
        <f>IF(C47="","",IFERROR(VLOOKUP(C47,'ITEM LIST'!B:M,12,0)*D47,0))</f>
        <v>5.12</v>
      </c>
    </row>
    <row r="48" spans="1:5" ht="14.25">
      <c r="A48" s="60" t="s">
        <v>100</v>
      </c>
      <c r="B48" s="45" t="s">
        <v>591</v>
      </c>
      <c r="C48" s="45" t="s">
        <v>24</v>
      </c>
      <c r="D48" s="169">
        <v>160</v>
      </c>
      <c r="E48" s="72">
        <f>IF(C48="","",IFERROR(VLOOKUP(C48,'ITEM LIST'!B:M,12,0)*D48,0))</f>
        <v>11.200000000000001</v>
      </c>
    </row>
    <row r="49" spans="1:5" ht="14.25">
      <c r="A49" s="60" t="s">
        <v>100</v>
      </c>
      <c r="B49" s="45" t="s">
        <v>591</v>
      </c>
      <c r="C49" s="45" t="s">
        <v>380</v>
      </c>
      <c r="D49" s="169">
        <v>320</v>
      </c>
      <c r="E49" s="72">
        <f>IF(C49="","",IFERROR(VLOOKUP(C49,'ITEM LIST'!B:M,12,0)*D49,0))</f>
        <v>170.66560000000004</v>
      </c>
    </row>
    <row r="50" spans="1:5" ht="14.25">
      <c r="A50" s="60" t="s">
        <v>100</v>
      </c>
      <c r="B50" s="45" t="s">
        <v>591</v>
      </c>
      <c r="C50" s="45" t="s">
        <v>512</v>
      </c>
      <c r="D50" s="169">
        <v>400</v>
      </c>
      <c r="E50" s="72">
        <f>IF(C50="","",IFERROR(VLOOKUP(C50,'ITEM LIST'!B:M,12,0)*D50,0))</f>
        <v>20</v>
      </c>
    </row>
    <row r="51" spans="1:5" ht="14.25">
      <c r="A51" s="60" t="s">
        <v>100</v>
      </c>
      <c r="B51" s="45" t="s">
        <v>591</v>
      </c>
      <c r="C51" s="45" t="s">
        <v>0</v>
      </c>
      <c r="D51" s="169">
        <v>11.2</v>
      </c>
      <c r="E51" s="72">
        <f>IF(C51="","",IFERROR(VLOOKUP(C51,'ITEM LIST'!B:M,12,0)*D51,0))</f>
        <v>9.7439999999999998</v>
      </c>
    </row>
    <row r="52" spans="1:5" ht="14.25">
      <c r="A52" s="60" t="s">
        <v>100</v>
      </c>
      <c r="B52" s="45" t="s">
        <v>591</v>
      </c>
      <c r="C52" s="45" t="s">
        <v>103</v>
      </c>
      <c r="D52" s="169">
        <v>11.2</v>
      </c>
      <c r="E52" s="72">
        <f>IF(C52="","",IFERROR(VLOOKUP(C52,'ITEM LIST'!B:M,12,0)*D52,0))</f>
        <v>20.16</v>
      </c>
    </row>
    <row r="53" spans="1:5" ht="14.25">
      <c r="A53" s="60" t="s">
        <v>100</v>
      </c>
      <c r="B53" s="45" t="s">
        <v>591</v>
      </c>
      <c r="C53" s="45" t="s">
        <v>60</v>
      </c>
      <c r="D53" s="169">
        <v>8</v>
      </c>
      <c r="E53" s="72">
        <f>IF(C53="","",IFERROR(VLOOKUP(C53,'ITEM LIST'!B:M,12,0)*D53,0))</f>
        <v>10.8</v>
      </c>
    </row>
    <row r="54" spans="1:5" ht="14.25">
      <c r="A54" s="60" t="s">
        <v>100</v>
      </c>
      <c r="B54" s="45" t="s">
        <v>591</v>
      </c>
      <c r="C54" s="45" t="s">
        <v>11</v>
      </c>
      <c r="D54" s="169">
        <v>8</v>
      </c>
      <c r="E54" s="72">
        <f>IF(C54="","",IFERROR(VLOOKUP(C54,'ITEM LIST'!B:M,12,0)*D54,0))</f>
        <v>5.68</v>
      </c>
    </row>
    <row r="55" spans="1:5" ht="14.25">
      <c r="A55" s="60" t="s">
        <v>100</v>
      </c>
      <c r="B55" s="45" t="s">
        <v>591</v>
      </c>
      <c r="C55" s="45" t="s">
        <v>418</v>
      </c>
      <c r="D55" s="170">
        <v>2.5</v>
      </c>
      <c r="E55" s="72">
        <f>IF(C55="","",IFERROR(VLOOKUP(C55,'ITEM LIST'!B:M,12,0)*D55,0))</f>
        <v>175</v>
      </c>
    </row>
    <row r="56" spans="1:5" ht="14.25">
      <c r="A56" s="60" t="s">
        <v>100</v>
      </c>
      <c r="B56" s="45" t="s">
        <v>371</v>
      </c>
      <c r="C56" s="45" t="s">
        <v>371</v>
      </c>
      <c r="D56" s="170"/>
      <c r="E56" s="72" t="str">
        <f>IF(C56="","",IFERROR(VLOOKUP(C56,'ITEM LIST'!B:M,12,0)*D56,0))</f>
        <v/>
      </c>
    </row>
    <row r="57" spans="1:5" ht="14.25">
      <c r="A57" s="60" t="s">
        <v>100</v>
      </c>
      <c r="B57" s="45" t="s">
        <v>592</v>
      </c>
      <c r="C57" s="45" t="s">
        <v>420</v>
      </c>
      <c r="D57" s="170">
        <v>2850</v>
      </c>
      <c r="E57" s="72">
        <f>IF(C57="","",IFERROR(VLOOKUP(C57,'ITEM LIST'!B:M,12,0)*D57,0))</f>
        <v>188.10000000000002</v>
      </c>
    </row>
    <row r="58" spans="1:5" ht="14.25">
      <c r="A58" s="60" t="s">
        <v>100</v>
      </c>
      <c r="B58" s="45" t="s">
        <v>592</v>
      </c>
      <c r="C58" s="45" t="s">
        <v>512</v>
      </c>
      <c r="D58" s="170">
        <v>285</v>
      </c>
      <c r="E58" s="72">
        <f>IF(C58="","",IFERROR(VLOOKUP(C58,'ITEM LIST'!B:M,12,0)*D58,0))</f>
        <v>14.25</v>
      </c>
    </row>
    <row r="59" spans="1:5" ht="14.25">
      <c r="A59" s="60" t="s">
        <v>100</v>
      </c>
      <c r="B59" s="45" t="s">
        <v>371</v>
      </c>
      <c r="C59" s="45" t="s">
        <v>371</v>
      </c>
      <c r="D59" s="170"/>
      <c r="E59" s="72" t="str">
        <f>IF(C59="","",IFERROR(VLOOKUP(C59,'ITEM LIST'!B:M,12,0)*D59,0))</f>
        <v/>
      </c>
    </row>
    <row r="60" spans="1:5" ht="14.25">
      <c r="A60" s="60" t="s">
        <v>100</v>
      </c>
      <c r="B60" s="45" t="s">
        <v>105</v>
      </c>
      <c r="C60" s="45" t="s">
        <v>39</v>
      </c>
      <c r="D60" s="169">
        <v>10.16260162601626</v>
      </c>
      <c r="E60" s="72">
        <f>IF(C60="","",IFERROR(VLOOKUP(C60,'ITEM LIST'!B:M,12,0)*D60,0))</f>
        <v>0.35569105691056913</v>
      </c>
    </row>
    <row r="61" spans="1:5" ht="14.25">
      <c r="A61" s="60" t="s">
        <v>100</v>
      </c>
      <c r="B61" s="45" t="s">
        <v>105</v>
      </c>
      <c r="C61" s="45" t="s">
        <v>512</v>
      </c>
      <c r="D61" s="169">
        <v>30</v>
      </c>
      <c r="E61" s="72">
        <f>IF(C61="","",IFERROR(VLOOKUP(C61,'ITEM LIST'!B:M,12,0)*D61,0))</f>
        <v>1.5</v>
      </c>
    </row>
    <row r="62" spans="1:5" ht="14.25">
      <c r="A62" s="60" t="s">
        <v>100</v>
      </c>
      <c r="B62" s="45" t="s">
        <v>105</v>
      </c>
      <c r="C62" s="45" t="s">
        <v>380</v>
      </c>
      <c r="D62" s="169">
        <v>12.195121951219512</v>
      </c>
      <c r="E62" s="72">
        <f>IF(C62="","",IFERROR(VLOOKUP(C62,'ITEM LIST'!B:M,12,0)*D62,0))</f>
        <v>6.5040243902439032</v>
      </c>
    </row>
    <row r="63" spans="1:5" ht="14.25">
      <c r="A63" s="60" t="s">
        <v>100</v>
      </c>
      <c r="B63" s="45" t="s">
        <v>105</v>
      </c>
      <c r="C63" s="45" t="s">
        <v>40</v>
      </c>
      <c r="D63" s="169">
        <v>2.0325203252032518</v>
      </c>
      <c r="E63" s="72">
        <f>IF(C63="","",IFERROR(VLOOKUP(C63,'ITEM LIST'!B:M,12,0)*D63,0))</f>
        <v>6.5040650406504058E-2</v>
      </c>
    </row>
    <row r="64" spans="1:5" ht="14.25">
      <c r="A64" s="60" t="s">
        <v>100</v>
      </c>
      <c r="B64" s="45" t="s">
        <v>105</v>
      </c>
      <c r="C64" s="45" t="s">
        <v>384</v>
      </c>
      <c r="D64" s="169">
        <v>0.50813008130081294</v>
      </c>
      <c r="E64" s="72">
        <f>IF(C64="","",IFERROR(VLOOKUP(C64,'ITEM LIST'!B:M,12,0)*D64,0))</f>
        <v>1.7784552845528455E-2</v>
      </c>
    </row>
    <row r="65" spans="1:5" ht="14.25">
      <c r="A65" s="60" t="s">
        <v>100</v>
      </c>
      <c r="B65" s="45" t="s">
        <v>105</v>
      </c>
      <c r="C65" s="45" t="s">
        <v>581</v>
      </c>
      <c r="D65" s="169">
        <v>0.10162601626016261</v>
      </c>
      <c r="E65" s="72">
        <f>IF(C65="","",IFERROR(VLOOKUP(C65,'ITEM LIST'!B:M,12,0)*D65,0))</f>
        <v>0.20325203252032523</v>
      </c>
    </row>
    <row r="66" spans="1:5" ht="14.25">
      <c r="A66" s="60" t="s">
        <v>100</v>
      </c>
      <c r="B66" s="45" t="s">
        <v>105</v>
      </c>
      <c r="C66" s="45" t="s">
        <v>355</v>
      </c>
      <c r="D66" s="169">
        <v>2.4390243902439025E-2</v>
      </c>
      <c r="E66" s="72">
        <f>IF(C66="","",IFERROR(VLOOKUP(C66,'ITEM LIST'!B:M,12,0)*D66,0))</f>
        <v>3.9024390243902443E-3</v>
      </c>
    </row>
    <row r="67" spans="1:5" ht="14.25">
      <c r="A67" s="60" t="s">
        <v>100</v>
      </c>
      <c r="B67" s="45" t="s">
        <v>105</v>
      </c>
      <c r="C67" s="45" t="s">
        <v>356</v>
      </c>
      <c r="D67" s="169">
        <v>4.0650406504065036E-3</v>
      </c>
      <c r="E67" s="72">
        <f>IF(C67="","",IFERROR(VLOOKUP(C67,'ITEM LIST'!B:M,12,0)*D67,0))</f>
        <v>5.2845528455284553E-4</v>
      </c>
    </row>
    <row r="68" spans="1:5" ht="14.25">
      <c r="A68" s="60" t="s">
        <v>100</v>
      </c>
      <c r="B68" s="45" t="s">
        <v>105</v>
      </c>
      <c r="C68" s="45" t="s">
        <v>17</v>
      </c>
      <c r="D68" s="169">
        <v>4.0650406504065035</v>
      </c>
      <c r="E68" s="72">
        <f>IF(C68="","",IFERROR(VLOOKUP(C68,'ITEM LIST'!B:M,12,0)*D68,0))</f>
        <v>1.097560975609756</v>
      </c>
    </row>
    <row r="69" spans="1:5" ht="14.25">
      <c r="A69" s="60" t="s">
        <v>100</v>
      </c>
      <c r="B69" s="45" t="s">
        <v>371</v>
      </c>
      <c r="C69" s="45" t="s">
        <v>371</v>
      </c>
      <c r="D69" s="170"/>
      <c r="E69" s="72" t="str">
        <f>IF(C69="","",IFERROR(VLOOKUP(C69,'ITEM LIST'!B:M,12,0)*D69,0))</f>
        <v/>
      </c>
    </row>
    <row r="70" spans="1:5" ht="14.25">
      <c r="A70" s="60" t="s">
        <v>100</v>
      </c>
      <c r="B70" s="45" t="s">
        <v>371</v>
      </c>
      <c r="C70" s="45" t="s">
        <v>371</v>
      </c>
      <c r="D70" s="170"/>
      <c r="E70" s="72" t="str">
        <f>IF(C70="","",IFERROR(VLOOKUP(C70,'ITEM LIST'!B:M,12,0)*D70,0))</f>
        <v/>
      </c>
    </row>
    <row r="71" spans="1:5" ht="14.25">
      <c r="A71" s="60" t="s">
        <v>100</v>
      </c>
      <c r="B71" s="45" t="s">
        <v>593</v>
      </c>
      <c r="C71" s="45" t="s">
        <v>420</v>
      </c>
      <c r="D71" s="169">
        <v>190</v>
      </c>
      <c r="E71" s="72">
        <f>IF(C71="","",IFERROR(VLOOKUP(C71,'ITEM LIST'!B:M,12,0)*D71,0))</f>
        <v>12.540000000000001</v>
      </c>
    </row>
    <row r="72" spans="1:5" ht="14.25">
      <c r="A72" s="60" t="s">
        <v>100</v>
      </c>
      <c r="B72" s="45" t="s">
        <v>593</v>
      </c>
      <c r="C72" s="45" t="s">
        <v>512</v>
      </c>
      <c r="D72" s="169">
        <v>60</v>
      </c>
      <c r="E72" s="72">
        <f>IF(C72="","",IFERROR(VLOOKUP(C72,'ITEM LIST'!B:M,12,0)*D72,0))</f>
        <v>3</v>
      </c>
    </row>
    <row r="73" spans="1:5" ht="14.25">
      <c r="A73" s="60" t="s">
        <v>100</v>
      </c>
      <c r="B73" s="45" t="s">
        <v>371</v>
      </c>
      <c r="C73" s="45" t="s">
        <v>371</v>
      </c>
      <c r="D73" s="170"/>
      <c r="E73" s="72" t="str">
        <f>IF(C73="","",IFERROR(VLOOKUP(C73,'ITEM LIST'!B:M,12,0)*D73,0))</f>
        <v/>
      </c>
    </row>
    <row r="74" spans="1:5" ht="14.25">
      <c r="A74" s="60" t="s">
        <v>100</v>
      </c>
      <c r="B74" s="45" t="s">
        <v>106</v>
      </c>
      <c r="C74" s="45" t="s">
        <v>40</v>
      </c>
      <c r="D74" s="169">
        <v>19.23076923076923</v>
      </c>
      <c r="E74" s="72">
        <f>IF(C74="","",IFERROR(VLOOKUP(C74,'ITEM LIST'!B:M,12,0)*D74,0))</f>
        <v>0.61538461538461542</v>
      </c>
    </row>
    <row r="75" spans="1:5" ht="14.25">
      <c r="A75" s="60" t="s">
        <v>100</v>
      </c>
      <c r="B75" s="45" t="s">
        <v>106</v>
      </c>
      <c r="C75" s="45" t="s">
        <v>380</v>
      </c>
      <c r="D75" s="169">
        <v>5.7692307692307692</v>
      </c>
      <c r="E75" s="72">
        <f>IF(C75="","",IFERROR(VLOOKUP(C75,'ITEM LIST'!B:M,12,0)*D75,0))</f>
        <v>3.0769038461538467</v>
      </c>
    </row>
    <row r="76" spans="1:5" ht="14.25">
      <c r="A76" s="60" t="s">
        <v>100</v>
      </c>
      <c r="B76" s="45" t="s">
        <v>106</v>
      </c>
      <c r="C76" s="45" t="s">
        <v>355</v>
      </c>
      <c r="D76" s="169">
        <v>0.17307692307692307</v>
      </c>
      <c r="E76" s="72">
        <f>IF(C76="","",IFERROR(VLOOKUP(C76,'ITEM LIST'!B:M,12,0)*D76,0))</f>
        <v>2.7692307692307693E-2</v>
      </c>
    </row>
    <row r="77" spans="1:5" ht="14.25">
      <c r="A77" s="60" t="s">
        <v>100</v>
      </c>
      <c r="B77" s="45" t="s">
        <v>106</v>
      </c>
      <c r="C77" s="45" t="s">
        <v>356</v>
      </c>
      <c r="D77" s="169">
        <v>4.807692307692308E-3</v>
      </c>
      <c r="E77" s="72">
        <f>IF(C77="","",IFERROR(VLOOKUP(C77,'ITEM LIST'!B:M,12,0)*D77,0))</f>
        <v>6.2500000000000001E-4</v>
      </c>
    </row>
    <row r="78" spans="1:5" ht="14.25">
      <c r="A78" s="60" t="s">
        <v>100</v>
      </c>
      <c r="B78" s="45" t="s">
        <v>106</v>
      </c>
      <c r="C78" s="45" t="s">
        <v>512</v>
      </c>
      <c r="D78" s="169">
        <v>52.884615384615387</v>
      </c>
      <c r="E78" s="72">
        <f>IF(C78="","",IFERROR(VLOOKUP(C78,'ITEM LIST'!B:M,12,0)*D78,0))</f>
        <v>2.6442307692307696</v>
      </c>
    </row>
    <row r="79" spans="1:5" ht="14.25">
      <c r="A79" s="60" t="s">
        <v>100</v>
      </c>
      <c r="B79" s="45" t="s">
        <v>371</v>
      </c>
      <c r="C79" s="45" t="s">
        <v>371</v>
      </c>
      <c r="D79" s="170"/>
      <c r="E79" s="72" t="str">
        <f>IF(C79="","",IFERROR(VLOOKUP(C79,'ITEM LIST'!B:M,12,0)*D79,0))</f>
        <v/>
      </c>
    </row>
    <row r="80" spans="1:5" ht="14.25">
      <c r="A80" s="60" t="s">
        <v>100</v>
      </c>
      <c r="B80" s="45" t="s">
        <v>102</v>
      </c>
      <c r="C80" s="45" t="s">
        <v>40</v>
      </c>
      <c r="D80" s="169">
        <v>15.384615384615385</v>
      </c>
      <c r="E80" s="72">
        <f>IF(C80="","",IFERROR(VLOOKUP(C80,'ITEM LIST'!B:M,12,0)*D80,0))</f>
        <v>0.49230769230769234</v>
      </c>
    </row>
    <row r="81" spans="1:5" ht="14.25">
      <c r="A81" s="60" t="s">
        <v>100</v>
      </c>
      <c r="B81" s="45" t="s">
        <v>102</v>
      </c>
      <c r="C81" s="45" t="s">
        <v>122</v>
      </c>
      <c r="D81" s="169">
        <v>23.076923076923077</v>
      </c>
      <c r="E81" s="72">
        <f>IF(C81="","",IFERROR(VLOOKUP(C81,'ITEM LIST'!B:M,12,0)*D81,0))</f>
        <v>6.4615384615384617</v>
      </c>
    </row>
    <row r="82" spans="1:5" ht="14.25">
      <c r="A82" s="60" t="s">
        <v>100</v>
      </c>
      <c r="B82" s="45" t="s">
        <v>102</v>
      </c>
      <c r="C82" s="45" t="s">
        <v>14</v>
      </c>
      <c r="D82" s="170">
        <v>4.615384615384615</v>
      </c>
      <c r="E82" s="72">
        <f>IF(C82="","",IFERROR(VLOOKUP(C82,'ITEM LIST'!B:M,12,0)*D82,0))</f>
        <v>147.69230769230768</v>
      </c>
    </row>
    <row r="83" spans="1:5" ht="14.25">
      <c r="A83" s="60" t="s">
        <v>100</v>
      </c>
      <c r="B83" s="45" t="s">
        <v>102</v>
      </c>
      <c r="C83" s="45" t="s">
        <v>509</v>
      </c>
      <c r="D83" s="170">
        <v>3.8461538461538463</v>
      </c>
      <c r="E83" s="72">
        <f>IF(C83="","",IFERROR(VLOOKUP(C83,'ITEM LIST'!B:M,12,0)*D83,0))</f>
        <v>0.16153846153846155</v>
      </c>
    </row>
    <row r="84" spans="1:5" ht="14.25">
      <c r="A84" s="60" t="s">
        <v>100</v>
      </c>
      <c r="B84" s="45" t="s">
        <v>102</v>
      </c>
      <c r="C84" s="45" t="s">
        <v>0</v>
      </c>
      <c r="D84" s="169">
        <v>0.92307692307692313</v>
      </c>
      <c r="E84" s="72">
        <f>IF(C84="","",IFERROR(VLOOKUP(C84,'ITEM LIST'!B:M,12,0)*D84,0))</f>
        <v>0.80307692307692313</v>
      </c>
    </row>
    <row r="85" spans="1:5" ht="14.25">
      <c r="A85" s="60" t="s">
        <v>100</v>
      </c>
      <c r="B85" s="45" t="s">
        <v>102</v>
      </c>
      <c r="C85" s="45" t="s">
        <v>103</v>
      </c>
      <c r="D85" s="169">
        <v>0.92307692307692313</v>
      </c>
      <c r="E85" s="72">
        <f>IF(C85="","",IFERROR(VLOOKUP(C85,'ITEM LIST'!B:M,12,0)*D85,0))</f>
        <v>1.6615384615384616</v>
      </c>
    </row>
    <row r="86" spans="1:5" ht="14.25">
      <c r="A86" s="60" t="s">
        <v>100</v>
      </c>
      <c r="B86" s="45" t="s">
        <v>102</v>
      </c>
      <c r="C86" s="45" t="s">
        <v>415</v>
      </c>
      <c r="D86" s="169">
        <v>0.76923076923076927</v>
      </c>
      <c r="E86" s="72">
        <f>IF(C86="","",IFERROR(VLOOKUP(C86,'ITEM LIST'!B:M,12,0)*D86,0))</f>
        <v>0.23076923076923078</v>
      </c>
    </row>
    <row r="87" spans="1:5" ht="14.25">
      <c r="A87" s="60" t="s">
        <v>100</v>
      </c>
      <c r="B87" s="45" t="s">
        <v>102</v>
      </c>
      <c r="C87" s="45" t="s">
        <v>412</v>
      </c>
      <c r="D87" s="169">
        <v>1.5384615384615385</v>
      </c>
      <c r="E87" s="72">
        <f>IF(C87="","",IFERROR(VLOOKUP(C87,'ITEM LIST'!B:M,12,0)*D87,0))</f>
        <v>1.1384615384615384</v>
      </c>
    </row>
    <row r="88" spans="1:5" ht="14.25">
      <c r="A88" s="60" t="s">
        <v>100</v>
      </c>
      <c r="B88" s="45" t="s">
        <v>102</v>
      </c>
      <c r="C88" s="45" t="s">
        <v>380</v>
      </c>
      <c r="D88" s="169">
        <v>3.8461538461538463</v>
      </c>
      <c r="E88" s="72">
        <f>IF(C88="","",IFERROR(VLOOKUP(C88,'ITEM LIST'!B:M,12,0)*D88,0))</f>
        <v>2.0512692307692313</v>
      </c>
    </row>
    <row r="89" spans="1:5" ht="14.25">
      <c r="A89" s="60" t="s">
        <v>100</v>
      </c>
      <c r="B89" s="45" t="s">
        <v>371</v>
      </c>
      <c r="C89" s="45" t="s">
        <v>371</v>
      </c>
      <c r="D89" s="170"/>
      <c r="E89" s="72" t="str">
        <f>IF(C89="","",IFERROR(VLOOKUP(C89,'ITEM LIST'!B:M,12,0)*D89,0))</f>
        <v/>
      </c>
    </row>
    <row r="90" spans="1:5" ht="14.25">
      <c r="A90" s="60" t="s">
        <v>100</v>
      </c>
      <c r="B90" s="45" t="s">
        <v>594</v>
      </c>
      <c r="C90" s="45" t="s">
        <v>380</v>
      </c>
      <c r="D90" s="169">
        <v>209.44444444444443</v>
      </c>
      <c r="E90" s="72">
        <f>IF(C90="","",IFERROR(VLOOKUP(C90,'ITEM LIST'!B:M,12,0)*D90,0))</f>
        <v>111.70300555555556</v>
      </c>
    </row>
    <row r="91" spans="1:5" ht="14.25">
      <c r="A91" s="60" t="s">
        <v>100</v>
      </c>
      <c r="B91" s="45" t="s">
        <v>594</v>
      </c>
      <c r="C91" s="45" t="s">
        <v>512</v>
      </c>
      <c r="D91" s="169">
        <v>161.11111111111111</v>
      </c>
      <c r="E91" s="72">
        <f>IF(C91="","",IFERROR(VLOOKUP(C91,'ITEM LIST'!B:M,12,0)*D91,0))</f>
        <v>8.0555555555555554</v>
      </c>
    </row>
    <row r="92" spans="1:5" ht="14.25">
      <c r="A92" s="60" t="s">
        <v>100</v>
      </c>
      <c r="B92" s="45" t="s">
        <v>594</v>
      </c>
      <c r="C92" s="45" t="s">
        <v>418</v>
      </c>
      <c r="D92" s="169">
        <v>1.6111111111111109</v>
      </c>
      <c r="E92" s="72">
        <f>IF(C92="","",IFERROR(VLOOKUP(C92,'ITEM LIST'!B:M,12,0)*D92,0))</f>
        <v>112.77777777777777</v>
      </c>
    </row>
    <row r="93" spans="1:5" ht="14.25">
      <c r="A93" s="60" t="s">
        <v>100</v>
      </c>
      <c r="B93" s="45" t="s">
        <v>594</v>
      </c>
      <c r="C93" s="45" t="s">
        <v>0</v>
      </c>
      <c r="D93" s="169">
        <v>16.111111111111111</v>
      </c>
      <c r="E93" s="72">
        <f>IF(C93="","",IFERROR(VLOOKUP(C93,'ITEM LIST'!B:M,12,0)*D93,0))</f>
        <v>14.016666666666666</v>
      </c>
    </row>
    <row r="94" spans="1:5" ht="14.25">
      <c r="A94" s="60" t="s">
        <v>100</v>
      </c>
      <c r="B94" s="45" t="s">
        <v>594</v>
      </c>
      <c r="C94" s="45" t="s">
        <v>103</v>
      </c>
      <c r="D94" s="169">
        <v>16.111111111111111</v>
      </c>
      <c r="E94" s="72">
        <f>IF(C94="","",IFERROR(VLOOKUP(C94,'ITEM LIST'!B:M,12,0)*D94,0))</f>
        <v>29</v>
      </c>
    </row>
    <row r="95" spans="1:5" ht="14.25">
      <c r="A95" s="60" t="s">
        <v>100</v>
      </c>
      <c r="B95" s="45" t="s">
        <v>594</v>
      </c>
      <c r="C95" s="45" t="s">
        <v>40</v>
      </c>
      <c r="D95" s="169">
        <v>161.11111111111111</v>
      </c>
      <c r="E95" s="72">
        <f>IF(C95="","",IFERROR(VLOOKUP(C95,'ITEM LIST'!B:M,12,0)*D95,0))</f>
        <v>5.1555555555555559</v>
      </c>
    </row>
    <row r="96" spans="1:5" ht="14.25">
      <c r="A96" s="60" t="s">
        <v>100</v>
      </c>
      <c r="B96" s="45" t="s">
        <v>594</v>
      </c>
      <c r="C96" s="45" t="s">
        <v>101</v>
      </c>
      <c r="D96" s="169">
        <v>128.88888888888889</v>
      </c>
      <c r="E96" s="72">
        <f>IF(C96="","",IFERROR(VLOOKUP(C96,'ITEM LIST'!B:M,12,0)*D96,0))</f>
        <v>0</v>
      </c>
    </row>
    <row r="97" spans="1:5" ht="14.25">
      <c r="A97" s="60" t="s">
        <v>100</v>
      </c>
      <c r="B97" s="45" t="s">
        <v>594</v>
      </c>
      <c r="C97" s="45" t="s">
        <v>420</v>
      </c>
      <c r="D97" s="169">
        <v>700</v>
      </c>
      <c r="E97" s="72">
        <f>IF(C97="","",IFERROR(VLOOKUP(C97,'ITEM LIST'!B:M,12,0)*D97,0))</f>
        <v>46.2</v>
      </c>
    </row>
    <row r="98" spans="1:5" ht="14.25">
      <c r="A98" s="60" t="s">
        <v>100</v>
      </c>
      <c r="B98" s="45" t="s">
        <v>371</v>
      </c>
      <c r="C98" s="45" t="s">
        <v>371</v>
      </c>
      <c r="D98" s="170"/>
      <c r="E98" s="72" t="str">
        <f>IF(C98="","",IFERROR(VLOOKUP(C98,'ITEM LIST'!B:M,12,0)*D98,0))</f>
        <v/>
      </c>
    </row>
    <row r="99" spans="1:5" ht="14.25">
      <c r="A99" s="60" t="s">
        <v>100</v>
      </c>
      <c r="B99" s="45" t="s">
        <v>595</v>
      </c>
      <c r="C99" s="45" t="s">
        <v>384</v>
      </c>
      <c r="D99" s="169">
        <v>909.09090909090912</v>
      </c>
      <c r="E99" s="72">
        <f>IF(C99="","",IFERROR(VLOOKUP(C99,'ITEM LIST'!B:M,12,0)*D99,0))</f>
        <v>31.818181818181824</v>
      </c>
    </row>
    <row r="100" spans="1:5" ht="14.25">
      <c r="A100" s="60" t="s">
        <v>100</v>
      </c>
      <c r="B100" s="45" t="s">
        <v>595</v>
      </c>
      <c r="C100" s="45" t="s">
        <v>296</v>
      </c>
      <c r="D100" s="169">
        <v>90.909090909090907</v>
      </c>
      <c r="E100" s="72">
        <f>IF(C100="","",IFERROR(VLOOKUP(C100,'ITEM LIST'!B:M,12,0)*D100,0))</f>
        <v>15.363636363636365</v>
      </c>
    </row>
    <row r="101" spans="1:5" ht="14.25">
      <c r="A101" s="60" t="s">
        <v>100</v>
      </c>
      <c r="B101" s="45" t="s">
        <v>595</v>
      </c>
      <c r="C101" s="45" t="s">
        <v>40</v>
      </c>
      <c r="D101" s="169">
        <v>13.636363636363637</v>
      </c>
      <c r="E101" s="72">
        <f>IF(C101="","",IFERROR(VLOOKUP(C101,'ITEM LIST'!B:M,12,0)*D101,0))</f>
        <v>0.4363636363636364</v>
      </c>
    </row>
    <row r="102" spans="1:5" ht="14.25">
      <c r="A102" s="60" t="s">
        <v>100</v>
      </c>
      <c r="B102" s="45" t="s">
        <v>595</v>
      </c>
      <c r="C102" s="45" t="s">
        <v>508</v>
      </c>
      <c r="D102" s="169">
        <v>6.3636363636363633</v>
      </c>
      <c r="E102" s="72">
        <f>IF(C102="","",IFERROR(VLOOKUP(C102,'ITEM LIST'!B:M,12,0)*D102,0))</f>
        <v>0.30545454545454542</v>
      </c>
    </row>
    <row r="103" spans="1:5" ht="14.25">
      <c r="A103" s="60" t="s">
        <v>100</v>
      </c>
      <c r="B103" s="45" t="s">
        <v>595</v>
      </c>
      <c r="C103" s="45" t="s">
        <v>103</v>
      </c>
      <c r="D103" s="169">
        <v>2.2727272727272729</v>
      </c>
      <c r="E103" s="72">
        <f>IF(C103="","",IFERROR(VLOOKUP(C103,'ITEM LIST'!B:M,12,0)*D103,0))</f>
        <v>4.0909090909090917</v>
      </c>
    </row>
    <row r="104" spans="1:5" ht="14.25">
      <c r="A104" s="60" t="s">
        <v>100</v>
      </c>
      <c r="B104" s="45" t="s">
        <v>595</v>
      </c>
      <c r="C104" s="45" t="s">
        <v>0</v>
      </c>
      <c r="D104" s="169">
        <v>2.2727272727272729</v>
      </c>
      <c r="E104" s="72">
        <f>IF(C104="","",IFERROR(VLOOKUP(C104,'ITEM LIST'!B:M,12,0)*D104,0))</f>
        <v>1.9772727272727275</v>
      </c>
    </row>
    <row r="105" spans="1:5" ht="14.25">
      <c r="A105" s="60" t="s">
        <v>100</v>
      </c>
      <c r="B105" s="45" t="s">
        <v>595</v>
      </c>
      <c r="C105" s="45" t="s">
        <v>411</v>
      </c>
      <c r="D105" s="169">
        <v>4.5454545454545456E-2</v>
      </c>
      <c r="E105" s="72">
        <f>IF(C105="","",IFERROR(VLOOKUP(C105,'ITEM LIST'!B:M,12,0)*D105,0))</f>
        <v>4.7727272727272725</v>
      </c>
    </row>
    <row r="106" spans="1:5" ht="14.25">
      <c r="A106" s="60" t="s">
        <v>100</v>
      </c>
      <c r="B106" s="45" t="s">
        <v>371</v>
      </c>
      <c r="C106" s="45" t="s">
        <v>371</v>
      </c>
      <c r="D106" s="170"/>
      <c r="E106" s="72" t="str">
        <f>IF(C106="","",IFERROR(VLOOKUP(C106,'ITEM LIST'!B:M,12,0)*D106,0))</f>
        <v/>
      </c>
    </row>
    <row r="107" spans="1:5" ht="14.25">
      <c r="A107" s="60" t="s">
        <v>100</v>
      </c>
      <c r="B107" s="45" t="s">
        <v>596</v>
      </c>
      <c r="C107" s="45" t="s">
        <v>0</v>
      </c>
      <c r="D107" s="169">
        <v>8.3333333333333339</v>
      </c>
      <c r="E107" s="72">
        <f>IF(C107="","",IFERROR(VLOOKUP(C107,'ITEM LIST'!B:M,12,0)*D107,0))</f>
        <v>7.2500000000000009</v>
      </c>
    </row>
    <row r="108" spans="1:5" ht="14.25">
      <c r="A108" s="60" t="s">
        <v>100</v>
      </c>
      <c r="B108" s="45" t="s">
        <v>596</v>
      </c>
      <c r="C108" s="45" t="s">
        <v>413</v>
      </c>
      <c r="D108" s="169">
        <v>8.3333333333333339</v>
      </c>
      <c r="E108" s="72">
        <f>IF(C108="","",IFERROR(VLOOKUP(C108,'ITEM LIST'!B:M,12,0)*D108,0))</f>
        <v>5.416666666666667</v>
      </c>
    </row>
    <row r="109" spans="1:5" ht="14.25">
      <c r="A109" s="60" t="s">
        <v>100</v>
      </c>
      <c r="B109" s="45" t="s">
        <v>596</v>
      </c>
      <c r="C109" s="45" t="s">
        <v>103</v>
      </c>
      <c r="D109" s="169">
        <v>3.3333333333333335</v>
      </c>
      <c r="E109" s="72">
        <f>IF(C109="","",IFERROR(VLOOKUP(C109,'ITEM LIST'!B:M,12,0)*D109,0))</f>
        <v>6</v>
      </c>
    </row>
    <row r="110" spans="1:5" ht="14.25">
      <c r="A110" s="60" t="s">
        <v>100</v>
      </c>
      <c r="B110" s="45" t="s">
        <v>596</v>
      </c>
      <c r="C110" s="45" t="s">
        <v>495</v>
      </c>
      <c r="D110" s="169">
        <v>16.666666666666668</v>
      </c>
      <c r="E110" s="72">
        <f>IF(C110="","",IFERROR(VLOOKUP(C110,'ITEM LIST'!B:M,12,0)*D110,0))</f>
        <v>2.3333333333333339</v>
      </c>
    </row>
    <row r="111" spans="1:5" ht="14.25">
      <c r="A111" s="60" t="s">
        <v>100</v>
      </c>
      <c r="B111" s="45" t="s">
        <v>596</v>
      </c>
      <c r="C111" s="45" t="s">
        <v>40</v>
      </c>
      <c r="D111" s="169">
        <v>66.666666666666671</v>
      </c>
      <c r="E111" s="72">
        <f>IF(C111="","",IFERROR(VLOOKUP(C111,'ITEM LIST'!B:M,12,0)*D111,0))</f>
        <v>2.1333333333333337</v>
      </c>
    </row>
    <row r="112" spans="1:5" ht="14.25">
      <c r="A112" s="60" t="s">
        <v>100</v>
      </c>
      <c r="B112" s="45" t="s">
        <v>596</v>
      </c>
      <c r="C112" s="45" t="s">
        <v>512</v>
      </c>
      <c r="D112" s="169">
        <v>266.66666666666669</v>
      </c>
      <c r="E112" s="72">
        <f>IF(C112="","",IFERROR(VLOOKUP(C112,'ITEM LIST'!B:M,12,0)*D112,0))</f>
        <v>13.333333333333336</v>
      </c>
    </row>
    <row r="113" spans="1:5" ht="14.25">
      <c r="A113" s="60" t="s">
        <v>100</v>
      </c>
      <c r="B113" s="45" t="s">
        <v>596</v>
      </c>
      <c r="C113" s="45" t="s">
        <v>101</v>
      </c>
      <c r="D113" s="169">
        <v>1000</v>
      </c>
      <c r="E113" s="72">
        <f>IF(C113="","",IFERROR(VLOOKUP(C113,'ITEM LIST'!B:M,12,0)*D113,0))</f>
        <v>0</v>
      </c>
    </row>
    <row r="114" spans="1:5" ht="14.25">
      <c r="A114" s="60" t="s">
        <v>100</v>
      </c>
      <c r="B114" s="45" t="s">
        <v>596</v>
      </c>
      <c r="C114" s="45" t="s">
        <v>380</v>
      </c>
      <c r="D114" s="169">
        <v>1000</v>
      </c>
      <c r="E114" s="72">
        <f>IF(C114="","",IFERROR(VLOOKUP(C114,'ITEM LIST'!B:M,12,0)*D114,0))</f>
        <v>533.33000000000004</v>
      </c>
    </row>
    <row r="115" spans="1:5" ht="14.25">
      <c r="A115" s="60" t="s">
        <v>100</v>
      </c>
      <c r="B115" s="45" t="s">
        <v>371</v>
      </c>
      <c r="C115" s="45" t="s">
        <v>371</v>
      </c>
      <c r="D115" s="170"/>
      <c r="E115" s="72" t="str">
        <f>IF(C115="","",IFERROR(VLOOKUP(C115,'ITEM LIST'!B:M,12,0)*D115,0))</f>
        <v/>
      </c>
    </row>
    <row r="116" spans="1:5" ht="14.25">
      <c r="A116" s="60" t="s">
        <v>100</v>
      </c>
      <c r="B116" s="45" t="s">
        <v>597</v>
      </c>
      <c r="C116" s="45" t="s">
        <v>122</v>
      </c>
      <c r="D116" s="169">
        <v>1000</v>
      </c>
      <c r="E116" s="72">
        <f>IF(C116="","",IFERROR(VLOOKUP(C116,'ITEM LIST'!B:M,12,0)*D116,0))</f>
        <v>280</v>
      </c>
    </row>
    <row r="117" spans="1:5" ht="14.25">
      <c r="A117" s="60" t="s">
        <v>100</v>
      </c>
      <c r="B117" s="45" t="s">
        <v>597</v>
      </c>
      <c r="C117" s="45" t="s">
        <v>509</v>
      </c>
      <c r="D117" s="169">
        <v>300</v>
      </c>
      <c r="E117" s="72">
        <f>IF(C117="","",IFERROR(VLOOKUP(C117,'ITEM LIST'!B:M,12,0)*D117,0))</f>
        <v>12.600000000000001</v>
      </c>
    </row>
    <row r="118" spans="1:5" ht="14.25">
      <c r="A118" s="60" t="s">
        <v>100</v>
      </c>
      <c r="B118" s="45" t="s">
        <v>597</v>
      </c>
      <c r="C118" s="45" t="s">
        <v>103</v>
      </c>
      <c r="D118" s="169">
        <v>25</v>
      </c>
      <c r="E118" s="72">
        <f>IF(C118="","",IFERROR(VLOOKUP(C118,'ITEM LIST'!B:M,12,0)*D118,0))</f>
        <v>45</v>
      </c>
    </row>
    <row r="119" spans="1:5" ht="14.25">
      <c r="A119" s="60" t="s">
        <v>100</v>
      </c>
      <c r="B119" s="45" t="s">
        <v>597</v>
      </c>
      <c r="C119" s="45" t="s">
        <v>0</v>
      </c>
      <c r="D119" s="169">
        <v>25</v>
      </c>
      <c r="E119" s="72">
        <f>IF(C119="","",IFERROR(VLOOKUP(C119,'ITEM LIST'!B:M,12,0)*D119,0))</f>
        <v>21.75</v>
      </c>
    </row>
    <row r="120" spans="1:5" ht="14.25">
      <c r="A120" s="60" t="s">
        <v>100</v>
      </c>
      <c r="B120" s="45" t="s">
        <v>597</v>
      </c>
      <c r="C120" s="45" t="s">
        <v>353</v>
      </c>
      <c r="D120" s="169">
        <v>5</v>
      </c>
      <c r="E120" s="72">
        <f>IF(C120="","",IFERROR(VLOOKUP(C120,'ITEM LIST'!B:M,12,0)*D120,0))</f>
        <v>7</v>
      </c>
    </row>
    <row r="121" spans="1:5" ht="14.25">
      <c r="A121" s="60" t="s">
        <v>100</v>
      </c>
      <c r="B121" s="45" t="s">
        <v>597</v>
      </c>
      <c r="C121" s="45" t="s">
        <v>581</v>
      </c>
      <c r="D121" s="169">
        <v>5</v>
      </c>
      <c r="E121" s="72">
        <f>IF(C121="","",IFERROR(VLOOKUP(C121,'ITEM LIST'!B:M,12,0)*D121,0))</f>
        <v>10</v>
      </c>
    </row>
    <row r="122" spans="1:5" ht="14.25">
      <c r="A122" s="60" t="s">
        <v>100</v>
      </c>
      <c r="B122" s="45" t="s">
        <v>597</v>
      </c>
      <c r="C122" s="45" t="s">
        <v>418</v>
      </c>
      <c r="D122" s="170">
        <v>3</v>
      </c>
      <c r="E122" s="72">
        <f>IF(C122="","",IFERROR(VLOOKUP(C122,'ITEM LIST'!B:M,12,0)*D122,0))</f>
        <v>210</v>
      </c>
    </row>
    <row r="123" spans="1:5" ht="14.25">
      <c r="A123" s="60" t="s">
        <v>100</v>
      </c>
      <c r="B123" s="45" t="s">
        <v>371</v>
      </c>
      <c r="C123" s="45" t="s">
        <v>371</v>
      </c>
      <c r="D123" s="170"/>
      <c r="E123" s="72" t="str">
        <f>IF(C123="","",IFERROR(VLOOKUP(C123,'ITEM LIST'!B:M,12,0)*D123,0))</f>
        <v/>
      </c>
    </row>
    <row r="124" spans="1:5" ht="14.25">
      <c r="A124" s="60" t="s">
        <v>100</v>
      </c>
      <c r="B124" s="45" t="s">
        <v>371</v>
      </c>
      <c r="C124" s="45" t="s">
        <v>371</v>
      </c>
      <c r="D124" s="170"/>
      <c r="E124" s="72" t="str">
        <f>IF(C124="","",IFERROR(VLOOKUP(C124,'ITEM LIST'!B:M,12,0)*D124,0))</f>
        <v/>
      </c>
    </row>
    <row r="125" spans="1:5" ht="14.25">
      <c r="A125" s="60" t="s">
        <v>100</v>
      </c>
      <c r="B125" s="45" t="s">
        <v>598</v>
      </c>
      <c r="C125" s="45" t="s">
        <v>122</v>
      </c>
      <c r="D125" s="169">
        <v>714.28571428571433</v>
      </c>
      <c r="E125" s="72">
        <f>IF(C125="","",IFERROR(VLOOKUP(C125,'ITEM LIST'!B:M,12,0)*D125,0))</f>
        <v>200.00000000000003</v>
      </c>
    </row>
    <row r="126" spans="1:5" ht="14.25">
      <c r="A126" s="60" t="s">
        <v>100</v>
      </c>
      <c r="B126" s="45" t="s">
        <v>598</v>
      </c>
      <c r="C126" s="45" t="s">
        <v>512</v>
      </c>
      <c r="D126" s="169">
        <v>214.28571428571431</v>
      </c>
      <c r="E126" s="72">
        <f>IF(C126="","",IFERROR(VLOOKUP(C126,'ITEM LIST'!B:M,12,0)*D126,0))</f>
        <v>10.714285714285715</v>
      </c>
    </row>
    <row r="127" spans="1:5" ht="14.25">
      <c r="A127" s="60" t="s">
        <v>100</v>
      </c>
      <c r="B127" s="45" t="s">
        <v>598</v>
      </c>
      <c r="C127" s="45" t="s">
        <v>103</v>
      </c>
      <c r="D127" s="169">
        <v>35.714285714285715</v>
      </c>
      <c r="E127" s="72">
        <f>IF(C127="","",IFERROR(VLOOKUP(C127,'ITEM LIST'!B:M,12,0)*D127,0))</f>
        <v>64.285714285714292</v>
      </c>
    </row>
    <row r="128" spans="1:5" ht="14.25">
      <c r="A128" s="60" t="s">
        <v>100</v>
      </c>
      <c r="B128" s="45" t="s">
        <v>598</v>
      </c>
      <c r="C128" s="45" t="s">
        <v>0</v>
      </c>
      <c r="D128" s="169">
        <v>17.857142857142858</v>
      </c>
      <c r="E128" s="72">
        <f>IF(C128="","",IFERROR(VLOOKUP(C128,'ITEM LIST'!B:M,12,0)*D128,0))</f>
        <v>15.535714285714286</v>
      </c>
    </row>
    <row r="129" spans="1:5" ht="14.25">
      <c r="A129" s="60" t="s">
        <v>100</v>
      </c>
      <c r="B129" s="45" t="s">
        <v>598</v>
      </c>
      <c r="C129" s="45" t="s">
        <v>353</v>
      </c>
      <c r="D129" s="169">
        <v>3.5714285714285716</v>
      </c>
      <c r="E129" s="72">
        <f>IF(C129="","",IFERROR(VLOOKUP(C129,'ITEM LIST'!B:M,12,0)*D129,0))</f>
        <v>5</v>
      </c>
    </row>
    <row r="130" spans="1:5" ht="14.25">
      <c r="A130" s="60" t="s">
        <v>100</v>
      </c>
      <c r="B130" s="45" t="s">
        <v>598</v>
      </c>
      <c r="C130" s="45" t="s">
        <v>581</v>
      </c>
      <c r="D130" s="169">
        <v>3.5714285714285716</v>
      </c>
      <c r="E130" s="72">
        <f>IF(C130="","",IFERROR(VLOOKUP(C130,'ITEM LIST'!B:M,12,0)*D130,0))</f>
        <v>7.1428571428571432</v>
      </c>
    </row>
    <row r="131" spans="1:5" ht="14.25">
      <c r="A131" s="60" t="s">
        <v>100</v>
      </c>
      <c r="B131" s="45" t="s">
        <v>598</v>
      </c>
      <c r="C131" s="45" t="s">
        <v>418</v>
      </c>
      <c r="D131" s="170">
        <v>4</v>
      </c>
      <c r="E131" s="72">
        <f>IF(C131="","",IFERROR(VLOOKUP(C131,'ITEM LIST'!B:M,12,0)*D131,0))</f>
        <v>280</v>
      </c>
    </row>
    <row r="132" spans="1:5" ht="14.25">
      <c r="A132" s="60" t="s">
        <v>100</v>
      </c>
      <c r="B132" s="45" t="s">
        <v>598</v>
      </c>
      <c r="C132" s="45" t="s">
        <v>503</v>
      </c>
      <c r="D132" s="169">
        <v>35.714285714285715</v>
      </c>
      <c r="E132" s="72">
        <f>IF(C132="","",IFERROR(VLOOKUP(C132,'ITEM LIST'!B:M,12,0)*D132,0))</f>
        <v>15.357142857142858</v>
      </c>
    </row>
    <row r="133" spans="1:5" ht="14.25">
      <c r="A133" s="60" t="s">
        <v>100</v>
      </c>
      <c r="B133" s="45" t="s">
        <v>371</v>
      </c>
      <c r="C133" s="45" t="s">
        <v>371</v>
      </c>
      <c r="D133" s="170"/>
      <c r="E133" s="72" t="str">
        <f>IF(C133="","",IFERROR(VLOOKUP(C133,'ITEM LIST'!B:M,12,0)*D133,0))</f>
        <v/>
      </c>
    </row>
    <row r="134" spans="1:5" ht="14.25">
      <c r="A134" s="60" t="s">
        <v>100</v>
      </c>
      <c r="B134" s="45" t="s">
        <v>599</v>
      </c>
      <c r="C134" s="45" t="s">
        <v>371</v>
      </c>
      <c r="D134" s="170"/>
      <c r="E134" s="72" t="str">
        <f>IF(C134="","",IFERROR(VLOOKUP(C134,'ITEM LIST'!B:M,12,0)*D134,0))</f>
        <v/>
      </c>
    </row>
    <row r="135" spans="1:5" ht="14.25">
      <c r="A135" s="60" t="s">
        <v>100</v>
      </c>
      <c r="B135" s="45" t="s">
        <v>599</v>
      </c>
      <c r="C135" s="45" t="s">
        <v>512</v>
      </c>
      <c r="D135" s="169">
        <v>333.33333333333331</v>
      </c>
      <c r="E135" s="72">
        <f>IF(C135="","",IFERROR(VLOOKUP(C135,'ITEM LIST'!B:M,12,0)*D135,0))</f>
        <v>16.666666666666668</v>
      </c>
    </row>
    <row r="136" spans="1:5" ht="14.25">
      <c r="A136" s="60" t="s">
        <v>100</v>
      </c>
      <c r="B136" s="45" t="s">
        <v>599</v>
      </c>
      <c r="C136" s="45" t="s">
        <v>101</v>
      </c>
      <c r="D136" s="169">
        <v>333.33333333333331</v>
      </c>
      <c r="E136" s="72">
        <f>IF(C136="","",IFERROR(VLOOKUP(C136,'ITEM LIST'!B:M,12,0)*D136,0))</f>
        <v>0</v>
      </c>
    </row>
    <row r="137" spans="1:5" ht="14.25">
      <c r="A137" s="60" t="s">
        <v>100</v>
      </c>
      <c r="B137" s="45" t="s">
        <v>599</v>
      </c>
      <c r="C137" s="45" t="s">
        <v>0</v>
      </c>
      <c r="D137" s="169">
        <v>20</v>
      </c>
      <c r="E137" s="72">
        <f>IF(C137="","",IFERROR(VLOOKUP(C137,'ITEM LIST'!B:M,12,0)*D137,0))</f>
        <v>17.399999999999999</v>
      </c>
    </row>
    <row r="138" spans="1:5" ht="14.25">
      <c r="A138" s="60" t="s">
        <v>100</v>
      </c>
      <c r="B138" s="45" t="s">
        <v>599</v>
      </c>
      <c r="C138" s="45" t="s">
        <v>103</v>
      </c>
      <c r="D138" s="169">
        <v>20</v>
      </c>
      <c r="E138" s="72">
        <f>IF(C138="","",IFERROR(VLOOKUP(C138,'ITEM LIST'!B:M,12,0)*D138,0))</f>
        <v>36</v>
      </c>
    </row>
    <row r="139" spans="1:5" ht="14.25">
      <c r="A139" s="60" t="s">
        <v>100</v>
      </c>
      <c r="B139" s="45" t="s">
        <v>599</v>
      </c>
      <c r="C139" s="45" t="s">
        <v>11</v>
      </c>
      <c r="D139" s="169">
        <v>16.666666666666668</v>
      </c>
      <c r="E139" s="72">
        <f>IF(C139="","",IFERROR(VLOOKUP(C139,'ITEM LIST'!B:M,12,0)*D139,0))</f>
        <v>11.833333333333334</v>
      </c>
    </row>
    <row r="140" spans="1:5" ht="14.25">
      <c r="A140" s="60" t="s">
        <v>100</v>
      </c>
      <c r="B140" s="45" t="s">
        <v>599</v>
      </c>
      <c r="C140" s="45" t="s">
        <v>383</v>
      </c>
      <c r="D140" s="169">
        <v>333.33333333333331</v>
      </c>
      <c r="E140" s="72">
        <f>IF(C140="","",IFERROR(VLOOKUP(C140,'ITEM LIST'!B:M,12,0)*D140,0))</f>
        <v>23.333333333333336</v>
      </c>
    </row>
    <row r="141" spans="1:5" ht="14.25">
      <c r="A141" s="60" t="s">
        <v>100</v>
      </c>
      <c r="B141" s="45" t="s">
        <v>599</v>
      </c>
      <c r="C141" s="45" t="s">
        <v>380</v>
      </c>
      <c r="D141" s="169">
        <v>166.66666666666666</v>
      </c>
      <c r="E141" s="72">
        <f>IF(C141="","",IFERROR(VLOOKUP(C141,'ITEM LIST'!B:M,12,0)*D141,0))</f>
        <v>88.888333333333335</v>
      </c>
    </row>
    <row r="142" spans="1:5" ht="14.25">
      <c r="A142" s="60" t="s">
        <v>100</v>
      </c>
      <c r="B142" s="45" t="s">
        <v>599</v>
      </c>
      <c r="C142" s="45" t="s">
        <v>523</v>
      </c>
      <c r="D142" s="169">
        <v>1</v>
      </c>
      <c r="E142" s="72">
        <f>IF(C142="","",IFERROR(VLOOKUP(C142,'ITEM LIST'!B:M,12,0)*D142,0))</f>
        <v>0.66</v>
      </c>
    </row>
    <row r="143" spans="1:5" ht="14.25">
      <c r="A143" s="60" t="s">
        <v>100</v>
      </c>
      <c r="B143" s="45" t="s">
        <v>371</v>
      </c>
      <c r="C143" s="45" t="s">
        <v>371</v>
      </c>
      <c r="D143" s="170"/>
      <c r="E143" s="72" t="str">
        <f>IF(C143="","",IFERROR(VLOOKUP(C143,'ITEM LIST'!B:M,12,0)*D143,0))</f>
        <v/>
      </c>
    </row>
    <row r="144" spans="1:5" ht="14.25">
      <c r="A144" s="60" t="s">
        <v>100</v>
      </c>
      <c r="B144" s="45" t="s">
        <v>600</v>
      </c>
      <c r="C144" s="45" t="s">
        <v>122</v>
      </c>
      <c r="D144" s="169">
        <v>769.23076923076917</v>
      </c>
      <c r="E144" s="72">
        <f>IF(C144="","",IFERROR(VLOOKUP(C144,'ITEM LIST'!B:M,12,0)*D144,0))</f>
        <v>215.38461538461539</v>
      </c>
    </row>
    <row r="145" spans="1:5" ht="14.25">
      <c r="A145" s="60" t="s">
        <v>100</v>
      </c>
      <c r="B145" s="45" t="s">
        <v>600</v>
      </c>
      <c r="C145" s="45" t="s">
        <v>512</v>
      </c>
      <c r="D145" s="169">
        <v>230.76923076923077</v>
      </c>
      <c r="E145" s="72">
        <f>IF(C145="","",IFERROR(VLOOKUP(C145,'ITEM LIST'!B:M,12,0)*D145,0))</f>
        <v>11.53846153846154</v>
      </c>
    </row>
    <row r="146" spans="1:5" ht="14.25">
      <c r="A146" s="60" t="s">
        <v>100</v>
      </c>
      <c r="B146" s="45" t="s">
        <v>600</v>
      </c>
      <c r="C146" s="45" t="s">
        <v>103</v>
      </c>
      <c r="D146" s="169">
        <v>38.46153846153846</v>
      </c>
      <c r="E146" s="72">
        <f>IF(C146="","",IFERROR(VLOOKUP(C146,'ITEM LIST'!B:M,12,0)*D146,0))</f>
        <v>69.230769230769226</v>
      </c>
    </row>
    <row r="147" spans="1:5" ht="14.25">
      <c r="A147" s="60" t="s">
        <v>100</v>
      </c>
      <c r="B147" s="45" t="s">
        <v>600</v>
      </c>
      <c r="C147" s="45" t="s">
        <v>0</v>
      </c>
      <c r="D147" s="169">
        <v>19.23076923076923</v>
      </c>
      <c r="E147" s="72">
        <f>IF(C147="","",IFERROR(VLOOKUP(C147,'ITEM LIST'!B:M,12,0)*D147,0))</f>
        <v>16.73076923076923</v>
      </c>
    </row>
    <row r="148" spans="1:5" ht="14.25">
      <c r="A148" s="60" t="s">
        <v>100</v>
      </c>
      <c r="B148" s="45" t="s">
        <v>600</v>
      </c>
      <c r="C148" s="45" t="s">
        <v>353</v>
      </c>
      <c r="D148" s="169">
        <v>3.8461538461538458</v>
      </c>
      <c r="E148" s="72">
        <f>IF(C148="","",IFERROR(VLOOKUP(C148,'ITEM LIST'!B:M,12,0)*D148,0))</f>
        <v>5.3846153846153841</v>
      </c>
    </row>
    <row r="149" spans="1:5" ht="14.25">
      <c r="A149" s="60" t="s">
        <v>100</v>
      </c>
      <c r="B149" s="45" t="s">
        <v>600</v>
      </c>
      <c r="C149" s="45" t="s">
        <v>581</v>
      </c>
      <c r="D149" s="169">
        <v>3.8461538461538458</v>
      </c>
      <c r="E149" s="72">
        <f>IF(C149="","",IFERROR(VLOOKUP(C149,'ITEM LIST'!B:M,12,0)*D149,0))</f>
        <v>7.6923076923076916</v>
      </c>
    </row>
    <row r="150" spans="1:5" ht="14.25">
      <c r="A150" s="60" t="s">
        <v>100</v>
      </c>
      <c r="B150" s="45" t="s">
        <v>600</v>
      </c>
      <c r="C150" s="45" t="s">
        <v>418</v>
      </c>
      <c r="D150" s="170">
        <v>5</v>
      </c>
      <c r="E150" s="72">
        <f>IF(C150="","",IFERROR(VLOOKUP(C150,'ITEM LIST'!B:M,12,0)*D150,0))</f>
        <v>350</v>
      </c>
    </row>
    <row r="151" spans="1:5" ht="14.25">
      <c r="A151" s="60" t="s">
        <v>100</v>
      </c>
      <c r="B151" s="45" t="s">
        <v>371</v>
      </c>
      <c r="C151" s="45" t="s">
        <v>371</v>
      </c>
      <c r="D151" s="170"/>
      <c r="E151" s="72" t="str">
        <f>IF(C151="","",IFERROR(VLOOKUP(C151,'ITEM LIST'!B:M,12,0)*D151,0))</f>
        <v/>
      </c>
    </row>
    <row r="152" spans="1:5" ht="14.25">
      <c r="A152" s="60" t="s">
        <v>100</v>
      </c>
      <c r="B152" s="45" t="s">
        <v>601</v>
      </c>
      <c r="C152" s="45" t="s">
        <v>17</v>
      </c>
      <c r="D152" s="169">
        <v>400</v>
      </c>
      <c r="E152" s="72">
        <f>IF(C152="","",IFERROR(VLOOKUP(C152,'ITEM LIST'!B:M,12,0)*D152,0))</f>
        <v>108</v>
      </c>
    </row>
    <row r="153" spans="1:5" ht="14.25">
      <c r="A153" s="60" t="s">
        <v>100</v>
      </c>
      <c r="B153" s="45" t="s">
        <v>601</v>
      </c>
      <c r="C153" s="45" t="s">
        <v>512</v>
      </c>
      <c r="D153" s="169">
        <v>400</v>
      </c>
      <c r="E153" s="72">
        <f>IF(C153="","",IFERROR(VLOOKUP(C153,'ITEM LIST'!B:M,12,0)*D153,0))</f>
        <v>20</v>
      </c>
    </row>
    <row r="154" spans="1:5" ht="14.25">
      <c r="A154" s="60" t="s">
        <v>100</v>
      </c>
      <c r="B154" s="45" t="s">
        <v>601</v>
      </c>
      <c r="C154" s="45" t="s">
        <v>101</v>
      </c>
      <c r="D154" s="169">
        <v>280</v>
      </c>
      <c r="E154" s="72">
        <f>IF(C154="","",IFERROR(VLOOKUP(C154,'ITEM LIST'!B:M,12,0)*D154,0))</f>
        <v>0</v>
      </c>
    </row>
    <row r="155" spans="1:5" ht="14.25">
      <c r="A155" s="60" t="s">
        <v>100</v>
      </c>
      <c r="B155" s="45" t="s">
        <v>371</v>
      </c>
      <c r="C155" s="45" t="s">
        <v>371</v>
      </c>
      <c r="D155" s="169"/>
      <c r="E155" s="72" t="str">
        <f>IF(C155="","",IFERROR(VLOOKUP(C155,'ITEM LIST'!B:M,12,0)*D155,0))</f>
        <v/>
      </c>
    </row>
    <row r="156" spans="1:5" ht="14.25">
      <c r="A156" s="60" t="s">
        <v>100</v>
      </c>
      <c r="B156" s="45" t="s">
        <v>371</v>
      </c>
      <c r="C156" s="45" t="s">
        <v>371</v>
      </c>
      <c r="D156" s="170"/>
      <c r="E156" s="72" t="str">
        <f>IF(C156="","",IFERROR(VLOOKUP(C156,'ITEM LIST'!B:M,12,0)*D156,0))</f>
        <v/>
      </c>
    </row>
    <row r="157" spans="1:5" ht="14.25">
      <c r="A157" s="60" t="s">
        <v>100</v>
      </c>
      <c r="B157" s="45" t="s">
        <v>602</v>
      </c>
      <c r="C157" s="45" t="s">
        <v>383</v>
      </c>
      <c r="D157" s="169">
        <v>500</v>
      </c>
      <c r="E157" s="72">
        <f>IF(C157="","",IFERROR(VLOOKUP(C157,'ITEM LIST'!B:M,12,0)*D157,0))</f>
        <v>35</v>
      </c>
    </row>
    <row r="158" spans="1:5" ht="14.25">
      <c r="A158" s="60" t="s">
        <v>100</v>
      </c>
      <c r="B158" s="45" t="s">
        <v>602</v>
      </c>
      <c r="C158" s="45" t="s">
        <v>380</v>
      </c>
      <c r="D158" s="169">
        <v>400</v>
      </c>
      <c r="E158" s="72">
        <f>IF(C158="","",IFERROR(VLOOKUP(C158,'ITEM LIST'!B:M,12,0)*D158,0))</f>
        <v>213.33200000000002</v>
      </c>
    </row>
    <row r="159" spans="1:5" ht="14.25">
      <c r="A159" s="60" t="s">
        <v>100</v>
      </c>
      <c r="B159" s="45" t="s">
        <v>602</v>
      </c>
      <c r="C159" s="45" t="s">
        <v>384</v>
      </c>
      <c r="D159" s="169">
        <v>625</v>
      </c>
      <c r="E159" s="72">
        <f>IF(C159="","",IFERROR(VLOOKUP(C159,'ITEM LIST'!B:M,12,0)*D159,0))</f>
        <v>21.875000000000004</v>
      </c>
    </row>
    <row r="160" spans="1:5" ht="14.25">
      <c r="A160" s="60" t="s">
        <v>100</v>
      </c>
      <c r="B160" s="45" t="s">
        <v>602</v>
      </c>
      <c r="C160" s="45" t="s">
        <v>581</v>
      </c>
      <c r="D160" s="169">
        <v>25</v>
      </c>
      <c r="E160" s="72">
        <f>IF(C160="","",IFERROR(VLOOKUP(C160,'ITEM LIST'!B:M,12,0)*D160,0))</f>
        <v>50</v>
      </c>
    </row>
    <row r="161" spans="1:5" ht="14.25">
      <c r="A161" s="60" t="s">
        <v>100</v>
      </c>
      <c r="B161" s="45" t="s">
        <v>602</v>
      </c>
      <c r="C161" s="45" t="s">
        <v>0</v>
      </c>
      <c r="D161" s="169">
        <v>20</v>
      </c>
      <c r="E161" s="72">
        <f>IF(C161="","",IFERROR(VLOOKUP(C161,'ITEM LIST'!B:M,12,0)*D161,0))</f>
        <v>17.399999999999999</v>
      </c>
    </row>
    <row r="162" spans="1:5" ht="14.25">
      <c r="A162" s="60" t="s">
        <v>100</v>
      </c>
      <c r="B162" s="45" t="s">
        <v>602</v>
      </c>
      <c r="C162" s="45" t="s">
        <v>413</v>
      </c>
      <c r="D162" s="169">
        <v>20</v>
      </c>
      <c r="E162" s="72">
        <f>IF(C162="","",IFERROR(VLOOKUP(C162,'ITEM LIST'!B:M,12,0)*D162,0))</f>
        <v>13</v>
      </c>
    </row>
    <row r="163" spans="1:5" ht="14.25">
      <c r="A163" s="60" t="s">
        <v>100</v>
      </c>
      <c r="B163" s="45" t="s">
        <v>602</v>
      </c>
      <c r="C163" s="45" t="s">
        <v>103</v>
      </c>
      <c r="D163" s="169">
        <v>10</v>
      </c>
      <c r="E163" s="72">
        <f>IF(C163="","",IFERROR(VLOOKUP(C163,'ITEM LIST'!B:M,12,0)*D163,0))</f>
        <v>18</v>
      </c>
    </row>
    <row r="164" spans="1:5" ht="14.25">
      <c r="A164" s="60" t="s">
        <v>100</v>
      </c>
      <c r="B164" s="45" t="s">
        <v>371</v>
      </c>
      <c r="C164" s="45" t="s">
        <v>371</v>
      </c>
      <c r="D164" s="170"/>
      <c r="E164" s="72" t="str">
        <f>IF(C164="","",IFERROR(VLOOKUP(C164,'ITEM LIST'!B:M,12,0)*D164,0))</f>
        <v/>
      </c>
    </row>
    <row r="165" spans="1:5" ht="14.25">
      <c r="A165" s="60" t="s">
        <v>100</v>
      </c>
      <c r="B165" s="45" t="s">
        <v>603</v>
      </c>
      <c r="C165" s="45" t="s">
        <v>122</v>
      </c>
      <c r="D165" s="169">
        <v>833.33333333333337</v>
      </c>
      <c r="E165" s="72">
        <f>IF(C165="","",IFERROR(VLOOKUP(C165,'ITEM LIST'!B:M,12,0)*D165,0))</f>
        <v>233.33333333333337</v>
      </c>
    </row>
    <row r="166" spans="1:5" ht="14.25">
      <c r="A166" s="60" t="s">
        <v>100</v>
      </c>
      <c r="B166" s="45" t="s">
        <v>603</v>
      </c>
      <c r="C166" s="45" t="s">
        <v>512</v>
      </c>
      <c r="D166" s="169">
        <v>250</v>
      </c>
      <c r="E166" s="72">
        <f>IF(C166="","",IFERROR(VLOOKUP(C166,'ITEM LIST'!B:M,12,0)*D166,0))</f>
        <v>12.5</v>
      </c>
    </row>
    <row r="167" spans="1:5" ht="14.25">
      <c r="A167" s="60" t="s">
        <v>100</v>
      </c>
      <c r="B167" s="45" t="s">
        <v>603</v>
      </c>
      <c r="C167" s="45" t="s">
        <v>581</v>
      </c>
      <c r="D167" s="169">
        <v>16.666666666666668</v>
      </c>
      <c r="E167" s="72">
        <f>IF(C167="","",IFERROR(VLOOKUP(C167,'ITEM LIST'!B:M,12,0)*D167,0))</f>
        <v>33.333333333333336</v>
      </c>
    </row>
    <row r="168" spans="1:5" ht="14.25">
      <c r="A168" s="60" t="s">
        <v>100</v>
      </c>
      <c r="B168" s="45" t="s">
        <v>371</v>
      </c>
      <c r="C168" s="45" t="s">
        <v>371</v>
      </c>
      <c r="D168" s="170"/>
      <c r="E168" s="72" t="str">
        <f>IF(C168="","",IFERROR(VLOOKUP(C168,'ITEM LIST'!B:M,12,0)*D168,0))</f>
        <v/>
      </c>
    </row>
    <row r="169" spans="1:5" ht="14.25">
      <c r="A169" s="60" t="s">
        <v>100</v>
      </c>
      <c r="B169" s="45" t="s">
        <v>604</v>
      </c>
      <c r="C169" s="45" t="s">
        <v>122</v>
      </c>
      <c r="D169" s="169">
        <v>666.66666666666663</v>
      </c>
      <c r="E169" s="72">
        <f>IF(C169="","",IFERROR(VLOOKUP(C169,'ITEM LIST'!B:M,12,0)*D169,0))</f>
        <v>186.66666666666669</v>
      </c>
    </row>
    <row r="170" spans="1:5" ht="14.25">
      <c r="A170" s="60" t="s">
        <v>100</v>
      </c>
      <c r="B170" s="45" t="s">
        <v>604</v>
      </c>
      <c r="C170" s="45" t="s">
        <v>512</v>
      </c>
      <c r="D170" s="169">
        <v>200</v>
      </c>
      <c r="E170" s="72">
        <f>IF(C170="","",IFERROR(VLOOKUP(C170,'ITEM LIST'!B:M,12,0)*D170,0))</f>
        <v>10</v>
      </c>
    </row>
    <row r="171" spans="1:5" ht="14.25">
      <c r="A171" s="60" t="s">
        <v>100</v>
      </c>
      <c r="B171" s="45" t="s">
        <v>604</v>
      </c>
      <c r="C171" s="45" t="s">
        <v>229</v>
      </c>
      <c r="D171" s="169">
        <v>66.666666666666671</v>
      </c>
      <c r="E171" s="72">
        <f>IF(C171="","",IFERROR(VLOOKUP(C171,'ITEM LIST'!B:M,12,0)*D171,0))</f>
        <v>5.3333333333333339</v>
      </c>
    </row>
    <row r="172" spans="1:5" ht="14.25">
      <c r="A172" s="60" t="s">
        <v>100</v>
      </c>
      <c r="B172" s="45" t="s">
        <v>604</v>
      </c>
      <c r="C172" s="45" t="s">
        <v>0</v>
      </c>
      <c r="D172" s="169">
        <v>16.666666666666668</v>
      </c>
      <c r="E172" s="72">
        <f>IF(C172="","",IFERROR(VLOOKUP(C172,'ITEM LIST'!B:M,12,0)*D172,0))</f>
        <v>14.500000000000002</v>
      </c>
    </row>
    <row r="173" spans="1:5" ht="14.25">
      <c r="A173" s="60" t="s">
        <v>100</v>
      </c>
      <c r="B173" s="45" t="s">
        <v>604</v>
      </c>
      <c r="C173" s="45" t="s">
        <v>103</v>
      </c>
      <c r="D173" s="169">
        <v>16.666666666666668</v>
      </c>
      <c r="E173" s="72">
        <f>IF(C173="","",IFERROR(VLOOKUP(C173,'ITEM LIST'!B:M,12,0)*D173,0))</f>
        <v>30.000000000000004</v>
      </c>
    </row>
    <row r="174" spans="1:5" ht="14.25">
      <c r="A174" s="60" t="s">
        <v>100</v>
      </c>
      <c r="B174" s="45" t="s">
        <v>604</v>
      </c>
      <c r="C174" s="45" t="s">
        <v>61</v>
      </c>
      <c r="D174" s="169">
        <v>133.33333333333334</v>
      </c>
      <c r="E174" s="72">
        <f>IF(C174="","",IFERROR(VLOOKUP(C174,'ITEM LIST'!B:M,12,0)*D174,0))</f>
        <v>3.3333333333333339</v>
      </c>
    </row>
    <row r="175" spans="1:5" ht="14.25">
      <c r="A175" s="60" t="s">
        <v>100</v>
      </c>
      <c r="B175" s="45" t="s">
        <v>604</v>
      </c>
      <c r="C175" s="45" t="s">
        <v>411</v>
      </c>
      <c r="D175" s="169">
        <v>0.66666666666666663</v>
      </c>
      <c r="E175" s="72">
        <f>IF(C175="","",IFERROR(VLOOKUP(C175,'ITEM LIST'!B:M,12,0)*D175,0))</f>
        <v>70</v>
      </c>
    </row>
    <row r="176" spans="1:5" ht="14.25">
      <c r="A176" s="60" t="s">
        <v>100</v>
      </c>
      <c r="B176" s="45" t="s">
        <v>604</v>
      </c>
      <c r="C176" s="45" t="s">
        <v>581</v>
      </c>
      <c r="D176" s="169">
        <v>13.333333333333334</v>
      </c>
      <c r="E176" s="72">
        <f>IF(C176="","",IFERROR(VLOOKUP(C176,'ITEM LIST'!B:M,12,0)*D176,0))</f>
        <v>26.666666666666668</v>
      </c>
    </row>
    <row r="177" spans="1:5" ht="14.25">
      <c r="A177" s="60" t="s">
        <v>100</v>
      </c>
      <c r="B177" s="45" t="s">
        <v>371</v>
      </c>
      <c r="C177" s="45" t="s">
        <v>371</v>
      </c>
      <c r="D177" s="170"/>
      <c r="E177" s="72" t="str">
        <f>IF(C177="","",IFERROR(VLOOKUP(C177,'ITEM LIST'!B:M,12,0)*D177,0))</f>
        <v/>
      </c>
    </row>
    <row r="178" spans="1:5" ht="14.25">
      <c r="A178" s="60" t="s">
        <v>100</v>
      </c>
      <c r="B178" s="45" t="s">
        <v>605</v>
      </c>
      <c r="C178" s="45" t="s">
        <v>420</v>
      </c>
      <c r="D178" s="169">
        <v>1111.1111111111111</v>
      </c>
      <c r="E178" s="72">
        <f>IF(C178="","",IFERROR(VLOOKUP(C178,'ITEM LIST'!B:M,12,0)*D178,0))</f>
        <v>73.333333333333329</v>
      </c>
    </row>
    <row r="179" spans="1:5" ht="14.25">
      <c r="A179" s="60" t="s">
        <v>100</v>
      </c>
      <c r="B179" s="45" t="s">
        <v>605</v>
      </c>
      <c r="C179" s="45" t="s">
        <v>495</v>
      </c>
      <c r="D179" s="169">
        <v>44.444444444444443</v>
      </c>
      <c r="E179" s="72">
        <f>IF(C179="","",IFERROR(VLOOKUP(C179,'ITEM LIST'!B:M,12,0)*D179,0))</f>
        <v>6.2222222222222223</v>
      </c>
    </row>
    <row r="180" spans="1:5" ht="14.25">
      <c r="A180" s="60" t="s">
        <v>100</v>
      </c>
      <c r="B180" s="45" t="s">
        <v>605</v>
      </c>
      <c r="C180" s="45" t="s">
        <v>512</v>
      </c>
      <c r="D180" s="169">
        <v>250</v>
      </c>
      <c r="E180" s="72">
        <f>IF(C180="","",IFERROR(VLOOKUP(C180,'ITEM LIST'!B:M,12,0)*D180,0))</f>
        <v>12.5</v>
      </c>
    </row>
    <row r="181" spans="1:5" ht="14.25">
      <c r="A181" s="60" t="s">
        <v>100</v>
      </c>
      <c r="B181" s="45" t="s">
        <v>605</v>
      </c>
      <c r="C181" s="45" t="s">
        <v>581</v>
      </c>
      <c r="D181" s="169">
        <v>5.5555555555555554</v>
      </c>
      <c r="E181" s="72">
        <f>IF(C181="","",IFERROR(VLOOKUP(C181,'ITEM LIST'!B:M,12,0)*D181,0))</f>
        <v>11.111111111111111</v>
      </c>
    </row>
    <row r="182" spans="1:5" ht="14.25">
      <c r="A182" s="60" t="s">
        <v>100</v>
      </c>
      <c r="B182" s="45" t="s">
        <v>605</v>
      </c>
      <c r="C182" s="45" t="s">
        <v>0</v>
      </c>
      <c r="D182" s="169">
        <v>8.3333333333333339</v>
      </c>
      <c r="E182" s="72">
        <f>IF(C182="","",IFERROR(VLOOKUP(C182,'ITEM LIST'!B:M,12,0)*D182,0))</f>
        <v>7.2500000000000009</v>
      </c>
    </row>
    <row r="183" spans="1:5" ht="14.25">
      <c r="A183" s="60" t="s">
        <v>100</v>
      </c>
      <c r="B183" s="45" t="s">
        <v>605</v>
      </c>
      <c r="C183" s="45" t="s">
        <v>103</v>
      </c>
      <c r="D183" s="169">
        <v>8.3333333333333339</v>
      </c>
      <c r="E183" s="72">
        <f>IF(C183="","",IFERROR(VLOOKUP(C183,'ITEM LIST'!B:M,12,0)*D183,0))</f>
        <v>15.000000000000002</v>
      </c>
    </row>
    <row r="184" spans="1:5" ht="14.25">
      <c r="A184" s="60" t="s">
        <v>100</v>
      </c>
      <c r="B184" s="45" t="s">
        <v>605</v>
      </c>
      <c r="C184" s="45" t="s">
        <v>244</v>
      </c>
      <c r="D184" s="169">
        <v>0.72222222222222221</v>
      </c>
      <c r="E184" s="72">
        <f>IF(C184="","",IFERROR(VLOOKUP(C184,'ITEM LIST'!B:M,12,0)*D184,0))</f>
        <v>0.65</v>
      </c>
    </row>
    <row r="185" spans="1:5" ht="14.25">
      <c r="A185" s="60" t="s">
        <v>100</v>
      </c>
      <c r="B185" s="45" t="s">
        <v>605</v>
      </c>
      <c r="C185" s="45" t="s">
        <v>520</v>
      </c>
      <c r="D185" s="169">
        <v>0.66666666666666663</v>
      </c>
      <c r="E185" s="72">
        <f>IF(C185="","",IFERROR(VLOOKUP(C185,'ITEM LIST'!B:M,12,0)*D185,0))</f>
        <v>0.56666666666666665</v>
      </c>
    </row>
    <row r="186" spans="1:5" ht="14.25">
      <c r="A186" s="60" t="s">
        <v>100</v>
      </c>
      <c r="B186" s="45" t="s">
        <v>605</v>
      </c>
      <c r="C186" s="45" t="s">
        <v>380</v>
      </c>
      <c r="D186" s="169">
        <v>55.555555555555557</v>
      </c>
      <c r="E186" s="72">
        <f>IF(C186="","",IFERROR(VLOOKUP(C186,'ITEM LIST'!B:M,12,0)*D186,0))</f>
        <v>29.629444444444449</v>
      </c>
    </row>
    <row r="187" spans="1:5" ht="14.25">
      <c r="A187" s="60" t="s">
        <v>100</v>
      </c>
      <c r="B187" s="45" t="s">
        <v>605</v>
      </c>
      <c r="C187" s="45" t="s">
        <v>519</v>
      </c>
      <c r="D187" s="169">
        <v>27.777777777777779</v>
      </c>
      <c r="E187" s="72">
        <f>IF(C187="","",IFERROR(VLOOKUP(C187,'ITEM LIST'!B:M,12,0)*D187,0))</f>
        <v>5.5555555555555562</v>
      </c>
    </row>
    <row r="188" spans="1:5" ht="14.25">
      <c r="A188" s="60" t="s">
        <v>100</v>
      </c>
      <c r="B188" s="45" t="s">
        <v>371</v>
      </c>
      <c r="C188" s="45" t="s">
        <v>371</v>
      </c>
      <c r="D188" s="170"/>
      <c r="E188" s="72" t="str">
        <f>IF(C188="","",IFERROR(VLOOKUP(C188,'ITEM LIST'!B:M,12,0)*D188,0))</f>
        <v/>
      </c>
    </row>
    <row r="189" spans="1:5" ht="14.25">
      <c r="A189" s="60" t="s">
        <v>100</v>
      </c>
      <c r="B189" s="45" t="s">
        <v>606</v>
      </c>
      <c r="C189" s="45" t="s">
        <v>512</v>
      </c>
      <c r="D189" s="169">
        <v>333.33333333333331</v>
      </c>
      <c r="E189" s="72">
        <f>IF(C189="","",IFERROR(VLOOKUP(C189,'ITEM LIST'!B:M,12,0)*D189,0))</f>
        <v>16.666666666666668</v>
      </c>
    </row>
    <row r="190" spans="1:5" ht="14.25">
      <c r="A190" s="60" t="s">
        <v>100</v>
      </c>
      <c r="B190" s="45" t="s">
        <v>606</v>
      </c>
      <c r="C190" s="45" t="s">
        <v>101</v>
      </c>
      <c r="D190" s="169">
        <v>333.33333333333331</v>
      </c>
      <c r="E190" s="72">
        <f>IF(C190="","",IFERROR(VLOOKUP(C190,'ITEM LIST'!B:M,12,0)*D190,0))</f>
        <v>0</v>
      </c>
    </row>
    <row r="191" spans="1:5" ht="14.25">
      <c r="A191" s="60" t="s">
        <v>100</v>
      </c>
      <c r="B191" s="45" t="s">
        <v>606</v>
      </c>
      <c r="C191" s="45" t="s">
        <v>0</v>
      </c>
      <c r="D191" s="169">
        <v>20</v>
      </c>
      <c r="E191" s="72">
        <f>IF(C191="","",IFERROR(VLOOKUP(C191,'ITEM LIST'!B:M,12,0)*D191,0))</f>
        <v>17.399999999999999</v>
      </c>
    </row>
    <row r="192" spans="1:5" ht="14.25">
      <c r="A192" s="60" t="s">
        <v>100</v>
      </c>
      <c r="B192" s="45" t="s">
        <v>606</v>
      </c>
      <c r="C192" s="45" t="s">
        <v>103</v>
      </c>
      <c r="D192" s="169">
        <v>20</v>
      </c>
      <c r="E192" s="72">
        <f>IF(C192="","",IFERROR(VLOOKUP(C192,'ITEM LIST'!B:M,12,0)*D192,0))</f>
        <v>36</v>
      </c>
    </row>
    <row r="193" spans="1:5" ht="14.25">
      <c r="A193" s="60" t="s">
        <v>100</v>
      </c>
      <c r="B193" s="45" t="s">
        <v>606</v>
      </c>
      <c r="C193" s="45" t="s">
        <v>11</v>
      </c>
      <c r="D193" s="169">
        <v>16.666666666666668</v>
      </c>
      <c r="E193" s="72">
        <f>IF(C193="","",IFERROR(VLOOKUP(C193,'ITEM LIST'!B:M,12,0)*D193,0))</f>
        <v>11.833333333333334</v>
      </c>
    </row>
    <row r="194" spans="1:5" ht="14.25">
      <c r="A194" s="60" t="s">
        <v>100</v>
      </c>
      <c r="B194" s="45" t="s">
        <v>606</v>
      </c>
      <c r="C194" s="45" t="s">
        <v>383</v>
      </c>
      <c r="D194" s="169">
        <v>333.33333333333331</v>
      </c>
      <c r="E194" s="72">
        <f>IF(C194="","",IFERROR(VLOOKUP(C194,'ITEM LIST'!B:M,12,0)*D194,0))</f>
        <v>23.333333333333336</v>
      </c>
    </row>
    <row r="195" spans="1:5" ht="14.25">
      <c r="A195" s="60" t="s">
        <v>100</v>
      </c>
      <c r="B195" s="45" t="s">
        <v>606</v>
      </c>
      <c r="C195" s="45" t="s">
        <v>380</v>
      </c>
      <c r="D195" s="169">
        <v>166.66666666666666</v>
      </c>
      <c r="E195" s="72">
        <f>IF(C195="","",IFERROR(VLOOKUP(C195,'ITEM LIST'!B:M,12,0)*D195,0))</f>
        <v>88.888333333333335</v>
      </c>
    </row>
    <row r="196" spans="1:5" ht="14.25">
      <c r="A196" s="60" t="s">
        <v>100</v>
      </c>
      <c r="B196" s="45" t="s">
        <v>606</v>
      </c>
      <c r="C196" s="45" t="s">
        <v>523</v>
      </c>
      <c r="D196" s="169">
        <v>0.66666666666666663</v>
      </c>
      <c r="E196" s="72">
        <f>IF(C196="","",IFERROR(VLOOKUP(C196,'ITEM LIST'!B:M,12,0)*D196,0))</f>
        <v>0.44</v>
      </c>
    </row>
    <row r="197" spans="1:5" ht="14.25">
      <c r="A197" s="60" t="s">
        <v>100</v>
      </c>
      <c r="B197" s="45" t="s">
        <v>606</v>
      </c>
      <c r="C197" s="45" t="s">
        <v>369</v>
      </c>
      <c r="D197" s="169">
        <v>0.66666666666666663</v>
      </c>
      <c r="E197" s="72">
        <f>IF(C197="","",IFERROR(VLOOKUP(C197,'ITEM LIST'!B:M,12,0)*D197,0))</f>
        <v>0.44</v>
      </c>
    </row>
    <row r="198" spans="1:5" ht="14.25">
      <c r="A198" s="60" t="s">
        <v>100</v>
      </c>
      <c r="B198" s="45" t="s">
        <v>606</v>
      </c>
      <c r="C198" s="45" t="s">
        <v>526</v>
      </c>
      <c r="D198" s="169">
        <v>0.66666666666666663</v>
      </c>
      <c r="E198" s="72">
        <f>IF(C198="","",IFERROR(VLOOKUP(C198,'ITEM LIST'!B:M,12,0)*D198,0))</f>
        <v>0.44</v>
      </c>
    </row>
    <row r="199" spans="1:5" ht="14.25">
      <c r="A199" s="60" t="s">
        <v>100</v>
      </c>
      <c r="B199" s="45" t="s">
        <v>606</v>
      </c>
      <c r="C199" s="45" t="s">
        <v>519</v>
      </c>
      <c r="D199" s="169">
        <v>23.333333333333332</v>
      </c>
      <c r="E199" s="72">
        <f>IF(C199="","",IFERROR(VLOOKUP(C199,'ITEM LIST'!B:M,12,0)*D199,0))</f>
        <v>4.666666666666667</v>
      </c>
    </row>
    <row r="200" spans="1:5" ht="14.25">
      <c r="A200" s="60" t="s">
        <v>100</v>
      </c>
      <c r="B200" s="45" t="s">
        <v>371</v>
      </c>
      <c r="C200" s="45" t="s">
        <v>371</v>
      </c>
      <c r="D200" s="170"/>
      <c r="E200" s="72" t="str">
        <f>IF(C200="","",IFERROR(VLOOKUP(C200,'ITEM LIST'!B:M,12,0)*D200,0))</f>
        <v/>
      </c>
    </row>
    <row r="201" spans="1:5" ht="14.25">
      <c r="A201" s="60" t="s">
        <v>100</v>
      </c>
      <c r="B201" s="45" t="s">
        <v>107</v>
      </c>
      <c r="C201" s="45" t="s">
        <v>39</v>
      </c>
      <c r="D201" s="169">
        <v>14.227642276422763</v>
      </c>
      <c r="E201" s="72">
        <f>IF(C201="","",IFERROR(VLOOKUP(C201,'ITEM LIST'!B:M,12,0)*D201,0))</f>
        <v>0.49796747967479676</v>
      </c>
    </row>
    <row r="202" spans="1:5" ht="14.25">
      <c r="A202" s="60" t="s">
        <v>100</v>
      </c>
      <c r="B202" s="45" t="s">
        <v>107</v>
      </c>
      <c r="C202" s="45" t="s">
        <v>512</v>
      </c>
      <c r="D202" s="169">
        <v>45</v>
      </c>
      <c r="E202" s="72">
        <f>IF(C202="","",IFERROR(VLOOKUP(C202,'ITEM LIST'!B:M,12,0)*D202,0))</f>
        <v>2.25</v>
      </c>
    </row>
    <row r="203" spans="1:5" ht="14.25">
      <c r="A203" s="60" t="s">
        <v>100</v>
      </c>
      <c r="B203" s="45" t="s">
        <v>107</v>
      </c>
      <c r="C203" s="45" t="s">
        <v>380</v>
      </c>
      <c r="D203" s="169">
        <v>19</v>
      </c>
      <c r="E203" s="72">
        <f>IF(C203="","",IFERROR(VLOOKUP(C203,'ITEM LIST'!B:M,12,0)*D203,0))</f>
        <v>10.133270000000001</v>
      </c>
    </row>
    <row r="204" spans="1:5" ht="14.25">
      <c r="A204" s="60" t="s">
        <v>100</v>
      </c>
      <c r="B204" s="45" t="s">
        <v>107</v>
      </c>
      <c r="C204" s="45" t="s">
        <v>40</v>
      </c>
      <c r="D204" s="169">
        <v>2.8455284552845526</v>
      </c>
      <c r="E204" s="72">
        <f>IF(C204="","",IFERROR(VLOOKUP(C204,'ITEM LIST'!B:M,12,0)*D204,0))</f>
        <v>9.1056910569105684E-2</v>
      </c>
    </row>
    <row r="205" spans="1:5" ht="14.25">
      <c r="A205" s="60" t="s">
        <v>100</v>
      </c>
      <c r="B205" s="45" t="s">
        <v>107</v>
      </c>
      <c r="C205" s="45" t="s">
        <v>384</v>
      </c>
      <c r="D205" s="169">
        <v>0.71138211382113814</v>
      </c>
      <c r="E205" s="72">
        <f>IF(C205="","",IFERROR(VLOOKUP(C205,'ITEM LIST'!B:M,12,0)*D205,0))</f>
        <v>2.4898373983739838E-2</v>
      </c>
    </row>
    <row r="206" spans="1:5" ht="14.25">
      <c r="A206" s="60" t="s">
        <v>100</v>
      </c>
      <c r="B206" s="45" t="s">
        <v>107</v>
      </c>
      <c r="C206" s="45" t="s">
        <v>581</v>
      </c>
      <c r="D206" s="169">
        <v>0.14227642276422764</v>
      </c>
      <c r="E206" s="72">
        <f>IF(C206="","",IFERROR(VLOOKUP(C206,'ITEM LIST'!B:M,12,0)*D206,0))</f>
        <v>0.28455284552845528</v>
      </c>
    </row>
    <row r="207" spans="1:5" ht="14.25">
      <c r="A207" s="60" t="s">
        <v>100</v>
      </c>
      <c r="B207" s="45" t="s">
        <v>107</v>
      </c>
      <c r="C207" s="45" t="s">
        <v>355</v>
      </c>
      <c r="D207" s="169">
        <v>3.4146341463414637E-2</v>
      </c>
      <c r="E207" s="72">
        <f>IF(C207="","",IFERROR(VLOOKUP(C207,'ITEM LIST'!B:M,12,0)*D207,0))</f>
        <v>5.463414634146342E-3</v>
      </c>
    </row>
    <row r="208" spans="1:5" ht="14.25">
      <c r="A208" s="60" t="s">
        <v>100</v>
      </c>
      <c r="B208" s="45" t="s">
        <v>107</v>
      </c>
      <c r="C208" s="45" t="s">
        <v>356</v>
      </c>
      <c r="D208" s="169">
        <v>5.6910569105691053E-3</v>
      </c>
      <c r="E208" s="72">
        <f>IF(C208="","",IFERROR(VLOOKUP(C208,'ITEM LIST'!B:M,12,0)*D208,0))</f>
        <v>7.3983739837398367E-4</v>
      </c>
    </row>
    <row r="209" spans="1:5" ht="14.25">
      <c r="A209" s="60" t="s">
        <v>100</v>
      </c>
      <c r="B209" s="45" t="s">
        <v>107</v>
      </c>
      <c r="C209" s="45" t="s">
        <v>17</v>
      </c>
      <c r="D209" s="169">
        <v>5.6910569105691051</v>
      </c>
      <c r="E209" s="72">
        <f>IF(C209="","",IFERROR(VLOOKUP(C209,'ITEM LIST'!B:M,12,0)*D209,0))</f>
        <v>1.5365853658536586</v>
      </c>
    </row>
    <row r="210" spans="1:5" ht="14.25">
      <c r="A210" s="60" t="s">
        <v>100</v>
      </c>
      <c r="B210" s="45" t="s">
        <v>371</v>
      </c>
      <c r="C210" s="45" t="s">
        <v>371</v>
      </c>
      <c r="D210" s="170"/>
      <c r="E210" s="72" t="str">
        <f>IF(C210="","",IFERROR(VLOOKUP(C210,'ITEM LIST'!B:M,12,0)*D210,0))</f>
        <v/>
      </c>
    </row>
    <row r="211" spans="1:5" ht="14.25">
      <c r="A211" s="60" t="s">
        <v>100</v>
      </c>
      <c r="B211" s="45" t="s">
        <v>296</v>
      </c>
      <c r="C211" s="45" t="s">
        <v>420</v>
      </c>
      <c r="D211" s="169">
        <v>1000</v>
      </c>
      <c r="E211" s="72">
        <f>IF(C211="","",IFERROR(VLOOKUP(C211,'ITEM LIST'!B:M,12,0)*D211,0))</f>
        <v>66</v>
      </c>
    </row>
    <row r="212" spans="1:5" ht="14.25">
      <c r="A212" s="60" t="s">
        <v>100</v>
      </c>
      <c r="B212" s="45" t="s">
        <v>296</v>
      </c>
      <c r="C212" s="45" t="s">
        <v>512</v>
      </c>
      <c r="D212" s="169">
        <v>40</v>
      </c>
      <c r="E212" s="72">
        <f>IF(C212="","",IFERROR(VLOOKUP(C212,'ITEM LIST'!B:M,12,0)*D212,0))</f>
        <v>2</v>
      </c>
    </row>
    <row r="213" spans="1:5" ht="14.25">
      <c r="A213" s="60" t="s">
        <v>100</v>
      </c>
      <c r="B213" s="45" t="s">
        <v>296</v>
      </c>
      <c r="C213" s="45" t="s">
        <v>653</v>
      </c>
      <c r="D213" s="169">
        <v>0.5</v>
      </c>
      <c r="E213" s="72">
        <f>IF(C213="","",IFERROR(VLOOKUP(C213,'ITEM LIST'!B:M,12,0)*D213,0))</f>
        <v>0.4</v>
      </c>
    </row>
    <row r="214" spans="1:5" ht="14.25">
      <c r="A214" s="60" t="s">
        <v>100</v>
      </c>
      <c r="B214" s="45" t="s">
        <v>371</v>
      </c>
      <c r="C214" s="45" t="s">
        <v>371</v>
      </c>
      <c r="D214" s="169"/>
      <c r="E214" s="72" t="str">
        <f>IF(C214="","",IFERROR(VLOOKUP(C214,'ITEM LIST'!B:M,12,0)*D214,0))</f>
        <v/>
      </c>
    </row>
    <row r="215" spans="1:5" ht="14.25">
      <c r="A215" s="60" t="s">
        <v>100</v>
      </c>
      <c r="B215" s="45" t="s">
        <v>111</v>
      </c>
      <c r="C215" s="45" t="s">
        <v>512</v>
      </c>
      <c r="D215" s="170">
        <v>80</v>
      </c>
      <c r="E215" s="72">
        <f>IF(C215="","",IFERROR(VLOOKUP(C215,'ITEM LIST'!B:M,12,0)*D215,0))</f>
        <v>4</v>
      </c>
    </row>
    <row r="216" spans="1:5" ht="14.25">
      <c r="A216" s="60" t="s">
        <v>100</v>
      </c>
      <c r="B216" s="45" t="s">
        <v>111</v>
      </c>
      <c r="C216" s="45" t="s">
        <v>420</v>
      </c>
      <c r="D216" s="169">
        <v>420</v>
      </c>
      <c r="E216" s="72">
        <f>IF(C216="","",IFERROR(VLOOKUP(C216,'ITEM LIST'!B:M,12,0)*D216,0))</f>
        <v>27.720000000000002</v>
      </c>
    </row>
    <row r="217" spans="1:5" ht="14.25">
      <c r="A217" s="60" t="s">
        <v>100</v>
      </c>
      <c r="B217" s="45" t="s">
        <v>111</v>
      </c>
      <c r="C217" s="45" t="s">
        <v>500</v>
      </c>
      <c r="D217" s="169">
        <v>1.6666666666666667</v>
      </c>
      <c r="E217" s="72">
        <f>IF(C217="","",IFERROR(VLOOKUP(C217,'ITEM LIST'!B:M,12,0)*D217,0))</f>
        <v>0.13333333333333333</v>
      </c>
    </row>
    <row r="218" spans="1:5" ht="14.25">
      <c r="A218" s="60" t="s">
        <v>100</v>
      </c>
      <c r="B218" s="45" t="s">
        <v>111</v>
      </c>
      <c r="C218" s="45" t="s">
        <v>581</v>
      </c>
      <c r="D218" s="169">
        <v>1.6666666666666667</v>
      </c>
      <c r="E218" s="72">
        <f>IF(C218="","",IFERROR(VLOOKUP(C218,'ITEM LIST'!B:M,12,0)*D218,0))</f>
        <v>3.3333333333333335</v>
      </c>
    </row>
    <row r="219" spans="1:5" ht="14.25">
      <c r="A219" s="63" t="s">
        <v>100</v>
      </c>
      <c r="B219" s="58" t="s">
        <v>111</v>
      </c>
      <c r="C219" s="58" t="s">
        <v>411</v>
      </c>
      <c r="D219" s="171">
        <v>4.9999999999999996E-2</v>
      </c>
      <c r="E219" s="79">
        <f>IF(C219="","",IFERROR(VLOOKUP(C219,'ITEM LIST'!B:M,12,0)*D219,0))</f>
        <v>5.25</v>
      </c>
    </row>
    <row r="220" spans="1:5" ht="12.75">
      <c r="A220" s="1"/>
      <c r="D220" s="145"/>
    </row>
    <row r="221" spans="1:5" ht="12.75">
      <c r="A221" s="1"/>
      <c r="D221" s="145"/>
    </row>
    <row r="222" spans="1:5" ht="12.75">
      <c r="A222" s="1"/>
      <c r="D222" s="145"/>
    </row>
    <row r="223" spans="1:5" ht="12.75">
      <c r="A223" s="1"/>
      <c r="D223" s="145"/>
    </row>
    <row r="224" spans="1:5" ht="12.75">
      <c r="A224" s="1"/>
      <c r="D224" s="145"/>
    </row>
    <row r="225" spans="1:4" ht="12.75">
      <c r="A225" s="1"/>
      <c r="D225" s="145"/>
    </row>
    <row r="226" spans="1:4" ht="12.75">
      <c r="A226" s="1"/>
      <c r="D226" s="145"/>
    </row>
    <row r="227" spans="1:4" ht="12.75">
      <c r="A227" s="1"/>
      <c r="D227" s="145"/>
    </row>
    <row r="228" spans="1:4" ht="12.75">
      <c r="A228" s="1"/>
      <c r="D228" s="145"/>
    </row>
    <row r="229" spans="1:4" ht="12.75">
      <c r="A229" s="1"/>
      <c r="D229" s="145"/>
    </row>
    <row r="230" spans="1:4" ht="12.75">
      <c r="A230" s="1"/>
      <c r="D230" s="145"/>
    </row>
    <row r="231" spans="1:4" ht="12.75">
      <c r="A231" s="1"/>
      <c r="D231" s="145"/>
    </row>
    <row r="232" spans="1:4" ht="12.75">
      <c r="A232" s="1"/>
      <c r="D232" s="145"/>
    </row>
    <row r="233" spans="1:4" ht="12.75">
      <c r="A233" s="1"/>
      <c r="D233" s="145"/>
    </row>
    <row r="234" spans="1:4" ht="12.75">
      <c r="A234" s="1"/>
      <c r="D234" s="145"/>
    </row>
    <row r="235" spans="1:4" ht="12.75">
      <c r="A235" s="1"/>
      <c r="D235" s="145"/>
    </row>
    <row r="236" spans="1:4" ht="12.75">
      <c r="A236" s="1"/>
      <c r="D236" s="145"/>
    </row>
    <row r="237" spans="1:4" ht="12.75">
      <c r="A237" s="1"/>
      <c r="D237" s="145"/>
    </row>
    <row r="238" spans="1:4" ht="12.75">
      <c r="A238" s="1"/>
      <c r="D238" s="145"/>
    </row>
    <row r="239" spans="1:4" ht="12.75">
      <c r="A239" s="1"/>
      <c r="D239" s="145"/>
    </row>
    <row r="240" spans="1:4" ht="12.75">
      <c r="A240" s="1"/>
      <c r="D240" s="145"/>
    </row>
    <row r="241" spans="1:4" ht="12.75">
      <c r="A241" s="1"/>
      <c r="D241" s="145"/>
    </row>
    <row r="242" spans="1:4" ht="12.75">
      <c r="A242" s="1"/>
      <c r="D242" s="145"/>
    </row>
    <row r="243" spans="1:4" ht="12.75">
      <c r="A243" s="1"/>
      <c r="D243" s="145"/>
    </row>
    <row r="244" spans="1:4" ht="12.75">
      <c r="A244" s="1"/>
      <c r="D244" s="145"/>
    </row>
    <row r="245" spans="1:4" ht="12.75">
      <c r="A245" s="1"/>
      <c r="D245" s="145"/>
    </row>
    <row r="246" spans="1:4" ht="12.75">
      <c r="A246" s="1"/>
      <c r="D246" s="145"/>
    </row>
    <row r="247" spans="1:4" ht="12.75">
      <c r="A247" s="1"/>
      <c r="D247" s="145"/>
    </row>
    <row r="248" spans="1:4" ht="12.75">
      <c r="A248" s="1"/>
      <c r="D248" s="145"/>
    </row>
    <row r="249" spans="1:4" ht="12.75">
      <c r="A249" s="1"/>
      <c r="D249" s="145"/>
    </row>
    <row r="250" spans="1:4" ht="12.75">
      <c r="A250" s="1"/>
      <c r="D250" s="145"/>
    </row>
    <row r="251" spans="1:4" ht="12.75">
      <c r="A251" s="1"/>
      <c r="D251" s="145"/>
    </row>
    <row r="252" spans="1:4" ht="12.75">
      <c r="A252" s="1"/>
      <c r="D252" s="145"/>
    </row>
    <row r="253" spans="1:4" ht="12.75">
      <c r="A253" s="1"/>
      <c r="D253" s="145"/>
    </row>
    <row r="254" spans="1:4" ht="12.75">
      <c r="A254" s="1"/>
      <c r="D254" s="145"/>
    </row>
    <row r="255" spans="1:4" ht="12.75">
      <c r="A255" s="1"/>
      <c r="D255" s="145"/>
    </row>
    <row r="256" spans="1:4" ht="12.75">
      <c r="A256" s="1"/>
      <c r="D256" s="145"/>
    </row>
    <row r="257" spans="1:4" ht="12.75">
      <c r="A257" s="1"/>
      <c r="D257" s="145"/>
    </row>
    <row r="258" spans="1:4" ht="12.75">
      <c r="A258" s="1"/>
      <c r="D258" s="145"/>
    </row>
    <row r="259" spans="1:4" ht="12.75">
      <c r="A259" s="1"/>
      <c r="D259" s="145"/>
    </row>
    <row r="260" spans="1:4" ht="12.75">
      <c r="A260" s="1"/>
      <c r="D260" s="145"/>
    </row>
    <row r="261" spans="1:4" ht="12.75">
      <c r="A261" s="1"/>
      <c r="D261" s="145"/>
    </row>
    <row r="262" spans="1:4" ht="12.75">
      <c r="A262" s="1"/>
      <c r="D262" s="145"/>
    </row>
    <row r="263" spans="1:4" ht="12.75">
      <c r="A263" s="1"/>
      <c r="D263" s="145"/>
    </row>
    <row r="264" spans="1:4" ht="12.75">
      <c r="A264" s="1"/>
      <c r="D264" s="145"/>
    </row>
    <row r="265" spans="1:4" ht="12.75">
      <c r="A265" s="1"/>
      <c r="D265" s="145"/>
    </row>
    <row r="266" spans="1:4" ht="12.75">
      <c r="A266" s="1"/>
      <c r="D266" s="145"/>
    </row>
    <row r="267" spans="1:4" ht="12.75">
      <c r="A267" s="1"/>
      <c r="D267" s="145"/>
    </row>
    <row r="268" spans="1:4" ht="12.75">
      <c r="A268" s="1"/>
      <c r="D268" s="145"/>
    </row>
    <row r="269" spans="1:4" ht="12.75">
      <c r="A269" s="1"/>
      <c r="D269" s="145"/>
    </row>
    <row r="270" spans="1:4" ht="12.75">
      <c r="A270" s="1"/>
      <c r="D270" s="145"/>
    </row>
    <row r="271" spans="1:4" ht="12.75">
      <c r="A271" s="1"/>
      <c r="D271" s="145"/>
    </row>
    <row r="272" spans="1:4" ht="12.75">
      <c r="A272" s="1"/>
      <c r="D272" s="145"/>
    </row>
    <row r="273" spans="1:4" ht="12.75">
      <c r="A273" s="1"/>
      <c r="D273" s="145"/>
    </row>
    <row r="274" spans="1:4" ht="12.75">
      <c r="A274" s="1"/>
      <c r="D274" s="145"/>
    </row>
    <row r="275" spans="1:4" ht="12.75">
      <c r="A275" s="1"/>
      <c r="D275" s="145"/>
    </row>
    <row r="276" spans="1:4" ht="12.75">
      <c r="A276" s="1"/>
      <c r="D276" s="145"/>
    </row>
    <row r="277" spans="1:4" ht="12.75">
      <c r="A277" s="1"/>
      <c r="D277" s="145"/>
    </row>
    <row r="278" spans="1:4" ht="12.75">
      <c r="A278" s="1"/>
      <c r="D278" s="145"/>
    </row>
    <row r="279" spans="1:4" ht="12.75">
      <c r="A279" s="1"/>
      <c r="D279" s="145"/>
    </row>
    <row r="280" spans="1:4" ht="12.75">
      <c r="A280" s="1"/>
      <c r="D280" s="145"/>
    </row>
    <row r="281" spans="1:4" ht="12.75">
      <c r="A281" s="1"/>
      <c r="D281" s="145"/>
    </row>
    <row r="282" spans="1:4" ht="12.75">
      <c r="A282" s="1"/>
      <c r="D282" s="145"/>
    </row>
    <row r="283" spans="1:4" ht="12.75">
      <c r="A283" s="1"/>
      <c r="D283" s="145"/>
    </row>
    <row r="284" spans="1:4" ht="12.75">
      <c r="A284" s="1"/>
      <c r="D284" s="145"/>
    </row>
    <row r="285" spans="1:4" ht="12.75">
      <c r="A285" s="1"/>
      <c r="D285" s="145"/>
    </row>
    <row r="286" spans="1:4" ht="12.75">
      <c r="A286" s="1"/>
      <c r="D286" s="145"/>
    </row>
    <row r="287" spans="1:4" ht="12.75">
      <c r="A287" s="1"/>
      <c r="D287" s="145"/>
    </row>
    <row r="288" spans="1:4" ht="12.75">
      <c r="A288" s="1"/>
      <c r="D288" s="145"/>
    </row>
    <row r="289" spans="1:4" ht="12.75">
      <c r="A289" s="1"/>
      <c r="D289" s="145"/>
    </row>
    <row r="290" spans="1:4" ht="12.75">
      <c r="A290" s="1"/>
      <c r="D290" s="145"/>
    </row>
    <row r="291" spans="1:4" ht="12.75">
      <c r="A291" s="1"/>
      <c r="D291" s="145"/>
    </row>
    <row r="292" spans="1:4" ht="12.75">
      <c r="A292" s="1"/>
      <c r="D292" s="145"/>
    </row>
    <row r="293" spans="1:4" ht="12.75">
      <c r="A293" s="1"/>
      <c r="D293" s="145"/>
    </row>
    <row r="294" spans="1:4" ht="12.75">
      <c r="A294" s="1"/>
      <c r="D294" s="145"/>
    </row>
    <row r="295" spans="1:4" ht="12.75">
      <c r="A295" s="1"/>
      <c r="D295" s="145"/>
    </row>
    <row r="296" spans="1:4" ht="12.75">
      <c r="A296" s="1"/>
      <c r="D296" s="145"/>
    </row>
    <row r="297" spans="1:4" ht="12.75">
      <c r="A297" s="1"/>
      <c r="D297" s="145"/>
    </row>
    <row r="298" spans="1:4" ht="12.75">
      <c r="A298" s="1"/>
      <c r="D298" s="145"/>
    </row>
    <row r="299" spans="1:4" ht="12.75">
      <c r="A299" s="1"/>
      <c r="D299" s="145"/>
    </row>
    <row r="300" spans="1:4" ht="12.75">
      <c r="A300" s="1"/>
      <c r="D300" s="145"/>
    </row>
    <row r="301" spans="1:4" ht="12.75">
      <c r="A301" s="1"/>
      <c r="D301" s="145"/>
    </row>
    <row r="302" spans="1:4" ht="12.75">
      <c r="A302" s="1"/>
      <c r="D302" s="145"/>
    </row>
    <row r="303" spans="1:4" ht="12.75">
      <c r="A303" s="1"/>
      <c r="D303" s="145"/>
    </row>
    <row r="304" spans="1:4" ht="12.75">
      <c r="A304" s="1"/>
      <c r="D304" s="145"/>
    </row>
    <row r="305" spans="1:4" ht="12.75">
      <c r="A305" s="1"/>
      <c r="D305" s="145"/>
    </row>
    <row r="306" spans="1:4" ht="12.75">
      <c r="A306" s="1"/>
      <c r="D306" s="145"/>
    </row>
    <row r="307" spans="1:4" ht="12.75">
      <c r="A307" s="1"/>
      <c r="D307" s="145"/>
    </row>
    <row r="308" spans="1:4" ht="12.75">
      <c r="A308" s="1"/>
      <c r="D308" s="145"/>
    </row>
    <row r="309" spans="1:4" ht="12.75">
      <c r="A309" s="1"/>
      <c r="D309" s="145"/>
    </row>
    <row r="310" spans="1:4" ht="12.75">
      <c r="A310" s="1"/>
      <c r="D310" s="145"/>
    </row>
    <row r="311" spans="1:4" ht="12.75">
      <c r="A311" s="1"/>
      <c r="D311" s="145"/>
    </row>
    <row r="312" spans="1:4" ht="12.75">
      <c r="A312" s="1"/>
      <c r="D312" s="145"/>
    </row>
    <row r="313" spans="1:4" ht="12.75">
      <c r="A313" s="1"/>
      <c r="D313" s="145"/>
    </row>
    <row r="314" spans="1:4" ht="12.75">
      <c r="A314" s="1"/>
      <c r="D314" s="145"/>
    </row>
    <row r="315" spans="1:4" ht="12.75">
      <c r="A315" s="1"/>
      <c r="D315" s="145"/>
    </row>
    <row r="316" spans="1:4" ht="12.75">
      <c r="A316" s="1"/>
      <c r="D316" s="145"/>
    </row>
    <row r="317" spans="1:4" ht="12.75">
      <c r="A317" s="1"/>
      <c r="D317" s="145"/>
    </row>
    <row r="318" spans="1:4" ht="12.75">
      <c r="A318" s="1"/>
      <c r="D318" s="145"/>
    </row>
    <row r="319" spans="1:4" ht="12.75">
      <c r="A319" s="1"/>
      <c r="D319" s="145"/>
    </row>
    <row r="320" spans="1:4" ht="12.75">
      <c r="A320" s="1"/>
      <c r="D320" s="145"/>
    </row>
    <row r="321" spans="1:4" ht="12.75">
      <c r="A321" s="1"/>
      <c r="D321" s="145"/>
    </row>
    <row r="322" spans="1:4" ht="12.75">
      <c r="A322" s="1"/>
      <c r="D322" s="145"/>
    </row>
    <row r="323" spans="1:4" ht="12.75">
      <c r="A323" s="1"/>
      <c r="D323" s="145"/>
    </row>
    <row r="324" spans="1:4" ht="12.75">
      <c r="A324" s="1"/>
      <c r="D324" s="145"/>
    </row>
    <row r="325" spans="1:4" ht="12.75">
      <c r="A325" s="1"/>
      <c r="D325" s="145"/>
    </row>
    <row r="326" spans="1:4" ht="12.75">
      <c r="A326" s="1"/>
      <c r="D326" s="145"/>
    </row>
    <row r="327" spans="1:4" ht="12.75">
      <c r="A327" s="1"/>
      <c r="D327" s="145"/>
    </row>
    <row r="328" spans="1:4" ht="12.75">
      <c r="A328" s="1"/>
      <c r="D328" s="145"/>
    </row>
    <row r="329" spans="1:4" ht="12.75">
      <c r="A329" s="1"/>
      <c r="D329" s="145"/>
    </row>
    <row r="330" spans="1:4" ht="12.75">
      <c r="A330" s="1"/>
      <c r="D330" s="145"/>
    </row>
    <row r="331" spans="1:4" ht="12.75">
      <c r="A331" s="1"/>
      <c r="D331" s="145"/>
    </row>
    <row r="332" spans="1:4" ht="12.75">
      <c r="A332" s="1"/>
      <c r="D332" s="145"/>
    </row>
    <row r="333" spans="1:4" ht="12.75">
      <c r="A333" s="1"/>
      <c r="D333" s="145"/>
    </row>
    <row r="334" spans="1:4" ht="12.75">
      <c r="A334" s="1"/>
      <c r="D334" s="145"/>
    </row>
    <row r="335" spans="1:4" ht="12.75">
      <c r="A335" s="1"/>
      <c r="D335" s="145"/>
    </row>
    <row r="336" spans="1:4" ht="12.75">
      <c r="A336" s="1"/>
      <c r="D336" s="145"/>
    </row>
    <row r="337" spans="1:4" ht="12.75">
      <c r="A337" s="1"/>
      <c r="D337" s="145"/>
    </row>
    <row r="338" spans="1:4" ht="12.75">
      <c r="A338" s="1"/>
      <c r="D338" s="145"/>
    </row>
    <row r="339" spans="1:4" ht="12.75">
      <c r="A339" s="1"/>
      <c r="D339" s="145"/>
    </row>
    <row r="340" spans="1:4" ht="12.75">
      <c r="A340" s="1"/>
      <c r="D340" s="145"/>
    </row>
    <row r="341" spans="1:4" ht="12.75">
      <c r="A341" s="1"/>
      <c r="D341" s="145"/>
    </row>
    <row r="342" spans="1:4" ht="12.75">
      <c r="A342" s="1"/>
      <c r="D342" s="145"/>
    </row>
    <row r="343" spans="1:4" ht="12.75">
      <c r="A343" s="1"/>
      <c r="D343" s="145"/>
    </row>
    <row r="344" spans="1:4" ht="12.75">
      <c r="A344" s="1"/>
      <c r="D344" s="145"/>
    </row>
    <row r="345" spans="1:4" ht="12.75">
      <c r="A345" s="1"/>
      <c r="D345" s="145"/>
    </row>
    <row r="346" spans="1:4" ht="12.75">
      <c r="A346" s="1"/>
      <c r="D346" s="145"/>
    </row>
    <row r="347" spans="1:4" ht="12.75">
      <c r="A347" s="1"/>
      <c r="D347" s="145"/>
    </row>
    <row r="348" spans="1:4" ht="12.75">
      <c r="A348" s="1"/>
      <c r="D348" s="145"/>
    </row>
    <row r="349" spans="1:4" ht="12.75">
      <c r="A349" s="1"/>
      <c r="D349" s="145"/>
    </row>
    <row r="350" spans="1:4" ht="12.75">
      <c r="A350" s="1"/>
      <c r="D350" s="145"/>
    </row>
    <row r="351" spans="1:4" ht="12.75">
      <c r="A351" s="1"/>
      <c r="D351" s="145"/>
    </row>
    <row r="352" spans="1:4" ht="12.75">
      <c r="A352" s="1"/>
      <c r="D352" s="145"/>
    </row>
    <row r="353" spans="1:4" ht="12.75">
      <c r="A353" s="1"/>
      <c r="D353" s="145"/>
    </row>
    <row r="354" spans="1:4" ht="12.75">
      <c r="A354" s="1"/>
      <c r="D354" s="145"/>
    </row>
    <row r="355" spans="1:4" ht="12.75">
      <c r="A355" s="1"/>
      <c r="D355" s="145"/>
    </row>
    <row r="356" spans="1:4" ht="12.75">
      <c r="A356" s="1"/>
      <c r="D356" s="145"/>
    </row>
    <row r="357" spans="1:4" ht="12.75">
      <c r="A357" s="1"/>
      <c r="D357" s="145"/>
    </row>
    <row r="358" spans="1:4" ht="12.75">
      <c r="A358" s="1"/>
      <c r="D358" s="145"/>
    </row>
    <row r="359" spans="1:4" ht="12.75">
      <c r="A359" s="1"/>
      <c r="D359" s="145"/>
    </row>
    <row r="360" spans="1:4" ht="12.75">
      <c r="A360" s="1"/>
      <c r="D360" s="145"/>
    </row>
    <row r="361" spans="1:4" ht="12.75">
      <c r="A361" s="1"/>
      <c r="D361" s="145"/>
    </row>
    <row r="362" spans="1:4" ht="12.75">
      <c r="A362" s="1"/>
      <c r="D362" s="145"/>
    </row>
    <row r="363" spans="1:4" ht="12.75">
      <c r="A363" s="1"/>
      <c r="D363" s="145"/>
    </row>
    <row r="364" spans="1:4" ht="12.75">
      <c r="A364" s="1"/>
      <c r="D364" s="145"/>
    </row>
    <row r="365" spans="1:4" ht="12.75">
      <c r="A365" s="1"/>
      <c r="D365" s="145"/>
    </row>
    <row r="366" spans="1:4" ht="12.75">
      <c r="A366" s="1"/>
      <c r="D366" s="145"/>
    </row>
    <row r="367" spans="1:4" ht="12.75">
      <c r="A367" s="1"/>
      <c r="D367" s="145"/>
    </row>
    <row r="368" spans="1:4" ht="12.75">
      <c r="A368" s="1"/>
      <c r="D368" s="145"/>
    </row>
    <row r="369" spans="1:4" ht="12.75">
      <c r="A369" s="1"/>
      <c r="D369" s="145"/>
    </row>
    <row r="370" spans="1:4" ht="12.75">
      <c r="A370" s="1"/>
      <c r="D370" s="145"/>
    </row>
    <row r="371" spans="1:4" ht="12.75">
      <c r="A371" s="1"/>
      <c r="D371" s="145"/>
    </row>
    <row r="372" spans="1:4" ht="12.75">
      <c r="A372" s="1"/>
      <c r="D372" s="145"/>
    </row>
    <row r="373" spans="1:4" ht="12.75">
      <c r="A373" s="1"/>
      <c r="D373" s="145"/>
    </row>
    <row r="374" spans="1:4" ht="12.75">
      <c r="A374" s="1"/>
      <c r="D374" s="145"/>
    </row>
    <row r="375" spans="1:4" ht="12.75">
      <c r="A375" s="1"/>
      <c r="D375" s="145"/>
    </row>
    <row r="376" spans="1:4" ht="12.75">
      <c r="A376" s="1"/>
      <c r="D376" s="145"/>
    </row>
    <row r="377" spans="1:4" ht="12.75">
      <c r="A377" s="1"/>
      <c r="D377" s="145"/>
    </row>
    <row r="378" spans="1:4" ht="12.75">
      <c r="A378" s="1"/>
      <c r="D378" s="145"/>
    </row>
    <row r="379" spans="1:4" ht="12.75">
      <c r="A379" s="1"/>
      <c r="D379" s="145"/>
    </row>
    <row r="380" spans="1:4" ht="12.75">
      <c r="A380" s="1"/>
      <c r="D380" s="145"/>
    </row>
    <row r="381" spans="1:4" ht="12.75">
      <c r="A381" s="1"/>
      <c r="D381" s="145"/>
    </row>
    <row r="382" spans="1:4" ht="12.75">
      <c r="A382" s="1"/>
      <c r="D382" s="145"/>
    </row>
    <row r="383" spans="1:4" ht="12.75">
      <c r="A383" s="1"/>
      <c r="D383" s="145"/>
    </row>
    <row r="384" spans="1:4" ht="12.75">
      <c r="A384" s="1"/>
      <c r="D384" s="145"/>
    </row>
    <row r="385" spans="1:4" ht="12.75">
      <c r="A385" s="1"/>
      <c r="D385" s="145"/>
    </row>
    <row r="386" spans="1:4" ht="12.75">
      <c r="A386" s="1"/>
      <c r="D386" s="145"/>
    </row>
    <row r="387" spans="1:4" ht="12.75">
      <c r="A387" s="1"/>
      <c r="D387" s="145"/>
    </row>
    <row r="388" spans="1:4" ht="12.75">
      <c r="A388" s="1"/>
      <c r="D388" s="145"/>
    </row>
    <row r="389" spans="1:4" ht="12.75">
      <c r="A389" s="1"/>
      <c r="D389" s="145"/>
    </row>
    <row r="390" spans="1:4" ht="12.75">
      <c r="A390" s="1"/>
      <c r="D390" s="145"/>
    </row>
    <row r="391" spans="1:4" ht="12.75">
      <c r="A391" s="1"/>
      <c r="D391" s="145"/>
    </row>
    <row r="392" spans="1:4" ht="12.75">
      <c r="A392" s="1"/>
      <c r="D392" s="145"/>
    </row>
    <row r="393" spans="1:4" ht="12.75">
      <c r="A393" s="1"/>
      <c r="D393" s="145"/>
    </row>
    <row r="394" spans="1:4" ht="12.75">
      <c r="A394" s="1"/>
      <c r="D394" s="145"/>
    </row>
    <row r="395" spans="1:4" ht="12.75">
      <c r="A395" s="1"/>
      <c r="D395" s="145"/>
    </row>
    <row r="396" spans="1:4" ht="12.75">
      <c r="A396" s="1"/>
      <c r="D396" s="145"/>
    </row>
    <row r="397" spans="1:4" ht="12.75">
      <c r="A397" s="1"/>
      <c r="D397" s="145"/>
    </row>
    <row r="398" spans="1:4" ht="12.75">
      <c r="A398" s="1"/>
      <c r="D398" s="145"/>
    </row>
    <row r="399" spans="1:4" ht="12.75">
      <c r="A399" s="1"/>
      <c r="D399" s="145"/>
    </row>
    <row r="400" spans="1:4" ht="12.75">
      <c r="A400" s="1"/>
      <c r="D400" s="145"/>
    </row>
    <row r="401" spans="1:4" ht="12.75">
      <c r="A401" s="1"/>
      <c r="D401" s="145"/>
    </row>
    <row r="402" spans="1:4" ht="12.75">
      <c r="A402" s="1"/>
      <c r="D402" s="145"/>
    </row>
    <row r="403" spans="1:4" ht="12.75">
      <c r="A403" s="1"/>
      <c r="D403" s="145"/>
    </row>
    <row r="404" spans="1:4" ht="12.75">
      <c r="A404" s="1"/>
      <c r="D404" s="145"/>
    </row>
    <row r="405" spans="1:4" ht="12.75">
      <c r="A405" s="1"/>
      <c r="D405" s="145"/>
    </row>
    <row r="406" spans="1:4" ht="12.75">
      <c r="A406" s="1"/>
      <c r="D406" s="145"/>
    </row>
    <row r="407" spans="1:4" ht="12.75">
      <c r="A407" s="1"/>
      <c r="D407" s="145"/>
    </row>
    <row r="408" spans="1:4" ht="12.75">
      <c r="A408" s="1"/>
      <c r="D408" s="145"/>
    </row>
    <row r="409" spans="1:4" ht="12.75">
      <c r="A409" s="1"/>
      <c r="D409" s="145"/>
    </row>
    <row r="410" spans="1:4" ht="12.75">
      <c r="A410" s="1"/>
      <c r="D410" s="145"/>
    </row>
    <row r="411" spans="1:4" ht="12.75">
      <c r="A411" s="1"/>
      <c r="D411" s="145"/>
    </row>
    <row r="412" spans="1:4" ht="12.75">
      <c r="A412" s="1"/>
      <c r="D412" s="145"/>
    </row>
    <row r="413" spans="1:4" ht="12.75">
      <c r="A413" s="1"/>
      <c r="D413" s="145"/>
    </row>
    <row r="414" spans="1:4" ht="12.75">
      <c r="A414" s="1"/>
      <c r="D414" s="145"/>
    </row>
    <row r="415" spans="1:4" ht="12.75">
      <c r="A415" s="1"/>
      <c r="D415" s="145"/>
    </row>
    <row r="416" spans="1:4" ht="12.75">
      <c r="A416" s="1"/>
      <c r="D416" s="145"/>
    </row>
    <row r="417" spans="1:4" ht="12.75">
      <c r="A417" s="1"/>
      <c r="D417" s="145"/>
    </row>
    <row r="418" spans="1:4" ht="12.75">
      <c r="A418" s="1"/>
      <c r="D418" s="145"/>
    </row>
    <row r="419" spans="1:4" ht="12.75">
      <c r="A419" s="1"/>
      <c r="D419" s="145"/>
    </row>
    <row r="420" spans="1:4" ht="12.75">
      <c r="A420" s="1"/>
      <c r="D420" s="145"/>
    </row>
    <row r="421" spans="1:4" ht="12.75">
      <c r="A421" s="1"/>
      <c r="D421" s="145"/>
    </row>
    <row r="422" spans="1:4" ht="12.75">
      <c r="A422" s="1"/>
      <c r="D422" s="145"/>
    </row>
    <row r="423" spans="1:4" ht="12.75">
      <c r="A423" s="1"/>
      <c r="D423" s="145"/>
    </row>
    <row r="424" spans="1:4" ht="12.75">
      <c r="A424" s="1"/>
      <c r="D424" s="145"/>
    </row>
    <row r="425" spans="1:4" ht="12.75">
      <c r="A425" s="1"/>
      <c r="D425" s="145"/>
    </row>
    <row r="426" spans="1:4" ht="12.75">
      <c r="A426" s="1"/>
      <c r="D426" s="145"/>
    </row>
    <row r="427" spans="1:4" ht="12.75">
      <c r="A427" s="1"/>
      <c r="D427" s="145"/>
    </row>
    <row r="428" spans="1:4" ht="12.75">
      <c r="A428" s="1"/>
      <c r="D428" s="145"/>
    </row>
    <row r="429" spans="1:4" ht="12.75">
      <c r="A429" s="1"/>
      <c r="D429" s="145"/>
    </row>
    <row r="430" spans="1:4" ht="12.75">
      <c r="A430" s="1"/>
      <c r="D430" s="145"/>
    </row>
    <row r="431" spans="1:4" ht="12.75">
      <c r="A431" s="1"/>
      <c r="D431" s="145"/>
    </row>
    <row r="432" spans="1:4" ht="12.75">
      <c r="A432" s="1"/>
      <c r="D432" s="145"/>
    </row>
    <row r="433" spans="1:4" ht="12.75">
      <c r="A433" s="1"/>
      <c r="D433" s="145"/>
    </row>
    <row r="434" spans="1:4" ht="12.75">
      <c r="A434" s="1"/>
      <c r="D434" s="145"/>
    </row>
    <row r="435" spans="1:4" ht="12.75">
      <c r="A435" s="1"/>
      <c r="D435" s="145"/>
    </row>
    <row r="436" spans="1:4" ht="12.75">
      <c r="A436" s="1"/>
      <c r="D436" s="145"/>
    </row>
    <row r="437" spans="1:4" ht="12.75">
      <c r="A437" s="1"/>
      <c r="D437" s="145"/>
    </row>
    <row r="438" spans="1:4" ht="12.75">
      <c r="A438" s="1"/>
      <c r="D438" s="145"/>
    </row>
    <row r="439" spans="1:4" ht="12.75">
      <c r="A439" s="1"/>
      <c r="D439" s="145"/>
    </row>
    <row r="440" spans="1:4" ht="12.75">
      <c r="A440" s="1"/>
      <c r="D440" s="145"/>
    </row>
    <row r="441" spans="1:4" ht="12.75">
      <c r="A441" s="1"/>
      <c r="D441" s="145"/>
    </row>
    <row r="442" spans="1:4" ht="12.75">
      <c r="A442" s="1"/>
      <c r="D442" s="145"/>
    </row>
    <row r="443" spans="1:4" ht="12.75">
      <c r="A443" s="1"/>
      <c r="D443" s="145"/>
    </row>
    <row r="444" spans="1:4" ht="12.75">
      <c r="A444" s="1"/>
      <c r="D444" s="145"/>
    </row>
    <row r="445" spans="1:4" ht="12.75">
      <c r="A445" s="1"/>
      <c r="D445" s="145"/>
    </row>
    <row r="446" spans="1:4" ht="12.75">
      <c r="A446" s="1"/>
      <c r="D446" s="145"/>
    </row>
    <row r="447" spans="1:4" ht="12.75">
      <c r="A447" s="1"/>
      <c r="D447" s="145"/>
    </row>
    <row r="448" spans="1:4" ht="12.75">
      <c r="A448" s="1"/>
      <c r="D448" s="145"/>
    </row>
    <row r="449" spans="1:4" ht="12.75">
      <c r="A449" s="1"/>
      <c r="D449" s="145"/>
    </row>
    <row r="450" spans="1:4" ht="12.75">
      <c r="A450" s="1"/>
      <c r="D450" s="145"/>
    </row>
    <row r="451" spans="1:4" ht="12.75">
      <c r="A451" s="1"/>
      <c r="D451" s="145"/>
    </row>
    <row r="452" spans="1:4" ht="12.75">
      <c r="A452" s="1"/>
      <c r="D452" s="145"/>
    </row>
    <row r="453" spans="1:4" ht="12.75">
      <c r="A453" s="1"/>
      <c r="D453" s="145"/>
    </row>
    <row r="454" spans="1:4" ht="12.75">
      <c r="A454" s="1"/>
      <c r="D454" s="145"/>
    </row>
    <row r="455" spans="1:4" ht="12.75">
      <c r="A455" s="1"/>
      <c r="D455" s="145"/>
    </row>
    <row r="456" spans="1:4" ht="12.75">
      <c r="A456" s="1"/>
      <c r="D456" s="145"/>
    </row>
    <row r="457" spans="1:4" ht="12.75">
      <c r="A457" s="1"/>
      <c r="D457" s="145"/>
    </row>
    <row r="458" spans="1:4" ht="12.75">
      <c r="A458" s="1"/>
      <c r="D458" s="145"/>
    </row>
    <row r="459" spans="1:4" ht="12.75">
      <c r="A459" s="1"/>
      <c r="D459" s="145"/>
    </row>
    <row r="460" spans="1:4" ht="12.75">
      <c r="A460" s="1"/>
      <c r="D460" s="145"/>
    </row>
    <row r="461" spans="1:4" ht="12.75">
      <c r="A461" s="1"/>
      <c r="D461" s="145"/>
    </row>
    <row r="462" spans="1:4" ht="12.75">
      <c r="A462" s="1"/>
      <c r="D462" s="145"/>
    </row>
    <row r="463" spans="1:4" ht="12.75">
      <c r="A463" s="1"/>
      <c r="D463" s="145"/>
    </row>
    <row r="464" spans="1:4" ht="12.75">
      <c r="A464" s="1"/>
      <c r="D464" s="145"/>
    </row>
    <row r="465" spans="1:4" ht="12.75">
      <c r="A465" s="1"/>
      <c r="D465" s="145"/>
    </row>
    <row r="466" spans="1:4" ht="12.75">
      <c r="A466" s="1"/>
      <c r="D466" s="145"/>
    </row>
    <row r="467" spans="1:4" ht="12.75">
      <c r="A467" s="1"/>
      <c r="D467" s="145"/>
    </row>
    <row r="468" spans="1:4" ht="12.75">
      <c r="A468" s="1"/>
      <c r="D468" s="145"/>
    </row>
    <row r="469" spans="1:4" ht="12.75">
      <c r="A469" s="1"/>
      <c r="D469" s="145"/>
    </row>
    <row r="470" spans="1:4" ht="12.75">
      <c r="A470" s="1"/>
      <c r="D470" s="145"/>
    </row>
    <row r="471" spans="1:4" ht="12.75">
      <c r="A471" s="1"/>
      <c r="D471" s="145"/>
    </row>
    <row r="472" spans="1:4" ht="12.75">
      <c r="A472" s="1"/>
      <c r="D472" s="145"/>
    </row>
    <row r="473" spans="1:4" ht="12.75">
      <c r="A473" s="1"/>
      <c r="D473" s="145"/>
    </row>
    <row r="474" spans="1:4" ht="12.75">
      <c r="A474" s="1"/>
      <c r="D474" s="145"/>
    </row>
    <row r="475" spans="1:4" ht="12.75">
      <c r="A475" s="1"/>
      <c r="D475" s="145"/>
    </row>
    <row r="476" spans="1:4" ht="12.75">
      <c r="A476" s="1"/>
      <c r="D476" s="145"/>
    </row>
    <row r="477" spans="1:4" ht="12.75">
      <c r="A477" s="1"/>
      <c r="D477" s="145"/>
    </row>
    <row r="478" spans="1:4" ht="12.75">
      <c r="A478" s="1"/>
      <c r="D478" s="145"/>
    </row>
    <row r="479" spans="1:4" ht="12.75">
      <c r="A479" s="1"/>
      <c r="D479" s="145"/>
    </row>
    <row r="480" spans="1:4" ht="12.75">
      <c r="A480" s="1"/>
      <c r="D480" s="145"/>
    </row>
    <row r="481" spans="1:4" ht="12.75">
      <c r="A481" s="1"/>
      <c r="D481" s="145"/>
    </row>
    <row r="482" spans="1:4" ht="12.75">
      <c r="A482" s="1"/>
      <c r="D482" s="145"/>
    </row>
    <row r="483" spans="1:4" ht="12.75">
      <c r="A483" s="1"/>
      <c r="D483" s="145"/>
    </row>
    <row r="484" spans="1:4" ht="12.75">
      <c r="A484" s="1"/>
      <c r="D484" s="145"/>
    </row>
    <row r="485" spans="1:4" ht="12.75">
      <c r="A485" s="1"/>
      <c r="D485" s="145"/>
    </row>
    <row r="486" spans="1:4" ht="12.75">
      <c r="A486" s="1"/>
      <c r="D486" s="145"/>
    </row>
    <row r="487" spans="1:4" ht="12.75">
      <c r="A487" s="1"/>
      <c r="D487" s="145"/>
    </row>
    <row r="488" spans="1:4" ht="12.75">
      <c r="A488" s="1"/>
      <c r="D488" s="145"/>
    </row>
    <row r="489" spans="1:4" ht="12.75">
      <c r="A489" s="1"/>
      <c r="D489" s="145"/>
    </row>
    <row r="490" spans="1:4" ht="12.75">
      <c r="A490" s="1"/>
      <c r="D490" s="145"/>
    </row>
    <row r="491" spans="1:4" ht="12.75">
      <c r="A491" s="1"/>
      <c r="D491" s="145"/>
    </row>
    <row r="492" spans="1:4" ht="12.75">
      <c r="A492" s="1"/>
      <c r="D492" s="145"/>
    </row>
    <row r="493" spans="1:4" ht="12.75">
      <c r="A493" s="1"/>
      <c r="D493" s="145"/>
    </row>
    <row r="494" spans="1:4" ht="12.75">
      <c r="A494" s="1"/>
      <c r="D494" s="145"/>
    </row>
    <row r="495" spans="1:4" ht="12.75">
      <c r="A495" s="1"/>
      <c r="D495" s="145"/>
    </row>
    <row r="496" spans="1:4" ht="12.75">
      <c r="A496" s="1"/>
      <c r="D496" s="145"/>
    </row>
    <row r="497" spans="1:4" ht="12.75">
      <c r="A497" s="1"/>
      <c r="D497" s="145"/>
    </row>
    <row r="498" spans="1:4" ht="12.75">
      <c r="A498" s="1"/>
      <c r="D498" s="145"/>
    </row>
    <row r="499" spans="1:4" ht="12.75">
      <c r="A499" s="1"/>
      <c r="D499" s="145"/>
    </row>
    <row r="500" spans="1:4" ht="12.75">
      <c r="A500" s="1"/>
      <c r="D500" s="145"/>
    </row>
    <row r="501" spans="1:4" ht="12.75">
      <c r="A501" s="1"/>
      <c r="D501" s="145"/>
    </row>
    <row r="502" spans="1:4" ht="12.75">
      <c r="A502" s="1"/>
      <c r="D502" s="145"/>
    </row>
    <row r="503" spans="1:4" ht="12.75">
      <c r="A503" s="1"/>
      <c r="D503" s="145"/>
    </row>
    <row r="504" spans="1:4" ht="12.75">
      <c r="A504" s="1"/>
      <c r="D504" s="145"/>
    </row>
    <row r="505" spans="1:4" ht="12.75">
      <c r="A505" s="1"/>
      <c r="D505" s="145"/>
    </row>
    <row r="506" spans="1:4" ht="12.75">
      <c r="A506" s="1"/>
      <c r="D506" s="145"/>
    </row>
    <row r="507" spans="1:4" ht="12.75">
      <c r="A507" s="1"/>
      <c r="D507" s="145"/>
    </row>
    <row r="508" spans="1:4" ht="12.75">
      <c r="A508" s="1"/>
      <c r="D508" s="145"/>
    </row>
    <row r="509" spans="1:4" ht="12.75">
      <c r="A509" s="1"/>
      <c r="D509" s="145"/>
    </row>
    <row r="510" spans="1:4" ht="12.75">
      <c r="A510" s="1"/>
      <c r="D510" s="145"/>
    </row>
    <row r="511" spans="1:4" ht="12.75">
      <c r="A511" s="1"/>
      <c r="D511" s="145"/>
    </row>
    <row r="512" spans="1:4" ht="12.75">
      <c r="A512" s="1"/>
      <c r="D512" s="145"/>
    </row>
    <row r="513" spans="1:4" ht="12.75">
      <c r="A513" s="1"/>
      <c r="D513" s="145"/>
    </row>
    <row r="514" spans="1:4" ht="12.75">
      <c r="A514" s="1"/>
      <c r="D514" s="145"/>
    </row>
    <row r="515" spans="1:4" ht="12.75">
      <c r="A515" s="1"/>
      <c r="D515" s="145"/>
    </row>
    <row r="516" spans="1:4" ht="12.75">
      <c r="A516" s="1"/>
      <c r="D516" s="145"/>
    </row>
    <row r="517" spans="1:4" ht="12.75">
      <c r="A517" s="1"/>
      <c r="D517" s="145"/>
    </row>
    <row r="518" spans="1:4" ht="12.75">
      <c r="A518" s="1"/>
      <c r="D518" s="145"/>
    </row>
    <row r="519" spans="1:4" ht="12.75">
      <c r="A519" s="1"/>
      <c r="D519" s="145"/>
    </row>
    <row r="520" spans="1:4" ht="12.75">
      <c r="A520" s="1"/>
      <c r="D520" s="145"/>
    </row>
    <row r="521" spans="1:4" ht="12.75">
      <c r="A521" s="1"/>
      <c r="D521" s="145"/>
    </row>
    <row r="522" spans="1:4" ht="12.75">
      <c r="A522" s="1"/>
      <c r="D522" s="145"/>
    </row>
    <row r="523" spans="1:4" ht="12.75">
      <c r="A523" s="1"/>
      <c r="D523" s="145"/>
    </row>
    <row r="524" spans="1:4" ht="12.75">
      <c r="A524" s="1"/>
      <c r="D524" s="145"/>
    </row>
    <row r="525" spans="1:4" ht="12.75">
      <c r="A525" s="1"/>
      <c r="D525" s="145"/>
    </row>
    <row r="526" spans="1:4" ht="12.75">
      <c r="A526" s="1"/>
      <c r="D526" s="145"/>
    </row>
    <row r="527" spans="1:4" ht="12.75">
      <c r="A527" s="1"/>
      <c r="D527" s="145"/>
    </row>
    <row r="528" spans="1:4" ht="12.75">
      <c r="A528" s="1"/>
      <c r="D528" s="145"/>
    </row>
    <row r="529" spans="1:4" ht="12.75">
      <c r="A529" s="1"/>
      <c r="D529" s="145"/>
    </row>
    <row r="530" spans="1:4" ht="12.75">
      <c r="A530" s="1"/>
      <c r="D530" s="145"/>
    </row>
    <row r="531" spans="1:4" ht="12.75">
      <c r="A531" s="1"/>
      <c r="D531" s="145"/>
    </row>
    <row r="532" spans="1:4" ht="12.75">
      <c r="A532" s="1"/>
      <c r="D532" s="145"/>
    </row>
    <row r="533" spans="1:4" ht="12.75">
      <c r="A533" s="1"/>
      <c r="D533" s="145"/>
    </row>
    <row r="534" spans="1:4" ht="12.75">
      <c r="A534" s="1"/>
      <c r="D534" s="145"/>
    </row>
    <row r="535" spans="1:4" ht="12.75">
      <c r="A535" s="1"/>
      <c r="D535" s="145"/>
    </row>
    <row r="536" spans="1:4" ht="12.75">
      <c r="A536" s="1"/>
      <c r="D536" s="145"/>
    </row>
    <row r="537" spans="1:4" ht="12.75">
      <c r="A537" s="1"/>
      <c r="D537" s="145"/>
    </row>
    <row r="538" spans="1:4" ht="12.75">
      <c r="A538" s="1"/>
      <c r="D538" s="145"/>
    </row>
    <row r="539" spans="1:4" ht="12.75">
      <c r="A539" s="1"/>
      <c r="D539" s="145"/>
    </row>
    <row r="540" spans="1:4" ht="12.75">
      <c r="A540" s="1"/>
      <c r="D540" s="145"/>
    </row>
    <row r="541" spans="1:4" ht="12.75">
      <c r="A541" s="1"/>
      <c r="D541" s="145"/>
    </row>
    <row r="542" spans="1:4" ht="12.75">
      <c r="A542" s="1"/>
      <c r="D542" s="145"/>
    </row>
    <row r="543" spans="1:4" ht="12.75">
      <c r="A543" s="1"/>
      <c r="D543" s="145"/>
    </row>
    <row r="544" spans="1:4" ht="12.75">
      <c r="A544" s="1"/>
      <c r="D544" s="145"/>
    </row>
    <row r="545" spans="1:4" ht="12.75">
      <c r="A545" s="1"/>
      <c r="D545" s="145"/>
    </row>
    <row r="546" spans="1:4" ht="12.75">
      <c r="A546" s="1"/>
      <c r="D546" s="145"/>
    </row>
    <row r="547" spans="1:4" ht="12.75">
      <c r="A547" s="1"/>
      <c r="D547" s="145"/>
    </row>
    <row r="548" spans="1:4" ht="12.75">
      <c r="A548" s="1"/>
      <c r="D548" s="145"/>
    </row>
    <row r="549" spans="1:4" ht="12.75">
      <c r="A549" s="1"/>
      <c r="D549" s="145"/>
    </row>
    <row r="550" spans="1:4" ht="12.75">
      <c r="A550" s="1"/>
      <c r="D550" s="145"/>
    </row>
    <row r="551" spans="1:4" ht="12.75">
      <c r="A551" s="1"/>
      <c r="D551" s="145"/>
    </row>
    <row r="552" spans="1:4" ht="12.75">
      <c r="A552" s="1"/>
      <c r="D552" s="145"/>
    </row>
    <row r="553" spans="1:4" ht="12.75">
      <c r="A553" s="1"/>
      <c r="D553" s="145"/>
    </row>
    <row r="554" spans="1:4" ht="12.75">
      <c r="A554" s="1"/>
      <c r="D554" s="145"/>
    </row>
    <row r="555" spans="1:4" ht="12.75">
      <c r="A555" s="1"/>
      <c r="D555" s="145"/>
    </row>
    <row r="556" spans="1:4" ht="12.75">
      <c r="A556" s="1"/>
      <c r="D556" s="145"/>
    </row>
    <row r="557" spans="1:4" ht="12.75">
      <c r="A557" s="1"/>
      <c r="D557" s="145"/>
    </row>
    <row r="558" spans="1:4" ht="12.75">
      <c r="A558" s="1"/>
      <c r="D558" s="145"/>
    </row>
    <row r="559" spans="1:4" ht="12.75">
      <c r="A559" s="1"/>
      <c r="D559" s="145"/>
    </row>
    <row r="560" spans="1:4" ht="12.75">
      <c r="A560" s="1"/>
      <c r="D560" s="145"/>
    </row>
    <row r="561" spans="1:4" ht="12.75">
      <c r="A561" s="1"/>
      <c r="D561" s="145"/>
    </row>
    <row r="562" spans="1:4" ht="12.75">
      <c r="A562" s="1"/>
      <c r="D562" s="145"/>
    </row>
    <row r="563" spans="1:4" ht="12.75">
      <c r="A563" s="1"/>
      <c r="D563" s="145"/>
    </row>
    <row r="564" spans="1:4" ht="12.75">
      <c r="A564" s="1"/>
      <c r="D564" s="145"/>
    </row>
    <row r="565" spans="1:4" ht="12.75">
      <c r="A565" s="1"/>
      <c r="D565" s="145"/>
    </row>
    <row r="566" spans="1:4" ht="12.75">
      <c r="A566" s="1"/>
      <c r="D566" s="145"/>
    </row>
    <row r="567" spans="1:4" ht="12.75">
      <c r="A567" s="1"/>
      <c r="D567" s="145"/>
    </row>
    <row r="568" spans="1:4" ht="12.75">
      <c r="A568" s="1"/>
      <c r="D568" s="145"/>
    </row>
    <row r="569" spans="1:4" ht="12.75">
      <c r="A569" s="1"/>
      <c r="D569" s="145"/>
    </row>
    <row r="570" spans="1:4" ht="12.75">
      <c r="A570" s="1"/>
      <c r="D570" s="145"/>
    </row>
    <row r="571" spans="1:4" ht="12.75">
      <c r="A571" s="1"/>
      <c r="D571" s="145"/>
    </row>
    <row r="572" spans="1:4" ht="12.75">
      <c r="A572" s="1"/>
      <c r="D572" s="145"/>
    </row>
    <row r="573" spans="1:4" ht="12.75">
      <c r="A573" s="1"/>
      <c r="D573" s="145"/>
    </row>
    <row r="574" spans="1:4" ht="12.75">
      <c r="A574" s="1"/>
      <c r="D574" s="145"/>
    </row>
    <row r="575" spans="1:4" ht="12.75">
      <c r="A575" s="1"/>
      <c r="D575" s="145"/>
    </row>
    <row r="576" spans="1:4" ht="12.75">
      <c r="A576" s="1"/>
      <c r="D576" s="145"/>
    </row>
    <row r="577" spans="1:4" ht="12.75">
      <c r="A577" s="1"/>
      <c r="D577" s="145"/>
    </row>
    <row r="578" spans="1:4" ht="12.75">
      <c r="A578" s="1"/>
      <c r="D578" s="145"/>
    </row>
    <row r="579" spans="1:4" ht="12.75">
      <c r="A579" s="1"/>
      <c r="D579" s="145"/>
    </row>
    <row r="580" spans="1:4" ht="12.75">
      <c r="A580" s="1"/>
      <c r="D580" s="145"/>
    </row>
    <row r="581" spans="1:4" ht="12.75">
      <c r="A581" s="1"/>
      <c r="D581" s="145"/>
    </row>
    <row r="582" spans="1:4" ht="12.75">
      <c r="A582" s="1"/>
      <c r="D582" s="145"/>
    </row>
    <row r="583" spans="1:4" ht="12.75">
      <c r="A583" s="1"/>
      <c r="D583" s="145"/>
    </row>
    <row r="584" spans="1:4" ht="12.75">
      <c r="A584" s="1"/>
      <c r="D584" s="145"/>
    </row>
    <row r="585" spans="1:4" ht="12.75">
      <c r="A585" s="1"/>
      <c r="D585" s="145"/>
    </row>
    <row r="586" spans="1:4" ht="12.75">
      <c r="A586" s="1"/>
      <c r="D586" s="145"/>
    </row>
    <row r="587" spans="1:4" ht="12.75">
      <c r="A587" s="1"/>
      <c r="D587" s="145"/>
    </row>
    <row r="588" spans="1:4" ht="12.75">
      <c r="A588" s="1"/>
      <c r="D588" s="145"/>
    </row>
    <row r="589" spans="1:4" ht="12.75">
      <c r="A589" s="1"/>
      <c r="D589" s="145"/>
    </row>
    <row r="590" spans="1:4" ht="12.75">
      <c r="A590" s="1"/>
      <c r="D590" s="145"/>
    </row>
    <row r="591" spans="1:4" ht="12.75">
      <c r="A591" s="1"/>
      <c r="D591" s="145"/>
    </row>
    <row r="592" spans="1:4" ht="12.75">
      <c r="A592" s="1"/>
      <c r="D592" s="145"/>
    </row>
    <row r="593" spans="1:4" ht="12.75">
      <c r="A593" s="1"/>
      <c r="D593" s="145"/>
    </row>
    <row r="594" spans="1:4" ht="12.75">
      <c r="A594" s="1"/>
      <c r="D594" s="145"/>
    </row>
    <row r="595" spans="1:4" ht="12.75">
      <c r="A595" s="1"/>
      <c r="D595" s="145"/>
    </row>
    <row r="596" spans="1:4" ht="12.75">
      <c r="A596" s="1"/>
      <c r="D596" s="145"/>
    </row>
    <row r="597" spans="1:4" ht="12.75">
      <c r="A597" s="1"/>
      <c r="D597" s="145"/>
    </row>
    <row r="598" spans="1:4" ht="12.75">
      <c r="A598" s="1"/>
      <c r="D598" s="145"/>
    </row>
    <row r="599" spans="1:4" ht="12.75">
      <c r="A599" s="1"/>
      <c r="D599" s="145"/>
    </row>
    <row r="600" spans="1:4" ht="12.75">
      <c r="A600" s="1"/>
      <c r="D600" s="145"/>
    </row>
    <row r="601" spans="1:4" ht="12.75">
      <c r="A601" s="1"/>
      <c r="D601" s="145"/>
    </row>
    <row r="602" spans="1:4" ht="12.75">
      <c r="A602" s="1"/>
      <c r="D602" s="145"/>
    </row>
    <row r="603" spans="1:4" ht="12.75">
      <c r="A603" s="1"/>
      <c r="D603" s="145"/>
    </row>
    <row r="604" spans="1:4" ht="12.75">
      <c r="A604" s="1"/>
      <c r="D604" s="145"/>
    </row>
    <row r="605" spans="1:4" ht="12.75">
      <c r="A605" s="1"/>
      <c r="D605" s="145"/>
    </row>
    <row r="606" spans="1:4" ht="12.75">
      <c r="A606" s="1"/>
      <c r="D606" s="145"/>
    </row>
    <row r="607" spans="1:4" ht="12.75">
      <c r="A607" s="1"/>
      <c r="D607" s="145"/>
    </row>
    <row r="608" spans="1:4" ht="12.75">
      <c r="A608" s="1"/>
      <c r="D608" s="145"/>
    </row>
    <row r="609" spans="1:4" ht="12.75">
      <c r="A609" s="1"/>
      <c r="D609" s="145"/>
    </row>
    <row r="610" spans="1:4" ht="12.75">
      <c r="A610" s="1"/>
      <c r="D610" s="145"/>
    </row>
    <row r="611" spans="1:4" ht="12.75">
      <c r="A611" s="1"/>
      <c r="D611" s="145"/>
    </row>
    <row r="612" spans="1:4" ht="12.75">
      <c r="A612" s="1"/>
      <c r="D612" s="145"/>
    </row>
    <row r="613" spans="1:4" ht="12.75">
      <c r="A613" s="1"/>
      <c r="D613" s="145"/>
    </row>
    <row r="614" spans="1:4" ht="12.75">
      <c r="A614" s="1"/>
      <c r="D614" s="145"/>
    </row>
    <row r="615" spans="1:4" ht="12.75">
      <c r="A615" s="1"/>
      <c r="D615" s="145"/>
    </row>
    <row r="616" spans="1:4" ht="12.75">
      <c r="A616" s="1"/>
      <c r="D616" s="145"/>
    </row>
    <row r="617" spans="1:4" ht="12.75">
      <c r="A617" s="1"/>
      <c r="D617" s="145"/>
    </row>
    <row r="618" spans="1:4" ht="12.75">
      <c r="A618" s="1"/>
      <c r="D618" s="145"/>
    </row>
    <row r="619" spans="1:4" ht="12.75">
      <c r="A619" s="1"/>
      <c r="D619" s="145"/>
    </row>
    <row r="620" spans="1:4" ht="12.75">
      <c r="A620" s="1"/>
      <c r="D620" s="145"/>
    </row>
    <row r="621" spans="1:4" ht="12.75">
      <c r="A621" s="1"/>
      <c r="D621" s="145"/>
    </row>
    <row r="622" spans="1:4" ht="12.75">
      <c r="A622" s="1"/>
      <c r="D622" s="145"/>
    </row>
    <row r="623" spans="1:4" ht="12.75">
      <c r="A623" s="1"/>
      <c r="D623" s="145"/>
    </row>
    <row r="624" spans="1:4" ht="12.75">
      <c r="A624" s="1"/>
      <c r="D624" s="145"/>
    </row>
    <row r="625" spans="1:4" ht="12.75">
      <c r="A625" s="1"/>
      <c r="D625" s="145"/>
    </row>
    <row r="626" spans="1:4" ht="12.75">
      <c r="A626" s="1"/>
      <c r="D626" s="145"/>
    </row>
    <row r="627" spans="1:4" ht="12.75">
      <c r="A627" s="1"/>
      <c r="D627" s="145"/>
    </row>
    <row r="628" spans="1:4" ht="12.75">
      <c r="A628" s="1"/>
      <c r="D628" s="145"/>
    </row>
    <row r="629" spans="1:4" ht="12.75">
      <c r="A629" s="1"/>
      <c r="D629" s="145"/>
    </row>
    <row r="630" spans="1:4" ht="12.75">
      <c r="A630" s="1"/>
      <c r="D630" s="145"/>
    </row>
    <row r="631" spans="1:4" ht="12.75">
      <c r="A631" s="1"/>
      <c r="D631" s="145"/>
    </row>
    <row r="632" spans="1:4" ht="12.75">
      <c r="A632" s="1"/>
      <c r="D632" s="145"/>
    </row>
    <row r="633" spans="1:4" ht="12.75">
      <c r="A633" s="1"/>
      <c r="D633" s="145"/>
    </row>
    <row r="634" spans="1:4" ht="12.75">
      <c r="A634" s="1"/>
      <c r="D634" s="145"/>
    </row>
    <row r="635" spans="1:4" ht="12.75">
      <c r="A635" s="1"/>
      <c r="D635" s="145"/>
    </row>
    <row r="636" spans="1:4" ht="12.75">
      <c r="A636" s="1"/>
      <c r="D636" s="145"/>
    </row>
    <row r="637" spans="1:4" ht="12.75">
      <c r="A637" s="1"/>
      <c r="D637" s="145"/>
    </row>
    <row r="638" spans="1:4" ht="12.75">
      <c r="A638" s="1"/>
      <c r="D638" s="145"/>
    </row>
    <row r="639" spans="1:4" ht="12.75">
      <c r="A639" s="1"/>
      <c r="D639" s="145"/>
    </row>
    <row r="640" spans="1:4" ht="12.75">
      <c r="A640" s="1"/>
      <c r="D640" s="145"/>
    </row>
    <row r="641" spans="1:4" ht="12.75">
      <c r="A641" s="1"/>
      <c r="D641" s="145"/>
    </row>
    <row r="642" spans="1:4" ht="12.75">
      <c r="A642" s="1"/>
      <c r="D642" s="145"/>
    </row>
    <row r="643" spans="1:4" ht="12.75">
      <c r="A643" s="1"/>
      <c r="D643" s="145"/>
    </row>
    <row r="644" spans="1:4" ht="12.75">
      <c r="A644" s="1"/>
      <c r="D644" s="145"/>
    </row>
    <row r="645" spans="1:4" ht="12.75">
      <c r="A645" s="1"/>
      <c r="D645" s="145"/>
    </row>
    <row r="646" spans="1:4" ht="12.75">
      <c r="A646" s="1"/>
      <c r="D646" s="145"/>
    </row>
    <row r="647" spans="1:4" ht="12.75">
      <c r="A647" s="1"/>
      <c r="D647" s="145"/>
    </row>
    <row r="648" spans="1:4" ht="12.75">
      <c r="A648" s="1"/>
      <c r="D648" s="145"/>
    </row>
    <row r="649" spans="1:4" ht="12.75">
      <c r="A649" s="1"/>
      <c r="D649" s="145"/>
    </row>
    <row r="650" spans="1:4" ht="12.75">
      <c r="A650" s="1"/>
      <c r="D650" s="145"/>
    </row>
    <row r="651" spans="1:4" ht="12.75">
      <c r="A651" s="1"/>
      <c r="D651" s="145"/>
    </row>
    <row r="652" spans="1:4" ht="12.75">
      <c r="A652" s="1"/>
      <c r="D652" s="145"/>
    </row>
    <row r="653" spans="1:4" ht="12.75">
      <c r="A653" s="1"/>
      <c r="D653" s="145"/>
    </row>
    <row r="654" spans="1:4" ht="12.75">
      <c r="A654" s="1"/>
      <c r="D654" s="145"/>
    </row>
    <row r="655" spans="1:4" ht="12.75">
      <c r="A655" s="1"/>
      <c r="D655" s="145"/>
    </row>
    <row r="656" spans="1:4" ht="12.75">
      <c r="A656" s="1"/>
      <c r="D656" s="145"/>
    </row>
    <row r="657" spans="1:4" ht="12.75">
      <c r="A657" s="1"/>
      <c r="D657" s="145"/>
    </row>
    <row r="658" spans="1:4" ht="12.75">
      <c r="A658" s="1"/>
      <c r="D658" s="145"/>
    </row>
    <row r="659" spans="1:4" ht="12.75">
      <c r="A659" s="1"/>
      <c r="D659" s="145"/>
    </row>
    <row r="660" spans="1:4" ht="12.75">
      <c r="A660" s="1"/>
      <c r="D660" s="145"/>
    </row>
    <row r="661" spans="1:4" ht="12.75">
      <c r="A661" s="1"/>
      <c r="D661" s="145"/>
    </row>
    <row r="662" spans="1:4" ht="12.75">
      <c r="A662" s="1"/>
      <c r="D662" s="145"/>
    </row>
    <row r="663" spans="1:4" ht="12.75">
      <c r="A663" s="1"/>
      <c r="D663" s="145"/>
    </row>
    <row r="664" spans="1:4" ht="12.75">
      <c r="A664" s="1"/>
      <c r="D664" s="145"/>
    </row>
    <row r="665" spans="1:4" ht="12.75">
      <c r="A665" s="1"/>
      <c r="D665" s="145"/>
    </row>
    <row r="666" spans="1:4" ht="12.75">
      <c r="A666" s="1"/>
      <c r="D666" s="145"/>
    </row>
    <row r="667" spans="1:4" ht="12.75">
      <c r="A667" s="1"/>
      <c r="D667" s="145"/>
    </row>
    <row r="668" spans="1:4" ht="12.75">
      <c r="A668" s="1"/>
      <c r="D668" s="145"/>
    </row>
    <row r="669" spans="1:4" ht="12.75">
      <c r="A669" s="1"/>
      <c r="D669" s="145"/>
    </row>
    <row r="670" spans="1:4" ht="12.75">
      <c r="A670" s="1"/>
      <c r="D670" s="145"/>
    </row>
    <row r="671" spans="1:4" ht="12.75">
      <c r="A671" s="1"/>
      <c r="D671" s="145"/>
    </row>
    <row r="672" spans="1:4" ht="12.75">
      <c r="A672" s="1"/>
      <c r="D672" s="145"/>
    </row>
    <row r="673" spans="1:4" ht="12.75">
      <c r="A673" s="1"/>
      <c r="D673" s="145"/>
    </row>
    <row r="674" spans="1:4" ht="12.75">
      <c r="A674" s="1"/>
      <c r="D674" s="145"/>
    </row>
    <row r="675" spans="1:4" ht="12.75">
      <c r="A675" s="1"/>
      <c r="D675" s="145"/>
    </row>
    <row r="676" spans="1:4" ht="12.75">
      <c r="A676" s="1"/>
      <c r="D676" s="145"/>
    </row>
    <row r="677" spans="1:4" ht="12.75">
      <c r="A677" s="1"/>
      <c r="D677" s="145"/>
    </row>
    <row r="678" spans="1:4" ht="12.75">
      <c r="A678" s="1"/>
      <c r="D678" s="145"/>
    </row>
    <row r="679" spans="1:4" ht="12.75">
      <c r="A679" s="1"/>
      <c r="D679" s="145"/>
    </row>
    <row r="680" spans="1:4" ht="12.75">
      <c r="A680" s="1"/>
      <c r="D680" s="145"/>
    </row>
    <row r="681" spans="1:4" ht="12.75">
      <c r="A681" s="1"/>
      <c r="D681" s="145"/>
    </row>
    <row r="682" spans="1:4" ht="12.75">
      <c r="A682" s="1"/>
      <c r="D682" s="145"/>
    </row>
    <row r="683" spans="1:4" ht="12.75">
      <c r="A683" s="1"/>
      <c r="D683" s="145"/>
    </row>
    <row r="684" spans="1:4" ht="12.75">
      <c r="A684" s="1"/>
      <c r="D684" s="145"/>
    </row>
    <row r="685" spans="1:4" ht="12.75">
      <c r="A685" s="1"/>
      <c r="D685" s="145"/>
    </row>
    <row r="686" spans="1:4" ht="12.75">
      <c r="A686" s="1"/>
      <c r="D686" s="145"/>
    </row>
    <row r="687" spans="1:4" ht="12.75">
      <c r="A687" s="1"/>
      <c r="D687" s="145"/>
    </row>
    <row r="688" spans="1:4" ht="12.75">
      <c r="A688" s="1"/>
      <c r="D688" s="145"/>
    </row>
    <row r="689" spans="1:4" ht="12.75">
      <c r="A689" s="1"/>
      <c r="D689" s="145"/>
    </row>
    <row r="690" spans="1:4" ht="12.75">
      <c r="A690" s="1"/>
      <c r="D690" s="145"/>
    </row>
    <row r="691" spans="1:4" ht="12.75">
      <c r="A691" s="1"/>
      <c r="D691" s="145"/>
    </row>
    <row r="692" spans="1:4" ht="12.75">
      <c r="A692" s="1"/>
      <c r="D692" s="145"/>
    </row>
    <row r="693" spans="1:4" ht="12.75">
      <c r="A693" s="1"/>
      <c r="D693" s="145"/>
    </row>
    <row r="694" spans="1:4" ht="12.75">
      <c r="A694" s="1"/>
      <c r="D694" s="145"/>
    </row>
    <row r="695" spans="1:4" ht="12.75">
      <c r="A695" s="1"/>
      <c r="D695" s="145"/>
    </row>
    <row r="696" spans="1:4" ht="12.75">
      <c r="A696" s="1"/>
      <c r="D696" s="145"/>
    </row>
    <row r="697" spans="1:4" ht="12.75">
      <c r="A697" s="1"/>
      <c r="D697" s="145"/>
    </row>
    <row r="698" spans="1:4" ht="12.75">
      <c r="A698" s="1"/>
      <c r="D698" s="145"/>
    </row>
    <row r="699" spans="1:4" ht="12.75">
      <c r="A699" s="1"/>
      <c r="D699" s="145"/>
    </row>
    <row r="700" spans="1:4" ht="12.75">
      <c r="A700" s="1"/>
      <c r="D700" s="145"/>
    </row>
    <row r="701" spans="1:4" ht="12.75">
      <c r="A701" s="1"/>
      <c r="D701" s="145"/>
    </row>
    <row r="702" spans="1:4" ht="12.75">
      <c r="A702" s="1"/>
      <c r="D702" s="145"/>
    </row>
    <row r="703" spans="1:4" ht="12.75">
      <c r="A703" s="1"/>
      <c r="D703" s="145"/>
    </row>
    <row r="704" spans="1:4" ht="12.75">
      <c r="A704" s="1"/>
      <c r="D704" s="145"/>
    </row>
    <row r="705" spans="1:4" ht="12.75">
      <c r="A705" s="1"/>
      <c r="D705" s="145"/>
    </row>
    <row r="706" spans="1:4" ht="12.75">
      <c r="A706" s="1"/>
      <c r="D706" s="145"/>
    </row>
    <row r="707" spans="1:4" ht="12.75">
      <c r="A707" s="1"/>
      <c r="D707" s="145"/>
    </row>
    <row r="708" spans="1:4" ht="12.75">
      <c r="A708" s="1"/>
      <c r="D708" s="145"/>
    </row>
    <row r="709" spans="1:4" ht="12.75">
      <c r="A709" s="1"/>
      <c r="D709" s="145"/>
    </row>
    <row r="710" spans="1:4" ht="12.75">
      <c r="A710" s="1"/>
      <c r="D710" s="145"/>
    </row>
    <row r="711" spans="1:4" ht="12.75">
      <c r="A711" s="1"/>
      <c r="D711" s="145"/>
    </row>
    <row r="712" spans="1:4" ht="12.75">
      <c r="A712" s="1"/>
      <c r="D712" s="145"/>
    </row>
    <row r="713" spans="1:4" ht="12.75">
      <c r="A713" s="1"/>
      <c r="D713" s="145"/>
    </row>
    <row r="714" spans="1:4" ht="12.75">
      <c r="A714" s="1"/>
      <c r="D714" s="145"/>
    </row>
    <row r="715" spans="1:4" ht="12.75">
      <c r="A715" s="1"/>
      <c r="D715" s="145"/>
    </row>
    <row r="716" spans="1:4" ht="12.75">
      <c r="A716" s="1"/>
      <c r="D716" s="145"/>
    </row>
    <row r="717" spans="1:4" ht="12.75">
      <c r="A717" s="1"/>
      <c r="D717" s="145"/>
    </row>
    <row r="718" spans="1:4" ht="12.75">
      <c r="A718" s="1"/>
      <c r="D718" s="145"/>
    </row>
    <row r="719" spans="1:4" ht="12.75">
      <c r="A719" s="1"/>
      <c r="D719" s="145"/>
    </row>
    <row r="720" spans="1:4" ht="12.75">
      <c r="A720" s="1"/>
      <c r="D720" s="145"/>
    </row>
    <row r="721" spans="1:4" ht="12.75">
      <c r="A721" s="1"/>
      <c r="D721" s="145"/>
    </row>
    <row r="722" spans="1:4" ht="12.75">
      <c r="A722" s="1"/>
      <c r="D722" s="145"/>
    </row>
    <row r="723" spans="1:4" ht="12.75">
      <c r="A723" s="1"/>
      <c r="D723" s="145"/>
    </row>
    <row r="724" spans="1:4" ht="12.75">
      <c r="A724" s="1"/>
      <c r="D724" s="145"/>
    </row>
    <row r="725" spans="1:4" ht="12.75">
      <c r="A725" s="1"/>
      <c r="D725" s="145"/>
    </row>
    <row r="726" spans="1:4" ht="12.75">
      <c r="A726" s="1"/>
      <c r="D726" s="145"/>
    </row>
    <row r="727" spans="1:4" ht="12.75">
      <c r="A727" s="1"/>
      <c r="D727" s="145"/>
    </row>
    <row r="728" spans="1:4" ht="12.75">
      <c r="A728" s="1"/>
      <c r="D728" s="145"/>
    </row>
    <row r="729" spans="1:4" ht="12.75">
      <c r="A729" s="1"/>
      <c r="D729" s="145"/>
    </row>
    <row r="730" spans="1:4" ht="12.75">
      <c r="A730" s="1"/>
      <c r="D730" s="145"/>
    </row>
    <row r="731" spans="1:4" ht="12.75">
      <c r="A731" s="1"/>
      <c r="D731" s="145"/>
    </row>
    <row r="732" spans="1:4" ht="12.75">
      <c r="A732" s="1"/>
      <c r="D732" s="145"/>
    </row>
    <row r="733" spans="1:4" ht="12.75">
      <c r="A733" s="1"/>
      <c r="D733" s="145"/>
    </row>
    <row r="734" spans="1:4" ht="12.75">
      <c r="A734" s="1"/>
      <c r="D734" s="145"/>
    </row>
    <row r="735" spans="1:4" ht="12.75">
      <c r="A735" s="1"/>
      <c r="D735" s="145"/>
    </row>
    <row r="736" spans="1:4" ht="12.75">
      <c r="A736" s="1"/>
      <c r="D736" s="145"/>
    </row>
    <row r="737" spans="1:4" ht="12.75">
      <c r="A737" s="1"/>
      <c r="D737" s="145"/>
    </row>
    <row r="738" spans="1:4" ht="12.75">
      <c r="A738" s="1"/>
      <c r="D738" s="145"/>
    </row>
    <row r="739" spans="1:4" ht="12.75">
      <c r="A739" s="1"/>
      <c r="D739" s="145"/>
    </row>
    <row r="740" spans="1:4" ht="12.75">
      <c r="A740" s="1"/>
      <c r="D740" s="145"/>
    </row>
    <row r="741" spans="1:4" ht="12.75">
      <c r="A741" s="1"/>
      <c r="D741" s="145"/>
    </row>
    <row r="742" spans="1:4" ht="12.75">
      <c r="A742" s="1"/>
      <c r="D742" s="145"/>
    </row>
    <row r="743" spans="1:4" ht="12.75">
      <c r="A743" s="1"/>
      <c r="D743" s="145"/>
    </row>
    <row r="744" spans="1:4" ht="12.75">
      <c r="A744" s="1"/>
      <c r="D744" s="145"/>
    </row>
    <row r="745" spans="1:4" ht="12.75">
      <c r="A745" s="1"/>
      <c r="D745" s="145"/>
    </row>
    <row r="746" spans="1:4" ht="12.75">
      <c r="A746" s="1"/>
      <c r="D746" s="145"/>
    </row>
    <row r="747" spans="1:4" ht="12.75">
      <c r="A747" s="1"/>
      <c r="D747" s="145"/>
    </row>
    <row r="748" spans="1:4" ht="12.75">
      <c r="A748" s="1"/>
      <c r="D748" s="145"/>
    </row>
    <row r="749" spans="1:4" ht="12.75">
      <c r="A749" s="1"/>
      <c r="D749" s="145"/>
    </row>
    <row r="750" spans="1:4" ht="12.75">
      <c r="A750" s="1"/>
      <c r="D750" s="145"/>
    </row>
    <row r="751" spans="1:4" ht="12.75">
      <c r="A751" s="1"/>
      <c r="D751" s="145"/>
    </row>
    <row r="752" spans="1:4" ht="12.75">
      <c r="A752" s="1"/>
      <c r="D752" s="145"/>
    </row>
    <row r="753" spans="1:4" ht="12.75">
      <c r="A753" s="1"/>
      <c r="D753" s="145"/>
    </row>
    <row r="754" spans="1:4" ht="12.75">
      <c r="A754" s="1"/>
      <c r="D754" s="145"/>
    </row>
    <row r="755" spans="1:4" ht="12.75">
      <c r="A755" s="1"/>
      <c r="D755" s="145"/>
    </row>
    <row r="756" spans="1:4" ht="12.75">
      <c r="A756" s="1"/>
      <c r="D756" s="145"/>
    </row>
    <row r="757" spans="1:4" ht="12.75">
      <c r="A757" s="1"/>
      <c r="D757" s="145"/>
    </row>
    <row r="758" spans="1:4" ht="12.75">
      <c r="A758" s="1"/>
      <c r="D758" s="145"/>
    </row>
    <row r="759" spans="1:4" ht="12.75">
      <c r="A759" s="1"/>
      <c r="D759" s="145"/>
    </row>
    <row r="760" spans="1:4" ht="12.75">
      <c r="A760" s="1"/>
      <c r="D760" s="145"/>
    </row>
    <row r="761" spans="1:4" ht="12.75">
      <c r="A761" s="1"/>
      <c r="D761" s="145"/>
    </row>
    <row r="762" spans="1:4" ht="12.75">
      <c r="A762" s="1"/>
      <c r="D762" s="145"/>
    </row>
    <row r="763" spans="1:4" ht="12.75">
      <c r="A763" s="1"/>
      <c r="D763" s="145"/>
    </row>
    <row r="764" spans="1:4" ht="12.75">
      <c r="A764" s="1"/>
      <c r="D764" s="145"/>
    </row>
    <row r="765" spans="1:4" ht="12.75">
      <c r="A765" s="1"/>
      <c r="D765" s="145"/>
    </row>
    <row r="766" spans="1:4" ht="12.75">
      <c r="A766" s="1"/>
      <c r="D766" s="145"/>
    </row>
    <row r="767" spans="1:4" ht="12.75">
      <c r="A767" s="1"/>
      <c r="D767" s="145"/>
    </row>
    <row r="768" spans="1:4" ht="12.75">
      <c r="A768" s="1"/>
      <c r="D768" s="145"/>
    </row>
    <row r="769" spans="1:4" ht="12.75">
      <c r="A769" s="1"/>
      <c r="D769" s="145"/>
    </row>
    <row r="770" spans="1:4" ht="12.75">
      <c r="A770" s="1"/>
      <c r="D770" s="145"/>
    </row>
    <row r="771" spans="1:4" ht="12.75">
      <c r="A771" s="1"/>
      <c r="D771" s="145"/>
    </row>
    <row r="772" spans="1:4" ht="12.75">
      <c r="A772" s="1"/>
      <c r="D772" s="145"/>
    </row>
    <row r="773" spans="1:4" ht="12.75">
      <c r="A773" s="1"/>
      <c r="D773" s="145"/>
    </row>
    <row r="774" spans="1:4" ht="12.75">
      <c r="A774" s="1"/>
      <c r="D774" s="145"/>
    </row>
    <row r="775" spans="1:4" ht="12.75">
      <c r="A775" s="1"/>
      <c r="D775" s="145"/>
    </row>
    <row r="776" spans="1:4" ht="12.75">
      <c r="A776" s="1"/>
      <c r="D776" s="145"/>
    </row>
    <row r="777" spans="1:4" ht="12.75">
      <c r="A777" s="1"/>
      <c r="D777" s="145"/>
    </row>
    <row r="778" spans="1:4" ht="12.75">
      <c r="A778" s="1"/>
      <c r="D778" s="145"/>
    </row>
    <row r="779" spans="1:4" ht="12.75">
      <c r="A779" s="1"/>
      <c r="D779" s="145"/>
    </row>
    <row r="780" spans="1:4" ht="12.75">
      <c r="A780" s="1"/>
      <c r="D780" s="145"/>
    </row>
    <row r="781" spans="1:4" ht="12.75">
      <c r="A781" s="1"/>
      <c r="D781" s="145"/>
    </row>
    <row r="782" spans="1:4" ht="12.75">
      <c r="A782" s="1"/>
      <c r="D782" s="145"/>
    </row>
    <row r="783" spans="1:4" ht="12.75">
      <c r="A783" s="1"/>
      <c r="D783" s="145"/>
    </row>
    <row r="784" spans="1:4" ht="12.75">
      <c r="A784" s="1"/>
      <c r="D784" s="145"/>
    </row>
    <row r="785" spans="1:4" ht="12.75">
      <c r="A785" s="1"/>
      <c r="D785" s="145"/>
    </row>
    <row r="786" spans="1:4" ht="12.75">
      <c r="A786" s="1"/>
      <c r="D786" s="145"/>
    </row>
    <row r="787" spans="1:4" ht="12.75">
      <c r="A787" s="1"/>
      <c r="D787" s="145"/>
    </row>
    <row r="788" spans="1:4" ht="12.75">
      <c r="A788" s="1"/>
      <c r="D788" s="145"/>
    </row>
    <row r="789" spans="1:4" ht="12.75">
      <c r="A789" s="1"/>
      <c r="D789" s="145"/>
    </row>
    <row r="790" spans="1:4" ht="12.75">
      <c r="A790" s="1"/>
      <c r="D790" s="145"/>
    </row>
    <row r="791" spans="1:4" ht="12.75">
      <c r="A791" s="1"/>
      <c r="D791" s="145"/>
    </row>
    <row r="792" spans="1:4" ht="12.75">
      <c r="A792" s="1"/>
      <c r="D792" s="145"/>
    </row>
    <row r="793" spans="1:4" ht="12.75">
      <c r="A793" s="1"/>
      <c r="D793" s="145"/>
    </row>
    <row r="794" spans="1:4" ht="12.75">
      <c r="A794" s="1"/>
      <c r="D794" s="145"/>
    </row>
    <row r="795" spans="1:4" ht="12.75">
      <c r="A795" s="1"/>
      <c r="D795" s="145"/>
    </row>
    <row r="796" spans="1:4" ht="12.75">
      <c r="A796" s="1"/>
      <c r="D796" s="145"/>
    </row>
    <row r="797" spans="1:4" ht="12.75">
      <c r="A797" s="1"/>
      <c r="D797" s="145"/>
    </row>
    <row r="798" spans="1:4" ht="12.75">
      <c r="A798" s="1"/>
      <c r="D798" s="145"/>
    </row>
    <row r="799" spans="1:4" ht="12.75">
      <c r="A799" s="1"/>
      <c r="D799" s="145"/>
    </row>
    <row r="800" spans="1:4" ht="12.75">
      <c r="A800" s="1"/>
      <c r="D800" s="145"/>
    </row>
    <row r="801" spans="1:4" ht="12.75">
      <c r="A801" s="1"/>
      <c r="D801" s="145"/>
    </row>
    <row r="802" spans="1:4" ht="12.75">
      <c r="A802" s="1"/>
      <c r="D802" s="145"/>
    </row>
    <row r="803" spans="1:4" ht="12.75">
      <c r="A803" s="1"/>
      <c r="D803" s="145"/>
    </row>
    <row r="804" spans="1:4" ht="12.75">
      <c r="A804" s="1"/>
      <c r="D804" s="145"/>
    </row>
    <row r="805" spans="1:4" ht="12.75">
      <c r="A805" s="1"/>
      <c r="D805" s="145"/>
    </row>
    <row r="806" spans="1:4" ht="12.75">
      <c r="A806" s="1"/>
      <c r="D806" s="145"/>
    </row>
    <row r="807" spans="1:4" ht="12.75">
      <c r="A807" s="1"/>
      <c r="D807" s="145"/>
    </row>
    <row r="808" spans="1:4" ht="12.75">
      <c r="A808" s="1"/>
      <c r="D808" s="145"/>
    </row>
    <row r="809" spans="1:4" ht="12.75">
      <c r="A809" s="1"/>
      <c r="D809" s="145"/>
    </row>
    <row r="810" spans="1:4" ht="12.75">
      <c r="A810" s="1"/>
      <c r="D810" s="145"/>
    </row>
    <row r="811" spans="1:4" ht="12.75">
      <c r="A811" s="1"/>
      <c r="D811" s="145"/>
    </row>
    <row r="812" spans="1:4" ht="12.75">
      <c r="A812" s="1"/>
      <c r="D812" s="145"/>
    </row>
    <row r="813" spans="1:4" ht="12.75">
      <c r="A813" s="1"/>
      <c r="D813" s="145"/>
    </row>
    <row r="814" spans="1:4" ht="12.75">
      <c r="A814" s="1"/>
      <c r="D814" s="145"/>
    </row>
    <row r="815" spans="1:4" ht="12.75">
      <c r="A815" s="1"/>
      <c r="D815" s="145"/>
    </row>
    <row r="816" spans="1:4" ht="12.75">
      <c r="A816" s="1"/>
      <c r="D816" s="145"/>
    </row>
    <row r="817" spans="1:4" ht="12.75">
      <c r="A817" s="1"/>
      <c r="D817" s="145"/>
    </row>
    <row r="818" spans="1:4" ht="12.75">
      <c r="A818" s="1"/>
      <c r="D818" s="145"/>
    </row>
    <row r="819" spans="1:4" ht="12.75">
      <c r="A819" s="1"/>
      <c r="D819" s="145"/>
    </row>
    <row r="820" spans="1:4" ht="12.75">
      <c r="A820" s="1"/>
      <c r="D820" s="145"/>
    </row>
    <row r="821" spans="1:4" ht="12.75">
      <c r="A821" s="1"/>
      <c r="D821" s="145"/>
    </row>
    <row r="822" spans="1:4" ht="12.75">
      <c r="A822" s="1"/>
      <c r="D822" s="145"/>
    </row>
    <row r="823" spans="1:4" ht="12.75">
      <c r="A823" s="1"/>
      <c r="D823" s="145"/>
    </row>
    <row r="824" spans="1:4" ht="12.75">
      <c r="A824" s="1"/>
      <c r="D824" s="145"/>
    </row>
    <row r="825" spans="1:4" ht="12.75">
      <c r="A825" s="1"/>
      <c r="D825" s="145"/>
    </row>
    <row r="826" spans="1:4" ht="12.75">
      <c r="A826" s="1"/>
      <c r="D826" s="145"/>
    </row>
    <row r="827" spans="1:4" ht="12.75">
      <c r="A827" s="1"/>
      <c r="D827" s="145"/>
    </row>
    <row r="828" spans="1:4" ht="12.75">
      <c r="A828" s="1"/>
      <c r="D828" s="145"/>
    </row>
    <row r="829" spans="1:4" ht="12.75">
      <c r="A829" s="1"/>
      <c r="D829" s="145"/>
    </row>
    <row r="830" spans="1:4" ht="12.75">
      <c r="A830" s="1"/>
      <c r="D830" s="145"/>
    </row>
    <row r="831" spans="1:4" ht="12.75">
      <c r="A831" s="1"/>
      <c r="D831" s="145"/>
    </row>
    <row r="832" spans="1:4" ht="12.75">
      <c r="A832" s="1"/>
      <c r="D832" s="145"/>
    </row>
    <row r="833" spans="1:4" ht="12.75">
      <c r="A833" s="1"/>
      <c r="D833" s="145"/>
    </row>
    <row r="834" spans="1:4" ht="12.75">
      <c r="A834" s="1"/>
      <c r="D834" s="145"/>
    </row>
    <row r="835" spans="1:4" ht="12.75">
      <c r="A835" s="1"/>
      <c r="D835" s="145"/>
    </row>
    <row r="836" spans="1:4" ht="12.75">
      <c r="A836" s="1"/>
      <c r="D836" s="145"/>
    </row>
    <row r="837" spans="1:4" ht="12.75">
      <c r="A837" s="1"/>
      <c r="D837" s="145"/>
    </row>
    <row r="838" spans="1:4" ht="12.75">
      <c r="A838" s="1"/>
      <c r="D838" s="145"/>
    </row>
    <row r="839" spans="1:4" ht="12.75">
      <c r="A839" s="1"/>
      <c r="D839" s="145"/>
    </row>
    <row r="840" spans="1:4" ht="12.75">
      <c r="A840" s="1"/>
      <c r="D840" s="145"/>
    </row>
    <row r="841" spans="1:4" ht="12.75">
      <c r="A841" s="1"/>
      <c r="D841" s="145"/>
    </row>
    <row r="842" spans="1:4" ht="12.75">
      <c r="A842" s="1"/>
      <c r="D842" s="145"/>
    </row>
    <row r="843" spans="1:4" ht="12.75">
      <c r="A843" s="1"/>
      <c r="D843" s="145"/>
    </row>
    <row r="844" spans="1:4" ht="12.75">
      <c r="A844" s="1"/>
      <c r="D844" s="145"/>
    </row>
    <row r="845" spans="1:4" ht="12.75">
      <c r="A845" s="1"/>
      <c r="D845" s="145"/>
    </row>
    <row r="846" spans="1:4" ht="12.75">
      <c r="A846" s="1"/>
      <c r="D846" s="145"/>
    </row>
    <row r="847" spans="1:4" ht="12.75">
      <c r="A847" s="1"/>
      <c r="D847" s="145"/>
    </row>
    <row r="848" spans="1:4" ht="12.75">
      <c r="A848" s="1"/>
      <c r="D848" s="145"/>
    </row>
    <row r="849" spans="1:4" ht="12.75">
      <c r="A849" s="1"/>
      <c r="D849" s="145"/>
    </row>
    <row r="850" spans="1:4" ht="12.75">
      <c r="A850" s="1"/>
      <c r="D850" s="145"/>
    </row>
    <row r="851" spans="1:4" ht="12.75">
      <c r="A851" s="1"/>
      <c r="D851" s="145"/>
    </row>
    <row r="852" spans="1:4" ht="12.75">
      <c r="A852" s="1"/>
      <c r="D852" s="145"/>
    </row>
    <row r="853" spans="1:4" ht="12.75">
      <c r="A853" s="1"/>
      <c r="D853" s="145"/>
    </row>
    <row r="854" spans="1:4" ht="12.75">
      <c r="A854" s="1"/>
      <c r="D854" s="145"/>
    </row>
    <row r="855" spans="1:4" ht="12.75">
      <c r="A855" s="1"/>
      <c r="D855" s="145"/>
    </row>
    <row r="856" spans="1:4" ht="12.75">
      <c r="A856" s="1"/>
      <c r="D856" s="145"/>
    </row>
    <row r="857" spans="1:4" ht="12.75">
      <c r="A857" s="1"/>
      <c r="D857" s="145"/>
    </row>
    <row r="858" spans="1:4" ht="12.75">
      <c r="A858" s="1"/>
      <c r="D858" s="145"/>
    </row>
    <row r="859" spans="1:4" ht="12.75">
      <c r="A859" s="1"/>
      <c r="D859" s="145"/>
    </row>
    <row r="860" spans="1:4" ht="12.75">
      <c r="A860" s="1"/>
      <c r="D860" s="145"/>
    </row>
    <row r="861" spans="1:4" ht="12.75">
      <c r="A861" s="1"/>
      <c r="D861" s="145"/>
    </row>
    <row r="862" spans="1:4" ht="12.75">
      <c r="A862" s="1"/>
      <c r="D862" s="145"/>
    </row>
    <row r="863" spans="1:4" ht="12.75">
      <c r="D863" s="145"/>
    </row>
  </sheetData>
  <sheetProtection insertRows="0" selectLockedCells="1" sort="0" autoFilter="0"/>
  <mergeCells count="1">
    <mergeCell ref="A1:E1"/>
  </mergeCells>
  <dataValidations count="1">
    <dataValidation type="list" allowBlank="1" showErrorMessage="1" sqref="A3:A219" xr:uid="{00000000-0002-0000-0E00-000001000000}">
      <formula1>"Chaat,Chinese,Breads,Drinks &amp; Beverage,Grill Special,Kulfi,North Indian,South Indian,Specials,Sweets,Namkeen"</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xr:uid="{00000000-0002-0000-0E00-000000000000}">
          <x14:formula1>
            <xm:f>'ITEM LIST'!$B$2:$B$479</xm:f>
          </x14:formula1>
          <xm:sqref>C3:C99 C101:C219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D8658-1420-4BE0-B717-76021AE99915}">
  <sheetPr codeName="Sheet8">
    <tabColor theme="4"/>
  </sheetPr>
  <dimension ref="A1:E1000"/>
  <sheetViews>
    <sheetView zoomScale="94" workbookViewId="0">
      <selection activeCell="D5" sqref="A1:XFD1048576"/>
    </sheetView>
  </sheetViews>
  <sheetFormatPr defaultRowHeight="12.75"/>
  <cols>
    <col min="1" max="1" width="16.85546875" customWidth="1"/>
    <col min="2" max="2" width="20.140625" customWidth="1"/>
    <col min="3" max="3" width="25.42578125" customWidth="1"/>
    <col min="4" max="4" width="16.42578125" style="123" customWidth="1"/>
    <col min="5" max="5" width="15" style="120" customWidth="1"/>
  </cols>
  <sheetData>
    <row r="1" spans="1:5" ht="23.45" customHeight="1">
      <c r="A1" s="278" t="s">
        <v>58</v>
      </c>
      <c r="B1" s="279"/>
      <c r="C1" s="279"/>
      <c r="D1" s="279"/>
      <c r="E1" s="279"/>
    </row>
    <row r="2" spans="1:5" ht="15.6" customHeight="1">
      <c r="A2" s="114" t="s">
        <v>125</v>
      </c>
      <c r="B2" s="114" t="s">
        <v>126</v>
      </c>
      <c r="C2" s="115" t="s">
        <v>302</v>
      </c>
      <c r="D2" s="124" t="s">
        <v>303</v>
      </c>
      <c r="E2" s="127" t="s">
        <v>128</v>
      </c>
    </row>
    <row r="3" spans="1:5" ht="15">
      <c r="A3" s="113" t="s">
        <v>58</v>
      </c>
      <c r="B3" s="113" t="s">
        <v>647</v>
      </c>
      <c r="C3" s="116" t="s">
        <v>412</v>
      </c>
      <c r="D3" s="121">
        <v>500</v>
      </c>
      <c r="E3" s="128">
        <f>IF(C3="","",IFERROR(VLOOKUP(C3,'ITEM LIST'!B:M,12,0)*D3,0))</f>
        <v>370</v>
      </c>
    </row>
    <row r="4" spans="1:5" ht="15">
      <c r="A4" s="113" t="s">
        <v>58</v>
      </c>
      <c r="B4" s="113" t="s">
        <v>647</v>
      </c>
      <c r="C4" s="116" t="s">
        <v>383</v>
      </c>
      <c r="D4" s="121">
        <v>150</v>
      </c>
      <c r="E4" s="128">
        <f>IF(C4="","",IFERROR(VLOOKUP(C4,'ITEM LIST'!B:M,12,0)*D4,0))</f>
        <v>10.500000000000002</v>
      </c>
    </row>
    <row r="5" spans="1:5" ht="15">
      <c r="A5" s="113" t="s">
        <v>58</v>
      </c>
      <c r="B5" s="113" t="s">
        <v>647</v>
      </c>
      <c r="C5" s="116" t="s">
        <v>10</v>
      </c>
      <c r="D5" s="121">
        <v>125</v>
      </c>
      <c r="E5" s="128">
        <f>IF(C5="","",IFERROR(VLOOKUP(C5,'ITEM LIST'!B:M,12,0)*D5,0))</f>
        <v>2.25</v>
      </c>
    </row>
    <row r="6" spans="1:5" ht="15">
      <c r="A6" s="113" t="s">
        <v>58</v>
      </c>
      <c r="B6" s="113" t="s">
        <v>647</v>
      </c>
      <c r="C6" s="116" t="s">
        <v>533</v>
      </c>
      <c r="D6" s="121">
        <v>50</v>
      </c>
      <c r="E6" s="128">
        <f>IF(C6="","",IFERROR(VLOOKUP(C6,'ITEM LIST'!B:M,12,0)*D6,0))</f>
        <v>39</v>
      </c>
    </row>
    <row r="7" spans="1:5" ht="15">
      <c r="A7" s="113" t="s">
        <v>58</v>
      </c>
      <c r="B7" s="113" t="s">
        <v>647</v>
      </c>
      <c r="C7" s="116" t="s">
        <v>103</v>
      </c>
      <c r="D7" s="121">
        <v>50</v>
      </c>
      <c r="E7" s="128">
        <f>IF(C7="","",IFERROR(VLOOKUP(C7,'ITEM LIST'!B:M,12,0)*D7,0))</f>
        <v>90</v>
      </c>
    </row>
    <row r="8" spans="1:5" ht="15">
      <c r="A8" s="113" t="s">
        <v>58</v>
      </c>
      <c r="B8" s="113" t="s">
        <v>647</v>
      </c>
      <c r="C8" s="116" t="s">
        <v>341</v>
      </c>
      <c r="D8" s="121">
        <v>100</v>
      </c>
      <c r="E8" s="128">
        <f>IF(C8="","",IFERROR(VLOOKUP(C8,'ITEM LIST'!B:M,12,0)*D8,0))</f>
        <v>38</v>
      </c>
    </row>
    <row r="9" spans="1:5" ht="15">
      <c r="A9" s="113" t="s">
        <v>58</v>
      </c>
      <c r="B9" s="113" t="s">
        <v>647</v>
      </c>
      <c r="C9" s="116" t="s">
        <v>12</v>
      </c>
      <c r="D9" s="121">
        <v>3</v>
      </c>
      <c r="E9" s="128">
        <f>IF(C9="","",IFERROR(VLOOKUP(C9,'ITEM LIST'!B:M,12,0)*D9,0))</f>
        <v>0.29100000000000004</v>
      </c>
    </row>
    <row r="10" spans="1:5" ht="15">
      <c r="A10" s="113" t="s">
        <v>58</v>
      </c>
      <c r="B10" s="113" t="s">
        <v>647</v>
      </c>
      <c r="C10" s="116" t="s">
        <v>339</v>
      </c>
      <c r="D10" s="121">
        <v>6</v>
      </c>
      <c r="E10" s="128">
        <f>IF(C10="","",IFERROR(VLOOKUP(C10,'ITEM LIST'!B:M,12,0)*D10,0))</f>
        <v>4.0200000000000005</v>
      </c>
    </row>
    <row r="11" spans="1:5" ht="15">
      <c r="A11" s="113" t="s">
        <v>58</v>
      </c>
      <c r="B11" s="113" t="s">
        <v>647</v>
      </c>
      <c r="C11" s="116" t="s">
        <v>114</v>
      </c>
      <c r="D11" s="121">
        <v>15</v>
      </c>
      <c r="E11" s="128">
        <f>IF(C11="","",IFERROR(VLOOKUP(C11,'ITEM LIST'!B:M,12,0)*D11,0))</f>
        <v>0.42</v>
      </c>
    </row>
    <row r="12" spans="1:5" ht="15">
      <c r="A12" s="113" t="s">
        <v>58</v>
      </c>
      <c r="B12" s="113" t="s">
        <v>647</v>
      </c>
      <c r="C12" s="116" t="s">
        <v>338</v>
      </c>
      <c r="D12" s="121">
        <v>10</v>
      </c>
      <c r="E12" s="128">
        <f>IF(C12="","",IFERROR(VLOOKUP(C12,'ITEM LIST'!B:M,12,0)*D12,0))</f>
        <v>0.79</v>
      </c>
    </row>
    <row r="13" spans="1:5" ht="15">
      <c r="A13" s="113" t="s">
        <v>58</v>
      </c>
      <c r="B13" s="113" t="s">
        <v>647</v>
      </c>
      <c r="C13" s="116" t="s">
        <v>9</v>
      </c>
      <c r="D13" s="121">
        <v>10</v>
      </c>
      <c r="E13" s="128">
        <f>IF(C13="","",IFERROR(VLOOKUP(C13,'ITEM LIST'!B:M,12,0)*D13,0))</f>
        <v>0</v>
      </c>
    </row>
    <row r="14" spans="1:5" ht="15">
      <c r="A14" s="113" t="s">
        <v>58</v>
      </c>
      <c r="B14" s="113" t="s">
        <v>647</v>
      </c>
      <c r="C14" s="116" t="s">
        <v>380</v>
      </c>
      <c r="D14" s="121">
        <v>100</v>
      </c>
      <c r="E14" s="128">
        <f>IF(C14="","",IFERROR(VLOOKUP(C14,'ITEM LIST'!B:M,12,0)*D14,0))</f>
        <v>53.333000000000006</v>
      </c>
    </row>
    <row r="15" spans="1:5" ht="15">
      <c r="A15" s="113"/>
      <c r="B15" s="113" t="s">
        <v>371</v>
      </c>
      <c r="C15" s="116" t="s">
        <v>371</v>
      </c>
      <c r="D15" s="125"/>
      <c r="E15" s="128" t="str">
        <f>IF(C15="","",IFERROR(VLOOKUP(C15,'ITEM LIST'!B:M,12,0)*D15,0))</f>
        <v/>
      </c>
    </row>
    <row r="16" spans="1:5" ht="15">
      <c r="A16" s="113" t="s">
        <v>58</v>
      </c>
      <c r="B16" s="113" t="s">
        <v>648</v>
      </c>
      <c r="C16" s="116" t="s">
        <v>412</v>
      </c>
      <c r="D16" s="121">
        <v>769.23076920000005</v>
      </c>
      <c r="E16" s="128">
        <f>IF(C16="","",IFERROR(VLOOKUP(C16,'ITEM LIST'!B:M,12,0)*D16,0))</f>
        <v>569.23076920800008</v>
      </c>
    </row>
    <row r="17" spans="1:5" ht="15">
      <c r="A17" s="113" t="s">
        <v>58</v>
      </c>
      <c r="B17" s="113" t="s">
        <v>648</v>
      </c>
      <c r="C17" s="116" t="s">
        <v>3</v>
      </c>
      <c r="D17" s="121">
        <v>230.7692308</v>
      </c>
      <c r="E17" s="128">
        <f>IF(C17="","",IFERROR(VLOOKUP(C17,'ITEM LIST'!B:M,12,0)*D17,0))</f>
        <v>96.923076936000001</v>
      </c>
    </row>
    <row r="18" spans="1:5" ht="15">
      <c r="A18" s="113" t="s">
        <v>58</v>
      </c>
      <c r="B18" s="113" t="s">
        <v>648</v>
      </c>
      <c r="C18" s="116" t="s">
        <v>380</v>
      </c>
      <c r="D18" s="121">
        <v>153.8461538</v>
      </c>
      <c r="E18" s="128">
        <f>IF(C18="","",IFERROR(VLOOKUP(C18,'ITEM LIST'!B:M,12,0)*D18,0))</f>
        <v>82.050769206154015</v>
      </c>
    </row>
    <row r="19" spans="1:5" ht="15">
      <c r="A19" s="113"/>
      <c r="B19" s="113" t="s">
        <v>371</v>
      </c>
      <c r="C19" s="116" t="s">
        <v>371</v>
      </c>
      <c r="D19" s="121"/>
      <c r="E19" s="128" t="str">
        <f>IF(C19="","",IFERROR(VLOOKUP(C19,'ITEM LIST'!B:M,12,0)*D19,0))</f>
        <v/>
      </c>
    </row>
    <row r="20" spans="1:5" ht="15">
      <c r="A20" s="113" t="s">
        <v>58</v>
      </c>
      <c r="B20" s="113" t="s">
        <v>649</v>
      </c>
      <c r="C20" s="116" t="s">
        <v>533</v>
      </c>
      <c r="D20" s="121">
        <v>909.09090909999998</v>
      </c>
      <c r="E20" s="128">
        <f>IF(C20="","",IFERROR(VLOOKUP(C20,'ITEM LIST'!B:M,12,0)*D20,0))</f>
        <v>709.090909098</v>
      </c>
    </row>
    <row r="21" spans="1:5" ht="15">
      <c r="A21" s="113" t="s">
        <v>58</v>
      </c>
      <c r="B21" s="113" t="s">
        <v>649</v>
      </c>
      <c r="C21" s="116" t="s">
        <v>114</v>
      </c>
      <c r="D21" s="121">
        <v>27.272727270000001</v>
      </c>
      <c r="E21" s="128">
        <f>IF(C21="","",IFERROR(VLOOKUP(C21,'ITEM LIST'!B:M,12,0)*D21,0))</f>
        <v>0.76363636356000009</v>
      </c>
    </row>
    <row r="22" spans="1:5" ht="15">
      <c r="A22" s="113" t="s">
        <v>58</v>
      </c>
      <c r="B22" s="113" t="s">
        <v>649</v>
      </c>
      <c r="C22" s="116" t="s">
        <v>380</v>
      </c>
      <c r="D22" s="121">
        <v>181.81818179999999</v>
      </c>
      <c r="E22" s="128">
        <f>IF(C22="","",IFERROR(VLOOKUP(C22,'ITEM LIST'!B:M,12,0)*D22,0))</f>
        <v>96.969090899394004</v>
      </c>
    </row>
    <row r="23" spans="1:5" ht="15">
      <c r="A23" s="113"/>
      <c r="B23" s="113" t="s">
        <v>371</v>
      </c>
      <c r="C23" s="116" t="s">
        <v>371</v>
      </c>
      <c r="D23" s="121"/>
      <c r="E23" s="128" t="str">
        <f>IF(C23="","",IFERROR(VLOOKUP(C23,'ITEM LIST'!B:M,12,0)*D23,0))</f>
        <v/>
      </c>
    </row>
    <row r="24" spans="1:5" ht="15">
      <c r="A24" s="113" t="s">
        <v>58</v>
      </c>
      <c r="B24" s="113" t="s">
        <v>650</v>
      </c>
      <c r="C24" s="116" t="s">
        <v>533</v>
      </c>
      <c r="D24" s="121">
        <v>909.09090909999998</v>
      </c>
      <c r="E24" s="128">
        <f>IF(C24="","",IFERROR(VLOOKUP(C24,'ITEM LIST'!B:M,12,0)*D24,0))</f>
        <v>709.090909098</v>
      </c>
    </row>
    <row r="25" spans="1:5" ht="15">
      <c r="A25" s="113" t="s">
        <v>58</v>
      </c>
      <c r="B25" s="113" t="s">
        <v>650</v>
      </c>
      <c r="C25" s="116" t="s">
        <v>3</v>
      </c>
      <c r="D25" s="121">
        <v>27.272727270000001</v>
      </c>
      <c r="E25" s="128">
        <f>IF(C25="","",IFERROR(VLOOKUP(C25,'ITEM LIST'!B:M,12,0)*D25,0))</f>
        <v>11.4545454534</v>
      </c>
    </row>
    <row r="26" spans="1:5" ht="15">
      <c r="A26" s="113" t="s">
        <v>58</v>
      </c>
      <c r="B26" s="113" t="s">
        <v>650</v>
      </c>
      <c r="C26" s="116" t="s">
        <v>380</v>
      </c>
      <c r="D26" s="121">
        <v>181.81818179999999</v>
      </c>
      <c r="E26" s="128">
        <f>IF(C26="","",IFERROR(VLOOKUP(C26,'ITEM LIST'!B:M,12,0)*D26,0))</f>
        <v>96.969090899394004</v>
      </c>
    </row>
    <row r="27" spans="1:5" ht="15">
      <c r="A27" s="113"/>
      <c r="B27" s="113" t="s">
        <v>371</v>
      </c>
      <c r="C27" s="116" t="s">
        <v>371</v>
      </c>
      <c r="D27" s="121"/>
      <c r="E27" s="128" t="str">
        <f>IF(C27="","",IFERROR(VLOOKUP(C27,'ITEM LIST'!B:M,12,0)*D27,0))</f>
        <v/>
      </c>
    </row>
    <row r="28" spans="1:5" ht="15">
      <c r="A28" s="113" t="s">
        <v>58</v>
      </c>
      <c r="B28" s="113" t="s">
        <v>651</v>
      </c>
      <c r="C28" s="116" t="s">
        <v>412</v>
      </c>
      <c r="D28" s="121">
        <v>909.09090909999998</v>
      </c>
      <c r="E28" s="128">
        <f>IF(C28="","",IFERROR(VLOOKUP(C28,'ITEM LIST'!B:M,12,0)*D28,0))</f>
        <v>672.72727273399994</v>
      </c>
    </row>
    <row r="29" spans="1:5" ht="15">
      <c r="A29" s="113" t="s">
        <v>58</v>
      </c>
      <c r="B29" s="113" t="s">
        <v>651</v>
      </c>
      <c r="C29" s="116" t="s">
        <v>114</v>
      </c>
      <c r="D29" s="121">
        <v>27.272727270000001</v>
      </c>
      <c r="E29" s="128">
        <f>IF(C29="","",IFERROR(VLOOKUP(C29,'ITEM LIST'!B:M,12,0)*D29,0))</f>
        <v>0.76363636356000009</v>
      </c>
    </row>
    <row r="30" spans="1:5" ht="15">
      <c r="A30" s="113" t="s">
        <v>58</v>
      </c>
      <c r="B30" s="113" t="s">
        <v>651</v>
      </c>
      <c r="C30" s="116" t="s">
        <v>380</v>
      </c>
      <c r="D30" s="121">
        <v>181.81818179999999</v>
      </c>
      <c r="E30" s="128">
        <f>IF(C30="","",IFERROR(VLOOKUP(C30,'ITEM LIST'!B:M,12,0)*D30,0))</f>
        <v>96.969090899394004</v>
      </c>
    </row>
    <row r="31" spans="1:5" ht="15">
      <c r="A31" s="113"/>
      <c r="B31" s="113" t="s">
        <v>371</v>
      </c>
      <c r="C31" s="116" t="s">
        <v>371</v>
      </c>
      <c r="D31" s="121"/>
      <c r="E31" s="128" t="str">
        <f>IF(C31="","",IFERROR(VLOOKUP(C31,'ITEM LIST'!B:M,12,0)*D31,0))</f>
        <v/>
      </c>
    </row>
    <row r="32" spans="1:5" ht="15">
      <c r="A32" s="113" t="s">
        <v>58</v>
      </c>
      <c r="B32" s="113" t="s">
        <v>652</v>
      </c>
      <c r="C32" s="116" t="s">
        <v>393</v>
      </c>
      <c r="D32" s="121">
        <v>200</v>
      </c>
      <c r="E32" s="128">
        <f>IF(C32="","",IFERROR(VLOOKUP(C32,'ITEM LIST'!B:M,12,0)*D32,0))</f>
        <v>20</v>
      </c>
    </row>
    <row r="33" spans="1:5" ht="15">
      <c r="A33" s="113" t="s">
        <v>58</v>
      </c>
      <c r="B33" s="113" t="s">
        <v>652</v>
      </c>
      <c r="C33" s="116" t="s">
        <v>383</v>
      </c>
      <c r="D33" s="121">
        <v>200</v>
      </c>
      <c r="E33" s="128">
        <f>IF(C33="","",IFERROR(VLOOKUP(C33,'ITEM LIST'!B:M,12,0)*D33,0))</f>
        <v>14.000000000000002</v>
      </c>
    </row>
    <row r="34" spans="1:5" ht="15">
      <c r="A34" s="113" t="s">
        <v>58</v>
      </c>
      <c r="B34" s="113" t="s">
        <v>652</v>
      </c>
      <c r="C34" s="116" t="s">
        <v>11</v>
      </c>
      <c r="D34" s="121">
        <v>200</v>
      </c>
      <c r="E34" s="128">
        <f>IF(C34="","",IFERROR(VLOOKUP(C34,'ITEM LIST'!B:M,12,0)*D34,0))</f>
        <v>142</v>
      </c>
    </row>
    <row r="35" spans="1:5" ht="15">
      <c r="A35" s="113" t="s">
        <v>58</v>
      </c>
      <c r="B35" s="113" t="s">
        <v>652</v>
      </c>
      <c r="C35" s="116" t="s">
        <v>414</v>
      </c>
      <c r="D35" s="121">
        <v>200</v>
      </c>
      <c r="E35" s="128">
        <f>IF(C35="","",IFERROR(VLOOKUP(C35,'ITEM LIST'!B:M,12,0)*D35,0))</f>
        <v>102</v>
      </c>
    </row>
    <row r="36" spans="1:5" ht="15">
      <c r="A36" s="113" t="s">
        <v>58</v>
      </c>
      <c r="B36" s="113" t="s">
        <v>652</v>
      </c>
      <c r="C36" s="116" t="s">
        <v>340</v>
      </c>
      <c r="D36" s="121">
        <v>1</v>
      </c>
      <c r="E36" s="128">
        <f>IF(C36="","",IFERROR(VLOOKUP(C36,'ITEM LIST'!B:M,12,0)*D36,0))</f>
        <v>5</v>
      </c>
    </row>
    <row r="37" spans="1:5" ht="15">
      <c r="A37" s="113" t="s">
        <v>58</v>
      </c>
      <c r="B37" s="113" t="s">
        <v>652</v>
      </c>
      <c r="C37" s="116" t="s">
        <v>534</v>
      </c>
      <c r="D37" s="121">
        <v>0.4</v>
      </c>
      <c r="E37" s="128">
        <f>IF(C37="","",IFERROR(VLOOKUP(C37,'ITEM LIST'!B:M,12,0)*D37,0))</f>
        <v>0.32000000000000006</v>
      </c>
    </row>
    <row r="38" spans="1:5" ht="15">
      <c r="A38" s="113" t="s">
        <v>58</v>
      </c>
      <c r="B38" s="113" t="s">
        <v>652</v>
      </c>
      <c r="C38" s="116" t="s">
        <v>12</v>
      </c>
      <c r="D38" s="121">
        <v>20</v>
      </c>
      <c r="E38" s="128">
        <f>IF(C38="","",IFERROR(VLOOKUP(C38,'ITEM LIST'!B:M,12,0)*D38,0))</f>
        <v>1.94</v>
      </c>
    </row>
    <row r="39" spans="1:5" ht="15">
      <c r="A39" s="113" t="s">
        <v>58</v>
      </c>
      <c r="B39" s="113" t="s">
        <v>652</v>
      </c>
      <c r="C39" s="116" t="s">
        <v>3</v>
      </c>
      <c r="D39" s="121">
        <v>40</v>
      </c>
      <c r="E39" s="128">
        <f>IF(C39="","",IFERROR(VLOOKUP(C39,'ITEM LIST'!B:M,12,0)*D39,0))</f>
        <v>16.8</v>
      </c>
    </row>
    <row r="40" spans="1:5" ht="15">
      <c r="A40" s="113" t="s">
        <v>58</v>
      </c>
      <c r="B40" s="113" t="s">
        <v>652</v>
      </c>
      <c r="C40" s="116" t="s">
        <v>341</v>
      </c>
      <c r="D40" s="121">
        <v>10</v>
      </c>
      <c r="E40" s="128">
        <f>IF(C40="","",IFERROR(VLOOKUP(C40,'ITEM LIST'!B:M,12,0)*D40,0))</f>
        <v>3.8</v>
      </c>
    </row>
    <row r="41" spans="1:5" ht="15">
      <c r="A41" s="117" t="s">
        <v>58</v>
      </c>
      <c r="B41" s="117" t="s">
        <v>652</v>
      </c>
      <c r="C41" s="118" t="s">
        <v>114</v>
      </c>
      <c r="D41" s="122">
        <v>4</v>
      </c>
      <c r="E41" s="129">
        <f>IF(C41="","",IFERROR(VLOOKUP(C41,'ITEM LIST'!B:M,12,0)*D41,0))</f>
        <v>0.112</v>
      </c>
    </row>
    <row r="42" spans="1:5" ht="15">
      <c r="A42" s="119" t="s">
        <v>58</v>
      </c>
      <c r="B42" s="119" t="s">
        <v>652</v>
      </c>
      <c r="C42" s="119" t="s">
        <v>338</v>
      </c>
      <c r="D42" s="121">
        <v>4</v>
      </c>
      <c r="E42" s="128">
        <f>IF(C42="","",IFERROR(VLOOKUP(C42,'ITEM LIST'!B:M,12,0)*D42,0))</f>
        <v>0.316</v>
      </c>
    </row>
    <row r="43" spans="1:5" ht="15">
      <c r="A43" s="130" t="s">
        <v>58</v>
      </c>
      <c r="B43" s="130" t="s">
        <v>652</v>
      </c>
      <c r="C43" s="130" t="s">
        <v>380</v>
      </c>
      <c r="D43" s="122">
        <v>160</v>
      </c>
      <c r="E43" s="129">
        <f>IF(C43="","",IFERROR(VLOOKUP(C43,'ITEM LIST'!B:M,12,0)*D43,0))</f>
        <v>85.33280000000002</v>
      </c>
    </row>
    <row r="337" spans="1:4" ht="13.5" thickBot="1"/>
    <row r="338" spans="1:4" ht="13.5" thickBot="1">
      <c r="A338" s="111"/>
      <c r="B338" s="111"/>
      <c r="C338" s="111"/>
      <c r="D338" s="126"/>
    </row>
    <row r="339" spans="1:4" ht="13.5" thickBot="1">
      <c r="A339" s="111"/>
      <c r="B339" s="111"/>
      <c r="C339" s="111"/>
      <c r="D339" s="126"/>
    </row>
    <row r="340" spans="1:4" ht="13.5" thickBot="1">
      <c r="A340" s="111"/>
      <c r="B340" s="111"/>
      <c r="C340" s="111"/>
      <c r="D340" s="126"/>
    </row>
    <row r="341" spans="1:4" ht="13.5" thickBot="1">
      <c r="A341" s="111"/>
      <c r="B341" s="111"/>
      <c r="C341" s="111"/>
      <c r="D341" s="126"/>
    </row>
    <row r="342" spans="1:4" ht="13.5" thickBot="1">
      <c r="A342" s="111"/>
      <c r="B342" s="111"/>
      <c r="C342" s="111"/>
      <c r="D342" s="126"/>
    </row>
    <row r="343" spans="1:4" ht="13.5" thickBot="1">
      <c r="A343" s="111"/>
      <c r="B343" s="111"/>
      <c r="C343" s="111"/>
      <c r="D343" s="126"/>
    </row>
    <row r="344" spans="1:4" ht="13.5" thickBot="1">
      <c r="A344" s="111"/>
      <c r="B344" s="111"/>
      <c r="C344" s="111"/>
      <c r="D344" s="126"/>
    </row>
    <row r="345" spans="1:4" ht="13.5" thickBot="1">
      <c r="A345" s="111"/>
      <c r="B345" s="111"/>
      <c r="C345" s="111"/>
      <c r="D345" s="126"/>
    </row>
    <row r="346" spans="1:4" ht="13.5" thickBot="1">
      <c r="A346" s="111"/>
      <c r="B346" s="111"/>
      <c r="C346" s="111"/>
      <c r="D346" s="126"/>
    </row>
    <row r="347" spans="1:4" ht="13.5" thickBot="1">
      <c r="A347" s="111"/>
      <c r="B347" s="111"/>
      <c r="C347" s="111"/>
      <c r="D347" s="126"/>
    </row>
    <row r="348" spans="1:4" ht="13.5" thickBot="1">
      <c r="A348" s="111"/>
      <c r="B348" s="111"/>
      <c r="C348" s="111"/>
      <c r="D348" s="126"/>
    </row>
    <row r="349" spans="1:4" ht="13.5" thickBot="1">
      <c r="A349" s="111"/>
      <c r="B349" s="111"/>
      <c r="C349" s="111"/>
      <c r="D349" s="126"/>
    </row>
    <row r="350" spans="1:4" ht="13.5" thickBot="1">
      <c r="A350" s="111"/>
      <c r="B350" s="111"/>
      <c r="C350" s="111"/>
      <c r="D350" s="126"/>
    </row>
    <row r="351" spans="1:4" ht="13.5" thickBot="1">
      <c r="A351" s="111"/>
      <c r="B351" s="111"/>
      <c r="C351" s="111"/>
      <c r="D351" s="126"/>
    </row>
    <row r="352" spans="1:4" ht="13.5" thickBot="1">
      <c r="A352" s="111"/>
      <c r="B352" s="111"/>
      <c r="C352" s="111"/>
      <c r="D352" s="126"/>
    </row>
    <row r="353" spans="1:4" ht="13.5" thickBot="1">
      <c r="A353" s="111"/>
      <c r="B353" s="111"/>
      <c r="C353" s="111"/>
      <c r="D353" s="126"/>
    </row>
    <row r="354" spans="1:4" ht="13.5" thickBot="1">
      <c r="A354" s="111"/>
      <c r="B354" s="111"/>
      <c r="C354" s="111"/>
      <c r="D354" s="126"/>
    </row>
    <row r="355" spans="1:4" ht="13.5" thickBot="1">
      <c r="A355" s="111"/>
      <c r="B355" s="111"/>
      <c r="C355" s="111"/>
      <c r="D355" s="126"/>
    </row>
    <row r="356" spans="1:4" ht="13.5" thickBot="1">
      <c r="A356" s="111"/>
      <c r="B356" s="111"/>
      <c r="C356" s="111"/>
      <c r="D356" s="126"/>
    </row>
    <row r="357" spans="1:4" ht="13.5" thickBot="1">
      <c r="A357" s="111"/>
      <c r="B357" s="111"/>
      <c r="C357" s="111"/>
      <c r="D357" s="126"/>
    </row>
    <row r="358" spans="1:4" ht="13.5" thickBot="1">
      <c r="A358" s="111"/>
      <c r="B358" s="111"/>
      <c r="C358" s="111"/>
      <c r="D358" s="126"/>
    </row>
    <row r="359" spans="1:4" ht="13.5" thickBot="1">
      <c r="A359" s="111"/>
      <c r="B359" s="111"/>
      <c r="C359" s="111"/>
      <c r="D359" s="126"/>
    </row>
    <row r="360" spans="1:4" ht="13.5" thickBot="1">
      <c r="A360" s="111"/>
      <c r="B360" s="111"/>
      <c r="C360" s="111"/>
      <c r="D360" s="126"/>
    </row>
    <row r="361" spans="1:4" ht="13.5" thickBot="1">
      <c r="A361" s="111"/>
      <c r="B361" s="111"/>
      <c r="C361" s="111"/>
      <c r="D361" s="126"/>
    </row>
    <row r="362" spans="1:4" ht="13.5" thickBot="1">
      <c r="A362" s="111"/>
      <c r="B362" s="111"/>
      <c r="C362" s="111"/>
      <c r="D362" s="126"/>
    </row>
    <row r="363" spans="1:4" ht="13.5" thickBot="1">
      <c r="A363" s="111"/>
      <c r="B363" s="111"/>
      <c r="C363" s="111"/>
      <c r="D363" s="126"/>
    </row>
    <row r="364" spans="1:4" ht="13.5" thickBot="1">
      <c r="A364" s="111"/>
      <c r="B364" s="111"/>
      <c r="C364" s="111"/>
      <c r="D364" s="126"/>
    </row>
    <row r="365" spans="1:4" ht="13.5" thickBot="1">
      <c r="A365" s="111"/>
      <c r="B365" s="111"/>
      <c r="C365" s="111"/>
      <c r="D365" s="126"/>
    </row>
    <row r="366" spans="1:4" ht="13.5" thickBot="1">
      <c r="A366" s="111"/>
      <c r="B366" s="111"/>
      <c r="C366" s="111"/>
      <c r="D366" s="126"/>
    </row>
    <row r="367" spans="1:4" ht="13.5" thickBot="1">
      <c r="A367" s="111"/>
      <c r="B367" s="111"/>
      <c r="C367" s="111"/>
      <c r="D367" s="126"/>
    </row>
    <row r="368" spans="1:4" ht="13.5" thickBot="1">
      <c r="A368" s="111"/>
      <c r="B368" s="111"/>
      <c r="C368" s="111"/>
      <c r="D368" s="126"/>
    </row>
    <row r="369" spans="1:4" ht="13.5" thickBot="1">
      <c r="A369" s="111"/>
      <c r="B369" s="111"/>
      <c r="C369" s="111"/>
      <c r="D369" s="126"/>
    </row>
    <row r="370" spans="1:4" ht="13.5" thickBot="1">
      <c r="A370" s="111"/>
      <c r="B370" s="111"/>
      <c r="C370" s="111"/>
      <c r="D370" s="126"/>
    </row>
    <row r="371" spans="1:4" ht="13.5" thickBot="1">
      <c r="A371" s="111"/>
      <c r="B371" s="111"/>
      <c r="C371" s="111"/>
      <c r="D371" s="126"/>
    </row>
    <row r="372" spans="1:4" ht="13.5" thickBot="1">
      <c r="A372" s="111"/>
      <c r="B372" s="111"/>
      <c r="C372" s="111"/>
      <c r="D372" s="126"/>
    </row>
    <row r="373" spans="1:4" ht="13.5" thickBot="1">
      <c r="A373" s="111"/>
      <c r="B373" s="111"/>
      <c r="C373" s="111"/>
      <c r="D373" s="126"/>
    </row>
    <row r="374" spans="1:4" ht="13.5" thickBot="1">
      <c r="A374" s="111"/>
      <c r="B374" s="111"/>
      <c r="C374" s="111"/>
      <c r="D374" s="126"/>
    </row>
    <row r="375" spans="1:4" ht="13.5" thickBot="1">
      <c r="A375" s="111"/>
      <c r="B375" s="111"/>
      <c r="C375" s="111"/>
      <c r="D375" s="126"/>
    </row>
    <row r="376" spans="1:4" ht="13.5" thickBot="1">
      <c r="A376" s="111"/>
      <c r="B376" s="111"/>
      <c r="C376" s="111"/>
      <c r="D376" s="126"/>
    </row>
    <row r="377" spans="1:4" ht="13.5" thickBot="1">
      <c r="A377" s="111"/>
      <c r="B377" s="111"/>
      <c r="C377" s="111"/>
      <c r="D377" s="126"/>
    </row>
    <row r="378" spans="1:4" ht="13.5" thickBot="1">
      <c r="A378" s="111"/>
      <c r="B378" s="111"/>
      <c r="C378" s="111"/>
      <c r="D378" s="126"/>
    </row>
    <row r="379" spans="1:4" ht="13.5" thickBot="1">
      <c r="A379" s="111"/>
      <c r="B379" s="111"/>
      <c r="C379" s="111"/>
      <c r="D379" s="126"/>
    </row>
    <row r="380" spans="1:4" ht="13.5" thickBot="1">
      <c r="A380" s="111"/>
      <c r="B380" s="111"/>
      <c r="C380" s="111"/>
      <c r="D380" s="126"/>
    </row>
    <row r="381" spans="1:4" ht="13.5" thickBot="1">
      <c r="A381" s="111"/>
      <c r="B381" s="111"/>
      <c r="C381" s="111"/>
      <c r="D381" s="126"/>
    </row>
    <row r="382" spans="1:4" ht="13.5" thickBot="1">
      <c r="A382" s="111"/>
      <c r="B382" s="111"/>
      <c r="C382" s="111"/>
      <c r="D382" s="126"/>
    </row>
    <row r="383" spans="1:4" ht="13.5" thickBot="1">
      <c r="A383" s="111"/>
      <c r="B383" s="111"/>
      <c r="C383" s="111"/>
      <c r="D383" s="126"/>
    </row>
    <row r="384" spans="1:4" ht="13.5" thickBot="1">
      <c r="A384" s="111"/>
      <c r="B384" s="111"/>
      <c r="C384" s="111"/>
      <c r="D384" s="126"/>
    </row>
    <row r="385" spans="1:4" ht="13.5" thickBot="1">
      <c r="A385" s="111"/>
      <c r="B385" s="111"/>
      <c r="C385" s="111"/>
      <c r="D385" s="126"/>
    </row>
    <row r="386" spans="1:4" ht="13.5" thickBot="1">
      <c r="A386" s="111"/>
      <c r="B386" s="111"/>
      <c r="C386" s="111"/>
      <c r="D386" s="126"/>
    </row>
    <row r="387" spans="1:4" ht="13.5" thickBot="1">
      <c r="A387" s="111"/>
      <c r="B387" s="111"/>
      <c r="C387" s="111"/>
      <c r="D387" s="126"/>
    </row>
    <row r="388" spans="1:4" ht="13.5" thickBot="1">
      <c r="A388" s="111"/>
      <c r="B388" s="111"/>
      <c r="C388" s="111"/>
      <c r="D388" s="126"/>
    </row>
    <row r="389" spans="1:4" ht="13.5" thickBot="1">
      <c r="A389" s="111"/>
      <c r="B389" s="111"/>
      <c r="C389" s="111"/>
      <c r="D389" s="126"/>
    </row>
    <row r="390" spans="1:4" ht="13.5" thickBot="1">
      <c r="A390" s="111"/>
      <c r="B390" s="111"/>
      <c r="C390" s="111"/>
      <c r="D390" s="126"/>
    </row>
    <row r="391" spans="1:4" ht="13.5" thickBot="1">
      <c r="A391" s="111"/>
      <c r="B391" s="111"/>
      <c r="C391" s="111"/>
      <c r="D391" s="126"/>
    </row>
    <row r="392" spans="1:4" ht="13.5" thickBot="1">
      <c r="A392" s="111"/>
      <c r="B392" s="111"/>
      <c r="C392" s="111"/>
      <c r="D392" s="126"/>
    </row>
    <row r="393" spans="1:4" ht="13.5" thickBot="1">
      <c r="A393" s="111"/>
      <c r="B393" s="111"/>
      <c r="C393" s="111"/>
      <c r="D393" s="126"/>
    </row>
    <row r="394" spans="1:4" ht="13.5" thickBot="1">
      <c r="A394" s="111"/>
      <c r="B394" s="111"/>
      <c r="C394" s="111"/>
      <c r="D394" s="126"/>
    </row>
    <row r="395" spans="1:4" ht="13.5" thickBot="1">
      <c r="A395" s="111"/>
      <c r="B395" s="111"/>
      <c r="C395" s="111"/>
      <c r="D395" s="126"/>
    </row>
    <row r="396" spans="1:4" ht="13.5" thickBot="1">
      <c r="A396" s="111"/>
      <c r="B396" s="111"/>
      <c r="C396" s="111"/>
      <c r="D396" s="126"/>
    </row>
    <row r="397" spans="1:4" ht="13.5" thickBot="1">
      <c r="A397" s="111"/>
      <c r="B397" s="111"/>
      <c r="C397" s="111"/>
      <c r="D397" s="126"/>
    </row>
    <row r="398" spans="1:4" ht="13.5" thickBot="1">
      <c r="A398" s="111"/>
      <c r="B398" s="111"/>
      <c r="C398" s="111"/>
      <c r="D398" s="126"/>
    </row>
    <row r="399" spans="1:4" ht="13.5" thickBot="1">
      <c r="A399" s="111"/>
      <c r="B399" s="111"/>
      <c r="C399" s="111"/>
      <c r="D399" s="126"/>
    </row>
    <row r="400" spans="1:4" ht="13.5" thickBot="1">
      <c r="A400" s="111"/>
      <c r="B400" s="111"/>
      <c r="C400" s="111"/>
      <c r="D400" s="126"/>
    </row>
    <row r="401" spans="1:4" ht="13.5" thickBot="1">
      <c r="A401" s="111"/>
      <c r="B401" s="111"/>
      <c r="C401" s="111"/>
      <c r="D401" s="126"/>
    </row>
    <row r="402" spans="1:4" ht="13.5" thickBot="1">
      <c r="A402" s="111"/>
      <c r="B402" s="111"/>
      <c r="C402" s="111"/>
      <c r="D402" s="126"/>
    </row>
    <row r="403" spans="1:4" ht="13.5" thickBot="1">
      <c r="A403" s="111"/>
      <c r="B403" s="111"/>
      <c r="C403" s="111"/>
      <c r="D403" s="126"/>
    </row>
    <row r="404" spans="1:4" ht="13.5" thickBot="1">
      <c r="A404" s="111"/>
      <c r="B404" s="111"/>
      <c r="C404" s="111"/>
      <c r="D404" s="126"/>
    </row>
    <row r="405" spans="1:4" ht="13.5" thickBot="1">
      <c r="A405" s="111"/>
      <c r="B405" s="111"/>
      <c r="C405" s="111"/>
      <c r="D405" s="126"/>
    </row>
    <row r="406" spans="1:4" ht="13.5" thickBot="1">
      <c r="A406" s="111"/>
      <c r="B406" s="111"/>
      <c r="C406" s="111"/>
      <c r="D406" s="126"/>
    </row>
    <row r="407" spans="1:4" ht="13.5" thickBot="1">
      <c r="A407" s="111"/>
      <c r="B407" s="111"/>
      <c r="C407" s="111"/>
      <c r="D407" s="126"/>
    </row>
    <row r="408" spans="1:4" ht="13.5" thickBot="1">
      <c r="A408" s="111"/>
      <c r="B408" s="111"/>
      <c r="C408" s="111"/>
      <c r="D408" s="126"/>
    </row>
    <row r="409" spans="1:4" ht="13.5" thickBot="1">
      <c r="A409" s="111"/>
      <c r="B409" s="111"/>
      <c r="C409" s="111"/>
      <c r="D409" s="126"/>
    </row>
    <row r="410" spans="1:4" ht="13.5" thickBot="1">
      <c r="A410" s="111"/>
      <c r="B410" s="111"/>
      <c r="C410" s="111"/>
      <c r="D410" s="126"/>
    </row>
    <row r="411" spans="1:4" ht="13.5" thickBot="1">
      <c r="A411" s="111"/>
      <c r="B411" s="111"/>
      <c r="C411" s="111"/>
      <c r="D411" s="126"/>
    </row>
    <row r="412" spans="1:4" ht="13.5" thickBot="1">
      <c r="A412" s="111"/>
      <c r="B412" s="111"/>
      <c r="C412" s="111"/>
      <c r="D412" s="126"/>
    </row>
    <row r="413" spans="1:4" ht="13.5" thickBot="1">
      <c r="A413" s="111"/>
      <c r="B413" s="111"/>
      <c r="C413" s="111"/>
      <c r="D413" s="126"/>
    </row>
    <row r="414" spans="1:4" ht="13.5" thickBot="1">
      <c r="A414" s="111"/>
      <c r="B414" s="111"/>
      <c r="C414" s="111"/>
      <c r="D414" s="126"/>
    </row>
    <row r="415" spans="1:4" ht="13.5" thickBot="1">
      <c r="A415" s="111"/>
      <c r="B415" s="111"/>
      <c r="C415" s="111"/>
      <c r="D415" s="126"/>
    </row>
    <row r="416" spans="1:4" ht="13.5" thickBot="1">
      <c r="A416" s="111"/>
      <c r="B416" s="111"/>
      <c r="C416" s="111"/>
      <c r="D416" s="126"/>
    </row>
    <row r="417" spans="1:4" ht="13.5" thickBot="1">
      <c r="A417" s="111"/>
      <c r="B417" s="111"/>
      <c r="C417" s="111"/>
      <c r="D417" s="126"/>
    </row>
    <row r="418" spans="1:4" ht="13.5" thickBot="1">
      <c r="A418" s="111"/>
      <c r="B418" s="111"/>
      <c r="C418" s="111"/>
      <c r="D418" s="126"/>
    </row>
    <row r="419" spans="1:4" ht="13.5" thickBot="1">
      <c r="A419" s="111"/>
      <c r="B419" s="111"/>
      <c r="C419" s="111"/>
      <c r="D419" s="126"/>
    </row>
    <row r="420" spans="1:4" ht="13.5" thickBot="1">
      <c r="A420" s="111"/>
      <c r="B420" s="111"/>
      <c r="C420" s="111"/>
      <c r="D420" s="126"/>
    </row>
    <row r="421" spans="1:4" ht="13.5" thickBot="1">
      <c r="A421" s="111"/>
      <c r="B421" s="111"/>
      <c r="C421" s="111"/>
      <c r="D421" s="126"/>
    </row>
    <row r="422" spans="1:4" ht="13.5" thickBot="1">
      <c r="A422" s="111"/>
      <c r="B422" s="111"/>
      <c r="C422" s="111"/>
      <c r="D422" s="126"/>
    </row>
    <row r="423" spans="1:4" ht="13.5" thickBot="1">
      <c r="A423" s="111"/>
      <c r="B423" s="111"/>
      <c r="C423" s="111"/>
      <c r="D423" s="126"/>
    </row>
    <row r="424" spans="1:4" ht="13.5" thickBot="1">
      <c r="A424" s="111"/>
      <c r="B424" s="111"/>
      <c r="C424" s="111"/>
      <c r="D424" s="126"/>
    </row>
    <row r="425" spans="1:4" ht="13.5" thickBot="1">
      <c r="A425" s="111"/>
      <c r="B425" s="111"/>
      <c r="C425" s="111"/>
      <c r="D425" s="126"/>
    </row>
    <row r="426" spans="1:4" ht="13.5" thickBot="1">
      <c r="A426" s="111"/>
      <c r="B426" s="111"/>
      <c r="C426" s="111"/>
      <c r="D426" s="126"/>
    </row>
    <row r="427" spans="1:4" ht="13.5" thickBot="1">
      <c r="A427" s="111"/>
      <c r="B427" s="111"/>
      <c r="C427" s="111"/>
      <c r="D427" s="126"/>
    </row>
    <row r="428" spans="1:4" ht="13.5" thickBot="1">
      <c r="A428" s="111"/>
      <c r="B428" s="111"/>
      <c r="C428" s="111"/>
      <c r="D428" s="126"/>
    </row>
    <row r="429" spans="1:4" ht="13.5" thickBot="1">
      <c r="A429" s="111"/>
      <c r="B429" s="111"/>
      <c r="C429" s="111"/>
      <c r="D429" s="126"/>
    </row>
    <row r="430" spans="1:4" ht="13.5" thickBot="1">
      <c r="A430" s="111"/>
      <c r="B430" s="111"/>
      <c r="C430" s="111"/>
      <c r="D430" s="126"/>
    </row>
    <row r="431" spans="1:4" ht="13.5" thickBot="1">
      <c r="A431" s="111"/>
      <c r="B431" s="111"/>
      <c r="C431" s="111"/>
      <c r="D431" s="126"/>
    </row>
    <row r="432" spans="1:4" ht="13.5" thickBot="1">
      <c r="A432" s="111"/>
      <c r="B432" s="111"/>
      <c r="C432" s="111"/>
      <c r="D432" s="126"/>
    </row>
    <row r="433" spans="1:4" ht="13.5" thickBot="1">
      <c r="A433" s="111"/>
      <c r="B433" s="111"/>
      <c r="C433" s="111"/>
      <c r="D433" s="126"/>
    </row>
    <row r="434" spans="1:4" ht="13.5" thickBot="1">
      <c r="A434" s="111"/>
      <c r="B434" s="111"/>
      <c r="C434" s="111"/>
      <c r="D434" s="126"/>
    </row>
    <row r="435" spans="1:4" ht="13.5" thickBot="1">
      <c r="A435" s="111"/>
      <c r="B435" s="111"/>
      <c r="C435" s="111"/>
      <c r="D435" s="126"/>
    </row>
    <row r="436" spans="1:4" ht="13.5" thickBot="1">
      <c r="A436" s="111"/>
      <c r="B436" s="111"/>
      <c r="C436" s="111"/>
      <c r="D436" s="126"/>
    </row>
    <row r="437" spans="1:4" ht="13.5" thickBot="1">
      <c r="A437" s="111"/>
      <c r="B437" s="111"/>
      <c r="C437" s="111"/>
      <c r="D437" s="126"/>
    </row>
    <row r="438" spans="1:4" ht="13.5" thickBot="1">
      <c r="A438" s="111"/>
      <c r="B438" s="111"/>
      <c r="C438" s="111"/>
      <c r="D438" s="126"/>
    </row>
    <row r="439" spans="1:4" ht="13.5" thickBot="1">
      <c r="A439" s="111"/>
      <c r="B439" s="111"/>
      <c r="C439" s="111"/>
      <c r="D439" s="126"/>
    </row>
    <row r="440" spans="1:4" ht="13.5" thickBot="1">
      <c r="A440" s="111"/>
      <c r="B440" s="111"/>
      <c r="C440" s="111"/>
      <c r="D440" s="126"/>
    </row>
    <row r="441" spans="1:4" ht="13.5" thickBot="1">
      <c r="A441" s="111"/>
      <c r="B441" s="111"/>
      <c r="C441" s="111"/>
      <c r="D441" s="126"/>
    </row>
    <row r="442" spans="1:4" ht="13.5" thickBot="1">
      <c r="A442" s="111"/>
      <c r="B442" s="111"/>
      <c r="C442" s="111"/>
      <c r="D442" s="126"/>
    </row>
    <row r="443" spans="1:4" ht="13.5" thickBot="1">
      <c r="A443" s="111"/>
      <c r="B443" s="111"/>
      <c r="C443" s="111"/>
      <c r="D443" s="126"/>
    </row>
    <row r="444" spans="1:4" ht="13.5" thickBot="1">
      <c r="A444" s="111"/>
      <c r="B444" s="111"/>
      <c r="C444" s="111"/>
      <c r="D444" s="126"/>
    </row>
    <row r="445" spans="1:4" ht="13.5" thickBot="1">
      <c r="A445" s="111"/>
      <c r="B445" s="111"/>
      <c r="C445" s="111"/>
      <c r="D445" s="126"/>
    </row>
    <row r="446" spans="1:4" ht="13.5" thickBot="1">
      <c r="A446" s="111"/>
      <c r="B446" s="111"/>
      <c r="C446" s="111"/>
      <c r="D446" s="126"/>
    </row>
    <row r="447" spans="1:4" ht="13.5" thickBot="1">
      <c r="A447" s="111"/>
      <c r="B447" s="111"/>
      <c r="C447" s="111"/>
      <c r="D447" s="126"/>
    </row>
    <row r="448" spans="1:4" ht="13.5" thickBot="1">
      <c r="A448" s="111"/>
      <c r="B448" s="111"/>
      <c r="C448" s="111"/>
      <c r="D448" s="126"/>
    </row>
    <row r="449" spans="1:4" ht="13.5" thickBot="1">
      <c r="A449" s="111"/>
      <c r="B449" s="111"/>
      <c r="C449" s="111"/>
      <c r="D449" s="126"/>
    </row>
    <row r="450" spans="1:4" ht="13.5" thickBot="1">
      <c r="A450" s="111"/>
      <c r="B450" s="111"/>
      <c r="C450" s="111"/>
      <c r="D450" s="126"/>
    </row>
    <row r="451" spans="1:4" ht="13.5" thickBot="1">
      <c r="A451" s="111"/>
      <c r="B451" s="111"/>
      <c r="C451" s="111"/>
      <c r="D451" s="126"/>
    </row>
    <row r="452" spans="1:4" ht="13.5" thickBot="1">
      <c r="A452" s="111"/>
      <c r="B452" s="111"/>
      <c r="C452" s="111"/>
      <c r="D452" s="126"/>
    </row>
    <row r="453" spans="1:4" ht="13.5" thickBot="1">
      <c r="A453" s="111"/>
      <c r="B453" s="111"/>
      <c r="C453" s="111"/>
      <c r="D453" s="126"/>
    </row>
    <row r="454" spans="1:4" ht="13.5" thickBot="1">
      <c r="A454" s="111"/>
      <c r="B454" s="111"/>
      <c r="C454" s="111"/>
      <c r="D454" s="126"/>
    </row>
    <row r="455" spans="1:4" ht="13.5" thickBot="1">
      <c r="A455" s="111"/>
      <c r="B455" s="111"/>
      <c r="C455" s="111"/>
      <c r="D455" s="126"/>
    </row>
    <row r="456" spans="1:4" ht="13.5" thickBot="1">
      <c r="A456" s="111"/>
      <c r="B456" s="111"/>
      <c r="C456" s="111"/>
      <c r="D456" s="126"/>
    </row>
    <row r="457" spans="1:4" ht="13.5" thickBot="1">
      <c r="A457" s="111"/>
      <c r="B457" s="111"/>
      <c r="C457" s="111"/>
      <c r="D457" s="126"/>
    </row>
    <row r="458" spans="1:4" ht="13.5" thickBot="1">
      <c r="A458" s="111"/>
      <c r="B458" s="111"/>
      <c r="C458" s="111"/>
      <c r="D458" s="126"/>
    </row>
    <row r="459" spans="1:4" ht="13.5" thickBot="1">
      <c r="A459" s="111"/>
      <c r="B459" s="111"/>
      <c r="C459" s="111"/>
      <c r="D459" s="126"/>
    </row>
    <row r="460" spans="1:4" ht="13.5" thickBot="1">
      <c r="A460" s="111"/>
      <c r="B460" s="111"/>
      <c r="C460" s="111"/>
      <c r="D460" s="126"/>
    </row>
    <row r="461" spans="1:4" ht="13.5" thickBot="1">
      <c r="A461" s="111"/>
      <c r="B461" s="111"/>
      <c r="C461" s="111"/>
      <c r="D461" s="126"/>
    </row>
    <row r="462" spans="1:4" ht="13.5" thickBot="1">
      <c r="A462" s="111"/>
      <c r="B462" s="111"/>
      <c r="C462" s="111"/>
      <c r="D462" s="126"/>
    </row>
    <row r="463" spans="1:4" ht="13.5" thickBot="1">
      <c r="A463" s="111"/>
      <c r="B463" s="111"/>
      <c r="C463" s="111"/>
      <c r="D463" s="126"/>
    </row>
    <row r="464" spans="1:4" ht="13.5" thickBot="1">
      <c r="A464" s="111"/>
      <c r="B464" s="111"/>
      <c r="C464" s="111"/>
      <c r="D464" s="126"/>
    </row>
    <row r="465" spans="1:4" ht="13.5" thickBot="1">
      <c r="A465" s="111"/>
      <c r="B465" s="111"/>
      <c r="C465" s="111"/>
      <c r="D465" s="126"/>
    </row>
    <row r="466" spans="1:4" ht="13.5" thickBot="1">
      <c r="A466" s="111"/>
      <c r="B466" s="111"/>
      <c r="C466" s="111"/>
      <c r="D466" s="126"/>
    </row>
    <row r="467" spans="1:4" ht="13.5" thickBot="1">
      <c r="A467" s="111"/>
      <c r="B467" s="111"/>
      <c r="C467" s="111"/>
      <c r="D467" s="126"/>
    </row>
    <row r="468" spans="1:4" ht="13.5" thickBot="1">
      <c r="A468" s="111"/>
      <c r="B468" s="111"/>
      <c r="C468" s="111"/>
      <c r="D468" s="126"/>
    </row>
    <row r="469" spans="1:4" ht="13.5" thickBot="1">
      <c r="A469" s="111"/>
      <c r="B469" s="111"/>
      <c r="C469" s="111"/>
      <c r="D469" s="126"/>
    </row>
    <row r="470" spans="1:4" ht="13.5" thickBot="1">
      <c r="A470" s="111"/>
      <c r="B470" s="111"/>
      <c r="C470" s="111"/>
      <c r="D470" s="126"/>
    </row>
    <row r="471" spans="1:4" ht="13.5" thickBot="1">
      <c r="A471" s="111"/>
      <c r="B471" s="111"/>
      <c r="C471" s="111"/>
      <c r="D471" s="126"/>
    </row>
    <row r="472" spans="1:4" ht="13.5" thickBot="1">
      <c r="A472" s="111"/>
      <c r="B472" s="111"/>
      <c r="C472" s="111"/>
      <c r="D472" s="126"/>
    </row>
    <row r="473" spans="1:4" ht="13.5" thickBot="1">
      <c r="A473" s="111"/>
      <c r="B473" s="111"/>
      <c r="C473" s="111"/>
      <c r="D473" s="126"/>
    </row>
    <row r="474" spans="1:4" ht="13.5" thickBot="1">
      <c r="A474" s="111"/>
      <c r="B474" s="111"/>
      <c r="C474" s="111"/>
      <c r="D474" s="126"/>
    </row>
    <row r="475" spans="1:4" ht="13.5" thickBot="1">
      <c r="A475" s="111"/>
      <c r="B475" s="111"/>
      <c r="C475" s="111"/>
      <c r="D475" s="126"/>
    </row>
    <row r="476" spans="1:4" ht="13.5" thickBot="1">
      <c r="A476" s="111"/>
      <c r="B476" s="111"/>
      <c r="C476" s="111"/>
      <c r="D476" s="126"/>
    </row>
    <row r="477" spans="1:4" ht="13.5" thickBot="1">
      <c r="A477" s="111"/>
      <c r="B477" s="111"/>
      <c r="C477" s="111"/>
      <c r="D477" s="126"/>
    </row>
    <row r="478" spans="1:4" ht="13.5" thickBot="1">
      <c r="A478" s="111"/>
      <c r="B478" s="111"/>
      <c r="C478" s="111"/>
      <c r="D478" s="126"/>
    </row>
    <row r="479" spans="1:4" ht="13.5" thickBot="1">
      <c r="A479" s="111"/>
      <c r="B479" s="111"/>
      <c r="C479" s="111"/>
      <c r="D479" s="126"/>
    </row>
    <row r="480" spans="1:4" ht="13.5" thickBot="1">
      <c r="A480" s="111"/>
      <c r="B480" s="111"/>
      <c r="C480" s="111"/>
      <c r="D480" s="126"/>
    </row>
    <row r="481" spans="1:4" ht="13.5" thickBot="1">
      <c r="A481" s="111"/>
      <c r="B481" s="111"/>
      <c r="C481" s="111"/>
      <c r="D481" s="126"/>
    </row>
    <row r="482" spans="1:4" ht="13.5" thickBot="1">
      <c r="A482" s="111"/>
      <c r="B482" s="111"/>
      <c r="C482" s="111"/>
      <c r="D482" s="126"/>
    </row>
    <row r="483" spans="1:4" ht="13.5" thickBot="1">
      <c r="A483" s="111"/>
      <c r="B483" s="111"/>
      <c r="C483" s="111"/>
      <c r="D483" s="126"/>
    </row>
    <row r="484" spans="1:4" ht="13.5" thickBot="1">
      <c r="A484" s="111"/>
      <c r="B484" s="111"/>
      <c r="C484" s="111"/>
      <c r="D484" s="126"/>
    </row>
    <row r="485" spans="1:4" ht="13.5" thickBot="1">
      <c r="A485" s="111"/>
      <c r="B485" s="111"/>
      <c r="C485" s="111"/>
      <c r="D485" s="126"/>
    </row>
    <row r="486" spans="1:4" ht="13.5" thickBot="1">
      <c r="A486" s="111"/>
      <c r="B486" s="111"/>
      <c r="C486" s="111"/>
      <c r="D486" s="126"/>
    </row>
    <row r="487" spans="1:4" ht="13.5" thickBot="1">
      <c r="A487" s="111"/>
      <c r="B487" s="111"/>
      <c r="C487" s="111"/>
      <c r="D487" s="126"/>
    </row>
    <row r="488" spans="1:4" ht="13.5" thickBot="1">
      <c r="A488" s="111"/>
      <c r="B488" s="111"/>
      <c r="C488" s="111"/>
      <c r="D488" s="126"/>
    </row>
    <row r="489" spans="1:4" ht="13.5" thickBot="1">
      <c r="A489" s="111"/>
      <c r="B489" s="111"/>
      <c r="C489" s="111"/>
      <c r="D489" s="126"/>
    </row>
    <row r="490" spans="1:4" ht="13.5" thickBot="1">
      <c r="A490" s="111"/>
      <c r="B490" s="111"/>
      <c r="C490" s="111"/>
      <c r="D490" s="126"/>
    </row>
    <row r="491" spans="1:4" ht="13.5" thickBot="1">
      <c r="A491" s="111"/>
      <c r="B491" s="111"/>
      <c r="C491" s="111"/>
      <c r="D491" s="126"/>
    </row>
    <row r="492" spans="1:4" ht="13.5" thickBot="1">
      <c r="A492" s="111"/>
      <c r="B492" s="111"/>
      <c r="C492" s="111"/>
      <c r="D492" s="126"/>
    </row>
    <row r="493" spans="1:4" ht="13.5" thickBot="1">
      <c r="A493" s="111"/>
      <c r="B493" s="111"/>
      <c r="C493" s="111"/>
      <c r="D493" s="126"/>
    </row>
    <row r="494" spans="1:4" ht="13.5" thickBot="1">
      <c r="A494" s="111"/>
      <c r="B494" s="111"/>
      <c r="C494" s="111"/>
      <c r="D494" s="126"/>
    </row>
    <row r="495" spans="1:4" ht="13.5" thickBot="1">
      <c r="A495" s="111"/>
      <c r="B495" s="111"/>
      <c r="C495" s="111"/>
      <c r="D495" s="126"/>
    </row>
    <row r="496" spans="1:4" ht="13.5" thickBot="1">
      <c r="A496" s="111"/>
      <c r="B496" s="111"/>
      <c r="C496" s="111"/>
      <c r="D496" s="126"/>
    </row>
    <row r="497" spans="1:4" ht="13.5" thickBot="1">
      <c r="A497" s="111"/>
      <c r="B497" s="111"/>
      <c r="C497" s="111"/>
      <c r="D497" s="126"/>
    </row>
    <row r="498" spans="1:4" ht="13.5" thickBot="1">
      <c r="A498" s="111"/>
      <c r="B498" s="111"/>
      <c r="C498" s="111"/>
      <c r="D498" s="126"/>
    </row>
    <row r="499" spans="1:4" ht="13.5" thickBot="1">
      <c r="A499" s="111"/>
      <c r="B499" s="111"/>
      <c r="C499" s="111"/>
      <c r="D499" s="126"/>
    </row>
    <row r="500" spans="1:4" ht="13.5" thickBot="1">
      <c r="A500" s="111"/>
      <c r="B500" s="111"/>
      <c r="C500" s="111"/>
      <c r="D500" s="126"/>
    </row>
    <row r="501" spans="1:4" ht="13.5" thickBot="1">
      <c r="A501" s="111"/>
      <c r="B501" s="111"/>
      <c r="C501" s="111"/>
      <c r="D501" s="126"/>
    </row>
    <row r="502" spans="1:4" ht="13.5" thickBot="1">
      <c r="A502" s="111"/>
      <c r="B502" s="111"/>
      <c r="C502" s="111"/>
      <c r="D502" s="126"/>
    </row>
    <row r="503" spans="1:4" ht="13.5" thickBot="1">
      <c r="A503" s="111"/>
      <c r="B503" s="111"/>
      <c r="C503" s="111"/>
      <c r="D503" s="126"/>
    </row>
    <row r="504" spans="1:4" ht="13.5" thickBot="1">
      <c r="A504" s="111"/>
      <c r="B504" s="111"/>
      <c r="C504" s="111"/>
      <c r="D504" s="126"/>
    </row>
    <row r="505" spans="1:4" ht="13.5" thickBot="1">
      <c r="A505" s="111"/>
      <c r="B505" s="111"/>
      <c r="C505" s="111"/>
      <c r="D505" s="126"/>
    </row>
    <row r="506" spans="1:4" ht="13.5" thickBot="1">
      <c r="A506" s="111"/>
      <c r="B506" s="111"/>
      <c r="C506" s="111"/>
      <c r="D506" s="126"/>
    </row>
    <row r="507" spans="1:4" ht="13.5" thickBot="1">
      <c r="A507" s="111"/>
      <c r="B507" s="111"/>
      <c r="C507" s="111"/>
      <c r="D507" s="126"/>
    </row>
    <row r="508" spans="1:4" ht="13.5" thickBot="1">
      <c r="A508" s="111"/>
      <c r="B508" s="111"/>
      <c r="C508" s="111"/>
      <c r="D508" s="126"/>
    </row>
    <row r="509" spans="1:4" ht="13.5" thickBot="1">
      <c r="A509" s="111"/>
      <c r="B509" s="111"/>
      <c r="C509" s="111"/>
      <c r="D509" s="126"/>
    </row>
    <row r="510" spans="1:4" ht="13.5" thickBot="1">
      <c r="A510" s="111"/>
      <c r="B510" s="111"/>
      <c r="C510" s="111"/>
      <c r="D510" s="126"/>
    </row>
    <row r="511" spans="1:4" ht="13.5" thickBot="1">
      <c r="A511" s="111"/>
      <c r="B511" s="111"/>
      <c r="C511" s="111"/>
      <c r="D511" s="126"/>
    </row>
    <row r="512" spans="1:4" ht="13.5" thickBot="1">
      <c r="A512" s="111"/>
      <c r="B512" s="111"/>
      <c r="C512" s="111"/>
      <c r="D512" s="126"/>
    </row>
    <row r="513" spans="1:4" ht="13.5" thickBot="1">
      <c r="A513" s="111"/>
      <c r="B513" s="111"/>
      <c r="C513" s="111"/>
      <c r="D513" s="126"/>
    </row>
    <row r="514" spans="1:4" ht="13.5" thickBot="1">
      <c r="A514" s="111"/>
      <c r="B514" s="111"/>
      <c r="C514" s="111"/>
      <c r="D514" s="126"/>
    </row>
    <row r="515" spans="1:4" ht="13.5" thickBot="1">
      <c r="A515" s="111"/>
      <c r="B515" s="111"/>
      <c r="C515" s="111"/>
      <c r="D515" s="126"/>
    </row>
    <row r="516" spans="1:4" ht="13.5" thickBot="1">
      <c r="A516" s="111"/>
      <c r="B516" s="111"/>
      <c r="C516" s="111"/>
      <c r="D516" s="126"/>
    </row>
    <row r="517" spans="1:4" ht="13.5" thickBot="1">
      <c r="A517" s="111"/>
      <c r="B517" s="111"/>
      <c r="C517" s="111"/>
      <c r="D517" s="126"/>
    </row>
    <row r="518" spans="1:4" ht="13.5" thickBot="1">
      <c r="A518" s="111"/>
      <c r="B518" s="111"/>
      <c r="C518" s="111"/>
      <c r="D518" s="126"/>
    </row>
    <row r="519" spans="1:4" ht="13.5" thickBot="1">
      <c r="A519" s="111"/>
      <c r="B519" s="111"/>
      <c r="C519" s="111"/>
      <c r="D519" s="126"/>
    </row>
    <row r="520" spans="1:4" ht="13.5" thickBot="1">
      <c r="A520" s="111"/>
      <c r="B520" s="111"/>
      <c r="C520" s="111"/>
      <c r="D520" s="126"/>
    </row>
    <row r="521" spans="1:4" ht="13.5" thickBot="1">
      <c r="A521" s="111"/>
      <c r="B521" s="111"/>
      <c r="C521" s="111"/>
      <c r="D521" s="126"/>
    </row>
    <row r="522" spans="1:4" ht="13.5" thickBot="1">
      <c r="A522" s="111"/>
      <c r="B522" s="111"/>
      <c r="C522" s="111"/>
      <c r="D522" s="126"/>
    </row>
    <row r="523" spans="1:4" ht="13.5" thickBot="1">
      <c r="A523" s="111"/>
      <c r="B523" s="111"/>
      <c r="C523" s="111"/>
      <c r="D523" s="126"/>
    </row>
    <row r="524" spans="1:4" ht="13.5" thickBot="1">
      <c r="A524" s="111"/>
      <c r="B524" s="111"/>
      <c r="C524" s="111"/>
      <c r="D524" s="126"/>
    </row>
    <row r="525" spans="1:4" ht="13.5" thickBot="1">
      <c r="A525" s="111"/>
      <c r="B525" s="111"/>
      <c r="C525" s="111"/>
      <c r="D525" s="126"/>
    </row>
    <row r="526" spans="1:4" ht="13.5" thickBot="1">
      <c r="A526" s="111"/>
      <c r="B526" s="111"/>
      <c r="C526" s="111"/>
      <c r="D526" s="126"/>
    </row>
    <row r="527" spans="1:4" ht="13.5" thickBot="1">
      <c r="A527" s="111"/>
      <c r="B527" s="111"/>
      <c r="C527" s="111"/>
      <c r="D527" s="126"/>
    </row>
    <row r="528" spans="1:4" ht="13.5" thickBot="1">
      <c r="A528" s="111"/>
      <c r="B528" s="111"/>
      <c r="C528" s="111"/>
      <c r="D528" s="126"/>
    </row>
    <row r="529" spans="1:4" ht="13.5" thickBot="1">
      <c r="A529" s="111"/>
      <c r="B529" s="111"/>
      <c r="C529" s="111"/>
      <c r="D529" s="126"/>
    </row>
    <row r="530" spans="1:4" ht="13.5" thickBot="1">
      <c r="A530" s="111"/>
      <c r="B530" s="111"/>
      <c r="C530" s="111"/>
      <c r="D530" s="126"/>
    </row>
    <row r="531" spans="1:4" ht="13.5" thickBot="1">
      <c r="A531" s="111"/>
      <c r="B531" s="111"/>
      <c r="C531" s="111"/>
      <c r="D531" s="126"/>
    </row>
    <row r="532" spans="1:4" ht="13.5" thickBot="1">
      <c r="A532" s="111"/>
      <c r="B532" s="111"/>
      <c r="C532" s="111"/>
      <c r="D532" s="126"/>
    </row>
    <row r="533" spans="1:4" ht="13.5" thickBot="1">
      <c r="A533" s="111"/>
      <c r="B533" s="111"/>
      <c r="C533" s="111"/>
      <c r="D533" s="126"/>
    </row>
    <row r="534" spans="1:4" ht="13.5" thickBot="1">
      <c r="A534" s="111"/>
      <c r="B534" s="111"/>
      <c r="C534" s="111"/>
      <c r="D534" s="126"/>
    </row>
    <row r="535" spans="1:4" ht="13.5" thickBot="1">
      <c r="A535" s="111"/>
      <c r="B535" s="111"/>
      <c r="C535" s="111"/>
      <c r="D535" s="126"/>
    </row>
    <row r="536" spans="1:4" ht="13.5" thickBot="1">
      <c r="A536" s="111"/>
      <c r="B536" s="111"/>
      <c r="C536" s="111"/>
      <c r="D536" s="126"/>
    </row>
    <row r="537" spans="1:4" ht="13.5" thickBot="1">
      <c r="A537" s="111"/>
      <c r="B537" s="111"/>
      <c r="C537" s="111"/>
      <c r="D537" s="126"/>
    </row>
    <row r="538" spans="1:4" ht="13.5" thickBot="1">
      <c r="A538" s="111"/>
      <c r="B538" s="111"/>
      <c r="C538" s="111"/>
      <c r="D538" s="126"/>
    </row>
    <row r="539" spans="1:4" ht="13.5" thickBot="1">
      <c r="A539" s="111"/>
      <c r="B539" s="111"/>
      <c r="C539" s="111"/>
      <c r="D539" s="126"/>
    </row>
    <row r="540" spans="1:4" ht="13.5" thickBot="1">
      <c r="A540" s="111"/>
      <c r="B540" s="111"/>
      <c r="C540" s="111"/>
      <c r="D540" s="126"/>
    </row>
    <row r="541" spans="1:4" ht="13.5" thickBot="1">
      <c r="A541" s="111"/>
      <c r="B541" s="111"/>
      <c r="C541" s="111"/>
      <c r="D541" s="126"/>
    </row>
    <row r="542" spans="1:4" ht="13.5" thickBot="1">
      <c r="A542" s="111"/>
      <c r="B542" s="111"/>
      <c r="C542" s="111"/>
      <c r="D542" s="126"/>
    </row>
    <row r="543" spans="1:4" ht="13.5" thickBot="1">
      <c r="A543" s="111"/>
      <c r="B543" s="111"/>
      <c r="C543" s="111"/>
      <c r="D543" s="126"/>
    </row>
    <row r="544" spans="1:4" ht="13.5" thickBot="1">
      <c r="A544" s="111"/>
      <c r="B544" s="111"/>
      <c r="C544" s="111"/>
      <c r="D544" s="126"/>
    </row>
    <row r="545" spans="1:4" ht="13.5" thickBot="1">
      <c r="A545" s="111"/>
      <c r="B545" s="111"/>
      <c r="C545" s="111"/>
      <c r="D545" s="126"/>
    </row>
    <row r="546" spans="1:4" ht="13.5" thickBot="1">
      <c r="A546" s="111"/>
      <c r="B546" s="111"/>
      <c r="C546" s="111"/>
      <c r="D546" s="126"/>
    </row>
    <row r="547" spans="1:4" ht="13.5" thickBot="1">
      <c r="A547" s="111"/>
      <c r="B547" s="111"/>
      <c r="C547" s="111"/>
      <c r="D547" s="126"/>
    </row>
    <row r="548" spans="1:4" ht="13.5" thickBot="1">
      <c r="A548" s="111"/>
      <c r="B548" s="111"/>
      <c r="C548" s="111"/>
      <c r="D548" s="126"/>
    </row>
    <row r="549" spans="1:4" ht="13.5" thickBot="1">
      <c r="A549" s="111"/>
      <c r="B549" s="111"/>
      <c r="C549" s="111"/>
      <c r="D549" s="126"/>
    </row>
    <row r="550" spans="1:4" ht="13.5" thickBot="1">
      <c r="A550" s="111"/>
      <c r="B550" s="111"/>
      <c r="C550" s="111"/>
      <c r="D550" s="126"/>
    </row>
    <row r="551" spans="1:4" ht="13.5" thickBot="1">
      <c r="A551" s="111"/>
      <c r="B551" s="111"/>
      <c r="C551" s="111"/>
      <c r="D551" s="126"/>
    </row>
    <row r="552" spans="1:4" ht="13.5" thickBot="1">
      <c r="A552" s="111"/>
      <c r="B552" s="111"/>
      <c r="C552" s="111"/>
      <c r="D552" s="126"/>
    </row>
    <row r="553" spans="1:4" ht="13.5" thickBot="1">
      <c r="A553" s="111"/>
      <c r="B553" s="111"/>
      <c r="C553" s="111"/>
      <c r="D553" s="126"/>
    </row>
    <row r="554" spans="1:4" ht="13.5" thickBot="1">
      <c r="A554" s="111"/>
      <c r="B554" s="111"/>
      <c r="C554" s="111"/>
      <c r="D554" s="126"/>
    </row>
    <row r="555" spans="1:4" ht="13.5" thickBot="1">
      <c r="A555" s="111"/>
      <c r="B555" s="111"/>
      <c r="C555" s="111"/>
      <c r="D555" s="126"/>
    </row>
    <row r="556" spans="1:4" ht="13.5" thickBot="1">
      <c r="A556" s="111"/>
      <c r="B556" s="111"/>
      <c r="C556" s="111"/>
      <c r="D556" s="126"/>
    </row>
    <row r="557" spans="1:4" ht="13.5" thickBot="1">
      <c r="A557" s="111"/>
      <c r="B557" s="111"/>
      <c r="C557" s="111"/>
      <c r="D557" s="126"/>
    </row>
    <row r="558" spans="1:4" ht="13.5" thickBot="1">
      <c r="A558" s="111"/>
      <c r="B558" s="111"/>
      <c r="C558" s="111"/>
      <c r="D558" s="126"/>
    </row>
    <row r="559" spans="1:4" ht="13.5" thickBot="1">
      <c r="A559" s="111"/>
      <c r="B559" s="111"/>
      <c r="C559" s="111"/>
      <c r="D559" s="126"/>
    </row>
    <row r="560" spans="1:4" ht="13.5" thickBot="1">
      <c r="A560" s="111"/>
      <c r="B560" s="111"/>
      <c r="C560" s="111"/>
      <c r="D560" s="126"/>
    </row>
    <row r="561" spans="1:4" ht="13.5" thickBot="1">
      <c r="A561" s="111"/>
      <c r="B561" s="111"/>
      <c r="C561" s="111"/>
      <c r="D561" s="126"/>
    </row>
    <row r="562" spans="1:4" ht="13.5" thickBot="1">
      <c r="A562" s="111"/>
      <c r="B562" s="111"/>
      <c r="C562" s="111"/>
      <c r="D562" s="126"/>
    </row>
    <row r="563" spans="1:4" ht="13.5" thickBot="1">
      <c r="A563" s="111"/>
      <c r="B563" s="111"/>
      <c r="C563" s="111"/>
      <c r="D563" s="126"/>
    </row>
    <row r="564" spans="1:4" ht="13.5" thickBot="1">
      <c r="A564" s="111"/>
      <c r="B564" s="111"/>
      <c r="C564" s="111"/>
      <c r="D564" s="126"/>
    </row>
    <row r="565" spans="1:4" ht="13.5" thickBot="1">
      <c r="A565" s="111"/>
      <c r="B565" s="111"/>
      <c r="C565" s="111"/>
      <c r="D565" s="126"/>
    </row>
    <row r="566" spans="1:4" ht="13.5" thickBot="1">
      <c r="A566" s="111"/>
      <c r="B566" s="111"/>
      <c r="C566" s="111"/>
      <c r="D566" s="126"/>
    </row>
    <row r="567" spans="1:4" ht="13.5" thickBot="1">
      <c r="A567" s="111"/>
      <c r="B567" s="111"/>
      <c r="C567" s="111"/>
      <c r="D567" s="126"/>
    </row>
    <row r="568" spans="1:4" ht="13.5" thickBot="1">
      <c r="A568" s="111"/>
      <c r="B568" s="111"/>
      <c r="C568" s="111"/>
      <c r="D568" s="126"/>
    </row>
    <row r="569" spans="1:4" ht="13.5" thickBot="1">
      <c r="A569" s="111"/>
      <c r="B569" s="111"/>
      <c r="C569" s="111"/>
      <c r="D569" s="126"/>
    </row>
    <row r="570" spans="1:4" ht="13.5" thickBot="1">
      <c r="A570" s="111"/>
      <c r="B570" s="111"/>
      <c r="C570" s="111"/>
      <c r="D570" s="126"/>
    </row>
    <row r="571" spans="1:4" ht="13.5" thickBot="1">
      <c r="A571" s="111"/>
      <c r="B571" s="111"/>
      <c r="C571" s="111"/>
      <c r="D571" s="126"/>
    </row>
    <row r="572" spans="1:4" ht="13.5" thickBot="1">
      <c r="A572" s="111"/>
      <c r="B572" s="111"/>
      <c r="C572" s="111"/>
      <c r="D572" s="126"/>
    </row>
    <row r="573" spans="1:4" ht="13.5" thickBot="1">
      <c r="A573" s="111"/>
      <c r="B573" s="111"/>
      <c r="C573" s="111"/>
      <c r="D573" s="126"/>
    </row>
    <row r="574" spans="1:4" ht="13.5" thickBot="1">
      <c r="A574" s="111"/>
      <c r="B574" s="111"/>
      <c r="C574" s="111"/>
      <c r="D574" s="126"/>
    </row>
    <row r="575" spans="1:4" ht="13.5" thickBot="1">
      <c r="A575" s="111"/>
      <c r="B575" s="111"/>
      <c r="C575" s="111"/>
      <c r="D575" s="126"/>
    </row>
    <row r="576" spans="1:4" ht="13.5" thickBot="1">
      <c r="A576" s="111"/>
      <c r="B576" s="111"/>
      <c r="C576" s="111"/>
      <c r="D576" s="126"/>
    </row>
    <row r="577" spans="1:4" ht="13.5" thickBot="1">
      <c r="A577" s="111"/>
      <c r="B577" s="111"/>
      <c r="C577" s="111"/>
      <c r="D577" s="126"/>
    </row>
    <row r="578" spans="1:4" ht="13.5" thickBot="1">
      <c r="A578" s="111"/>
      <c r="B578" s="111"/>
      <c r="C578" s="111"/>
      <c r="D578" s="126"/>
    </row>
    <row r="579" spans="1:4" ht="13.5" thickBot="1">
      <c r="A579" s="111"/>
      <c r="B579" s="111"/>
      <c r="C579" s="111"/>
      <c r="D579" s="126"/>
    </row>
    <row r="580" spans="1:4" ht="13.5" thickBot="1">
      <c r="A580" s="111"/>
      <c r="B580" s="111"/>
      <c r="C580" s="111"/>
      <c r="D580" s="126"/>
    </row>
    <row r="581" spans="1:4" ht="13.5" thickBot="1">
      <c r="A581" s="111"/>
      <c r="B581" s="111"/>
      <c r="C581" s="111"/>
      <c r="D581" s="126"/>
    </row>
    <row r="582" spans="1:4" ht="13.5" thickBot="1">
      <c r="A582" s="111"/>
      <c r="B582" s="111"/>
      <c r="C582" s="111"/>
      <c r="D582" s="126"/>
    </row>
    <row r="583" spans="1:4" ht="13.5" thickBot="1">
      <c r="A583" s="111"/>
      <c r="B583" s="111"/>
      <c r="C583" s="111"/>
      <c r="D583" s="126"/>
    </row>
    <row r="584" spans="1:4" ht="13.5" thickBot="1">
      <c r="A584" s="111"/>
      <c r="B584" s="111"/>
      <c r="C584" s="111"/>
      <c r="D584" s="126"/>
    </row>
    <row r="585" spans="1:4" ht="13.5" thickBot="1">
      <c r="A585" s="111"/>
      <c r="B585" s="111"/>
      <c r="C585" s="111"/>
      <c r="D585" s="126"/>
    </row>
    <row r="586" spans="1:4" ht="13.5" thickBot="1">
      <c r="A586" s="111"/>
      <c r="B586" s="111"/>
      <c r="C586" s="111"/>
      <c r="D586" s="126"/>
    </row>
    <row r="587" spans="1:4" ht="13.5" thickBot="1">
      <c r="A587" s="111"/>
      <c r="B587" s="111"/>
      <c r="C587" s="111"/>
      <c r="D587" s="126"/>
    </row>
    <row r="588" spans="1:4" ht="13.5" thickBot="1">
      <c r="A588" s="111"/>
      <c r="B588" s="111"/>
      <c r="C588" s="111"/>
      <c r="D588" s="126"/>
    </row>
    <row r="589" spans="1:4" ht="13.5" thickBot="1">
      <c r="A589" s="111"/>
      <c r="B589" s="111"/>
      <c r="C589" s="111"/>
      <c r="D589" s="126"/>
    </row>
    <row r="590" spans="1:4" ht="13.5" thickBot="1">
      <c r="A590" s="111"/>
      <c r="B590" s="111"/>
      <c r="C590" s="111"/>
      <c r="D590" s="126"/>
    </row>
    <row r="591" spans="1:4" ht="13.5" thickBot="1">
      <c r="A591" s="111"/>
      <c r="B591" s="111"/>
      <c r="C591" s="111"/>
      <c r="D591" s="126"/>
    </row>
    <row r="592" spans="1:4" ht="13.5" thickBot="1">
      <c r="A592" s="111"/>
      <c r="B592" s="111"/>
      <c r="C592" s="111"/>
      <c r="D592" s="126"/>
    </row>
    <row r="593" spans="1:4" ht="13.5" thickBot="1">
      <c r="A593" s="111"/>
      <c r="B593" s="111"/>
      <c r="C593" s="111"/>
      <c r="D593" s="126"/>
    </row>
    <row r="594" spans="1:4" ht="13.5" thickBot="1">
      <c r="A594" s="111"/>
      <c r="B594" s="111"/>
      <c r="C594" s="111"/>
      <c r="D594" s="126"/>
    </row>
    <row r="595" spans="1:4" ht="13.5" thickBot="1">
      <c r="A595" s="111"/>
      <c r="B595" s="111"/>
      <c r="C595" s="111"/>
      <c r="D595" s="126"/>
    </row>
    <row r="596" spans="1:4" ht="13.5" thickBot="1">
      <c r="A596" s="111"/>
      <c r="B596" s="111"/>
      <c r="C596" s="111"/>
      <c r="D596" s="126"/>
    </row>
    <row r="597" spans="1:4" ht="13.5" thickBot="1">
      <c r="A597" s="111"/>
      <c r="B597" s="111"/>
      <c r="C597" s="111"/>
      <c r="D597" s="126"/>
    </row>
    <row r="598" spans="1:4" ht="13.5" thickBot="1">
      <c r="A598" s="111"/>
      <c r="B598" s="111"/>
      <c r="C598" s="111"/>
      <c r="D598" s="126"/>
    </row>
    <row r="599" spans="1:4" ht="13.5" thickBot="1">
      <c r="A599" s="111"/>
      <c r="B599" s="111"/>
      <c r="C599" s="111"/>
      <c r="D599" s="126"/>
    </row>
    <row r="600" spans="1:4" ht="13.5" thickBot="1">
      <c r="A600" s="111"/>
      <c r="B600" s="111"/>
      <c r="C600" s="111"/>
      <c r="D600" s="126"/>
    </row>
    <row r="601" spans="1:4" ht="13.5" thickBot="1">
      <c r="A601" s="111"/>
      <c r="B601" s="111"/>
      <c r="C601" s="111"/>
      <c r="D601" s="126"/>
    </row>
    <row r="602" spans="1:4" ht="13.5" thickBot="1">
      <c r="A602" s="111"/>
      <c r="B602" s="111"/>
      <c r="C602" s="111"/>
      <c r="D602" s="126"/>
    </row>
    <row r="603" spans="1:4" ht="13.5" thickBot="1">
      <c r="A603" s="111"/>
      <c r="B603" s="111"/>
      <c r="C603" s="111"/>
      <c r="D603" s="126"/>
    </row>
    <row r="604" spans="1:4" ht="13.5" thickBot="1">
      <c r="A604" s="111"/>
      <c r="B604" s="111"/>
      <c r="C604" s="111"/>
      <c r="D604" s="126"/>
    </row>
    <row r="605" spans="1:4" ht="13.5" thickBot="1">
      <c r="A605" s="111"/>
      <c r="B605" s="111"/>
      <c r="C605" s="111"/>
      <c r="D605" s="126"/>
    </row>
    <row r="606" spans="1:4" ht="13.5" thickBot="1">
      <c r="A606" s="111"/>
      <c r="B606" s="111"/>
      <c r="C606" s="111"/>
      <c r="D606" s="126"/>
    </row>
    <row r="607" spans="1:4" ht="13.5" thickBot="1">
      <c r="A607" s="111"/>
      <c r="B607" s="111"/>
      <c r="C607" s="111"/>
      <c r="D607" s="126"/>
    </row>
    <row r="608" spans="1:4" ht="13.5" thickBot="1">
      <c r="A608" s="111"/>
      <c r="B608" s="111"/>
      <c r="C608" s="111"/>
      <c r="D608" s="126"/>
    </row>
    <row r="609" spans="1:4" ht="13.5" thickBot="1">
      <c r="A609" s="111"/>
      <c r="B609" s="111"/>
      <c r="C609" s="111"/>
      <c r="D609" s="126"/>
    </row>
    <row r="610" spans="1:4" ht="13.5" thickBot="1">
      <c r="A610" s="111"/>
      <c r="B610" s="111"/>
      <c r="C610" s="111"/>
      <c r="D610" s="126"/>
    </row>
    <row r="611" spans="1:4" ht="13.5" thickBot="1">
      <c r="A611" s="111"/>
      <c r="B611" s="111"/>
      <c r="C611" s="111"/>
      <c r="D611" s="126"/>
    </row>
    <row r="612" spans="1:4" ht="13.5" thickBot="1">
      <c r="A612" s="111"/>
      <c r="B612" s="111"/>
      <c r="C612" s="111"/>
      <c r="D612" s="126"/>
    </row>
    <row r="613" spans="1:4" ht="13.5" thickBot="1">
      <c r="A613" s="111"/>
      <c r="B613" s="111"/>
      <c r="C613" s="111"/>
      <c r="D613" s="126"/>
    </row>
    <row r="614" spans="1:4" ht="13.5" thickBot="1">
      <c r="A614" s="111"/>
      <c r="B614" s="111"/>
      <c r="C614" s="111"/>
      <c r="D614" s="126"/>
    </row>
    <row r="615" spans="1:4" ht="13.5" thickBot="1">
      <c r="A615" s="111"/>
      <c r="B615" s="111"/>
      <c r="C615" s="111"/>
      <c r="D615" s="126"/>
    </row>
    <row r="616" spans="1:4" ht="13.5" thickBot="1">
      <c r="A616" s="111"/>
      <c r="B616" s="111"/>
      <c r="C616" s="111"/>
      <c r="D616" s="126"/>
    </row>
    <row r="617" spans="1:4" ht="13.5" thickBot="1">
      <c r="A617" s="111"/>
      <c r="B617" s="111"/>
      <c r="C617" s="111"/>
      <c r="D617" s="126"/>
    </row>
    <row r="618" spans="1:4" ht="13.5" thickBot="1">
      <c r="A618" s="111"/>
      <c r="B618" s="111"/>
      <c r="C618" s="111"/>
      <c r="D618" s="126"/>
    </row>
    <row r="619" spans="1:4" ht="13.5" thickBot="1">
      <c r="A619" s="111"/>
      <c r="B619" s="111"/>
      <c r="C619" s="111"/>
      <c r="D619" s="126"/>
    </row>
    <row r="620" spans="1:4" ht="13.5" thickBot="1">
      <c r="A620" s="111"/>
      <c r="B620" s="111"/>
      <c r="C620" s="111"/>
      <c r="D620" s="126"/>
    </row>
    <row r="621" spans="1:4" ht="13.5" thickBot="1">
      <c r="A621" s="111"/>
      <c r="B621" s="111"/>
      <c r="C621" s="111"/>
      <c r="D621" s="126"/>
    </row>
    <row r="622" spans="1:4" ht="13.5" thickBot="1">
      <c r="A622" s="111"/>
      <c r="B622" s="111"/>
      <c r="C622" s="111"/>
      <c r="D622" s="126"/>
    </row>
    <row r="623" spans="1:4" ht="13.5" thickBot="1">
      <c r="A623" s="111"/>
      <c r="B623" s="111"/>
      <c r="C623" s="111"/>
      <c r="D623" s="126"/>
    </row>
    <row r="624" spans="1:4" ht="13.5" thickBot="1">
      <c r="A624" s="111"/>
      <c r="B624" s="111"/>
      <c r="C624" s="111"/>
      <c r="D624" s="126"/>
    </row>
    <row r="625" spans="1:4" ht="13.5" thickBot="1">
      <c r="A625" s="111"/>
      <c r="B625" s="111"/>
      <c r="C625" s="111"/>
      <c r="D625" s="126"/>
    </row>
    <row r="626" spans="1:4" ht="13.5" thickBot="1">
      <c r="A626" s="111"/>
      <c r="B626" s="111"/>
      <c r="C626" s="111"/>
      <c r="D626" s="126"/>
    </row>
    <row r="627" spans="1:4" ht="13.5" thickBot="1">
      <c r="A627" s="111"/>
      <c r="B627" s="111"/>
      <c r="C627" s="111"/>
      <c r="D627" s="126"/>
    </row>
    <row r="628" spans="1:4" ht="13.5" thickBot="1">
      <c r="A628" s="111"/>
      <c r="B628" s="111"/>
      <c r="C628" s="111"/>
      <c r="D628" s="126"/>
    </row>
    <row r="629" spans="1:4" ht="13.5" thickBot="1">
      <c r="A629" s="111"/>
      <c r="B629" s="111"/>
      <c r="C629" s="111"/>
      <c r="D629" s="126"/>
    </row>
    <row r="630" spans="1:4" ht="13.5" thickBot="1">
      <c r="A630" s="111"/>
      <c r="B630" s="111"/>
      <c r="C630" s="111"/>
      <c r="D630" s="126"/>
    </row>
    <row r="631" spans="1:4" ht="13.5" thickBot="1">
      <c r="A631" s="111"/>
      <c r="B631" s="111"/>
      <c r="C631" s="111"/>
      <c r="D631" s="126"/>
    </row>
    <row r="632" spans="1:4" ht="13.5" thickBot="1">
      <c r="A632" s="111"/>
      <c r="B632" s="111"/>
      <c r="C632" s="111"/>
      <c r="D632" s="126"/>
    </row>
    <row r="633" spans="1:4" ht="13.5" thickBot="1">
      <c r="A633" s="111"/>
      <c r="B633" s="111"/>
      <c r="C633" s="111"/>
      <c r="D633" s="126"/>
    </row>
    <row r="634" spans="1:4" ht="13.5" thickBot="1">
      <c r="A634" s="111"/>
      <c r="B634" s="111"/>
      <c r="C634" s="111"/>
      <c r="D634" s="126"/>
    </row>
    <row r="635" spans="1:4" ht="13.5" thickBot="1">
      <c r="A635" s="111"/>
      <c r="B635" s="111"/>
      <c r="C635" s="111"/>
      <c r="D635" s="126"/>
    </row>
    <row r="636" spans="1:4" ht="13.5" thickBot="1">
      <c r="A636" s="111"/>
      <c r="B636" s="111"/>
      <c r="C636" s="111"/>
      <c r="D636" s="126"/>
    </row>
    <row r="637" spans="1:4" ht="13.5" thickBot="1">
      <c r="A637" s="111"/>
      <c r="B637" s="111"/>
      <c r="C637" s="111"/>
      <c r="D637" s="126"/>
    </row>
    <row r="638" spans="1:4" ht="13.5" thickBot="1">
      <c r="A638" s="111"/>
      <c r="B638" s="111"/>
      <c r="C638" s="111"/>
      <c r="D638" s="126"/>
    </row>
    <row r="639" spans="1:4" ht="13.5" thickBot="1">
      <c r="A639" s="111"/>
      <c r="B639" s="111"/>
      <c r="C639" s="111"/>
      <c r="D639" s="126"/>
    </row>
    <row r="640" spans="1:4" ht="13.5" thickBot="1">
      <c r="A640" s="111"/>
      <c r="B640" s="111"/>
      <c r="C640" s="111"/>
      <c r="D640" s="126"/>
    </row>
    <row r="641" spans="1:4" ht="13.5" thickBot="1">
      <c r="A641" s="111"/>
      <c r="B641" s="111"/>
      <c r="C641" s="111"/>
      <c r="D641" s="126"/>
    </row>
    <row r="642" spans="1:4" ht="13.5" thickBot="1">
      <c r="A642" s="111"/>
      <c r="B642" s="111"/>
      <c r="C642" s="111"/>
      <c r="D642" s="126"/>
    </row>
    <row r="643" spans="1:4" ht="13.5" thickBot="1">
      <c r="A643" s="111"/>
      <c r="B643" s="111"/>
      <c r="C643" s="111"/>
      <c r="D643" s="126"/>
    </row>
    <row r="644" spans="1:4" ht="13.5" thickBot="1">
      <c r="A644" s="111"/>
      <c r="B644" s="111"/>
      <c r="C644" s="111"/>
      <c r="D644" s="126"/>
    </row>
    <row r="645" spans="1:4" ht="13.5" thickBot="1">
      <c r="A645" s="111"/>
      <c r="B645" s="111"/>
      <c r="C645" s="111"/>
      <c r="D645" s="126"/>
    </row>
    <row r="646" spans="1:4" ht="13.5" thickBot="1">
      <c r="A646" s="111"/>
      <c r="B646" s="111"/>
      <c r="C646" s="111"/>
      <c r="D646" s="126"/>
    </row>
    <row r="647" spans="1:4" ht="13.5" thickBot="1">
      <c r="A647" s="111"/>
      <c r="B647" s="111"/>
      <c r="C647" s="111"/>
      <c r="D647" s="126"/>
    </row>
    <row r="648" spans="1:4" ht="13.5" thickBot="1">
      <c r="A648" s="111"/>
      <c r="B648" s="111"/>
      <c r="C648" s="111"/>
      <c r="D648" s="126"/>
    </row>
    <row r="649" spans="1:4" ht="13.5" thickBot="1">
      <c r="A649" s="111"/>
      <c r="B649" s="111"/>
      <c r="C649" s="111"/>
      <c r="D649" s="126"/>
    </row>
    <row r="650" spans="1:4" ht="13.5" thickBot="1">
      <c r="A650" s="111"/>
      <c r="B650" s="111"/>
      <c r="C650" s="111"/>
      <c r="D650" s="126"/>
    </row>
    <row r="651" spans="1:4" ht="13.5" thickBot="1">
      <c r="A651" s="111"/>
      <c r="B651" s="111"/>
      <c r="C651" s="111"/>
      <c r="D651" s="126"/>
    </row>
    <row r="652" spans="1:4" ht="13.5" thickBot="1">
      <c r="A652" s="111"/>
      <c r="B652" s="111"/>
      <c r="C652" s="111"/>
      <c r="D652" s="126"/>
    </row>
    <row r="653" spans="1:4" ht="13.5" thickBot="1">
      <c r="A653" s="111"/>
      <c r="B653" s="111"/>
      <c r="C653" s="111"/>
      <c r="D653" s="126"/>
    </row>
    <row r="654" spans="1:4" ht="13.5" thickBot="1">
      <c r="A654" s="111"/>
      <c r="B654" s="111"/>
      <c r="C654" s="111"/>
      <c r="D654" s="126"/>
    </row>
    <row r="655" spans="1:4" ht="13.5" thickBot="1">
      <c r="A655" s="111"/>
      <c r="B655" s="111"/>
      <c r="C655" s="111"/>
      <c r="D655" s="126"/>
    </row>
    <row r="656" spans="1:4" ht="13.5" thickBot="1">
      <c r="A656" s="111"/>
      <c r="B656" s="111"/>
      <c r="C656" s="111"/>
      <c r="D656" s="126"/>
    </row>
    <row r="657" spans="1:4" ht="13.5" thickBot="1">
      <c r="A657" s="111"/>
      <c r="B657" s="111"/>
      <c r="C657" s="111"/>
      <c r="D657" s="126"/>
    </row>
    <row r="658" spans="1:4" ht="13.5" thickBot="1">
      <c r="A658" s="111"/>
      <c r="B658" s="111"/>
      <c r="C658" s="111"/>
      <c r="D658" s="126"/>
    </row>
    <row r="659" spans="1:4" ht="13.5" thickBot="1">
      <c r="A659" s="111"/>
      <c r="B659" s="111"/>
      <c r="C659" s="111"/>
      <c r="D659" s="126"/>
    </row>
    <row r="660" spans="1:4" ht="13.5" thickBot="1">
      <c r="A660" s="111"/>
      <c r="B660" s="111"/>
      <c r="C660" s="111"/>
      <c r="D660" s="126"/>
    </row>
    <row r="661" spans="1:4" ht="13.5" thickBot="1">
      <c r="A661" s="111"/>
      <c r="B661" s="111"/>
      <c r="C661" s="111"/>
      <c r="D661" s="126"/>
    </row>
    <row r="662" spans="1:4" ht="13.5" thickBot="1">
      <c r="A662" s="111"/>
      <c r="B662" s="111"/>
      <c r="C662" s="111"/>
      <c r="D662" s="126"/>
    </row>
    <row r="663" spans="1:4" ht="13.5" thickBot="1">
      <c r="A663" s="111"/>
      <c r="B663" s="111"/>
      <c r="C663" s="111"/>
      <c r="D663" s="126"/>
    </row>
    <row r="664" spans="1:4" ht="13.5" thickBot="1">
      <c r="A664" s="111"/>
      <c r="B664" s="111"/>
      <c r="C664" s="111"/>
      <c r="D664" s="126"/>
    </row>
    <row r="665" spans="1:4" ht="13.5" thickBot="1">
      <c r="A665" s="111"/>
      <c r="B665" s="111"/>
      <c r="C665" s="111"/>
      <c r="D665" s="126"/>
    </row>
    <row r="666" spans="1:4" ht="13.5" thickBot="1">
      <c r="A666" s="111"/>
      <c r="B666" s="111"/>
      <c r="C666" s="111"/>
      <c r="D666" s="126"/>
    </row>
    <row r="667" spans="1:4" ht="13.5" thickBot="1">
      <c r="A667" s="111"/>
      <c r="B667" s="111"/>
      <c r="C667" s="111"/>
      <c r="D667" s="126"/>
    </row>
    <row r="668" spans="1:4" ht="13.5" thickBot="1">
      <c r="A668" s="111"/>
      <c r="B668" s="111"/>
      <c r="C668" s="111"/>
      <c r="D668" s="126"/>
    </row>
    <row r="669" spans="1:4" ht="13.5" thickBot="1">
      <c r="A669" s="111"/>
      <c r="B669" s="111"/>
      <c r="C669" s="111"/>
      <c r="D669" s="126"/>
    </row>
    <row r="670" spans="1:4" ht="13.5" thickBot="1">
      <c r="A670" s="111"/>
      <c r="B670" s="111"/>
      <c r="C670" s="111"/>
      <c r="D670" s="126"/>
    </row>
    <row r="671" spans="1:4" ht="13.5" thickBot="1">
      <c r="A671" s="111"/>
      <c r="B671" s="111"/>
      <c r="C671" s="111"/>
      <c r="D671" s="126"/>
    </row>
    <row r="672" spans="1:4" ht="13.5" thickBot="1">
      <c r="A672" s="111"/>
      <c r="B672" s="111"/>
      <c r="C672" s="111"/>
      <c r="D672" s="126"/>
    </row>
    <row r="673" spans="1:4" ht="13.5" thickBot="1">
      <c r="A673" s="111"/>
      <c r="B673" s="111"/>
      <c r="C673" s="111"/>
      <c r="D673" s="126"/>
    </row>
    <row r="674" spans="1:4" ht="13.5" thickBot="1">
      <c r="A674" s="111"/>
      <c r="B674" s="111"/>
      <c r="C674" s="111"/>
      <c r="D674" s="126"/>
    </row>
    <row r="675" spans="1:4" ht="13.5" thickBot="1">
      <c r="A675" s="111"/>
      <c r="B675" s="111"/>
      <c r="C675" s="111"/>
      <c r="D675" s="126"/>
    </row>
    <row r="676" spans="1:4" ht="13.5" thickBot="1">
      <c r="A676" s="111"/>
      <c r="B676" s="111"/>
      <c r="C676" s="111"/>
      <c r="D676" s="126"/>
    </row>
    <row r="677" spans="1:4" ht="13.5" thickBot="1">
      <c r="A677" s="111"/>
      <c r="B677" s="111"/>
      <c r="C677" s="111"/>
      <c r="D677" s="126"/>
    </row>
    <row r="678" spans="1:4" ht="13.5" thickBot="1">
      <c r="A678" s="111"/>
      <c r="B678" s="111"/>
      <c r="C678" s="111"/>
      <c r="D678" s="126"/>
    </row>
    <row r="679" spans="1:4" ht="13.5" thickBot="1">
      <c r="A679" s="111"/>
      <c r="B679" s="111"/>
      <c r="C679" s="111"/>
      <c r="D679" s="126"/>
    </row>
    <row r="680" spans="1:4" ht="13.5" thickBot="1">
      <c r="A680" s="111"/>
      <c r="B680" s="111"/>
      <c r="C680" s="111"/>
      <c r="D680" s="126"/>
    </row>
    <row r="681" spans="1:4" ht="13.5" thickBot="1">
      <c r="A681" s="111"/>
      <c r="B681" s="111"/>
      <c r="C681" s="111"/>
      <c r="D681" s="126"/>
    </row>
    <row r="682" spans="1:4" ht="13.5" thickBot="1">
      <c r="A682" s="111"/>
      <c r="B682" s="111"/>
      <c r="C682" s="111"/>
      <c r="D682" s="126"/>
    </row>
    <row r="683" spans="1:4" ht="13.5" thickBot="1">
      <c r="A683" s="111"/>
      <c r="B683" s="111"/>
      <c r="C683" s="111"/>
      <c r="D683" s="126"/>
    </row>
    <row r="684" spans="1:4" ht="13.5" thickBot="1">
      <c r="A684" s="111"/>
      <c r="B684" s="111"/>
      <c r="C684" s="111"/>
      <c r="D684" s="126"/>
    </row>
    <row r="685" spans="1:4" ht="13.5" thickBot="1">
      <c r="A685" s="111"/>
      <c r="B685" s="111"/>
      <c r="C685" s="111"/>
      <c r="D685" s="126"/>
    </row>
    <row r="686" spans="1:4" ht="13.5" thickBot="1">
      <c r="A686" s="111"/>
      <c r="B686" s="111"/>
      <c r="C686" s="111"/>
      <c r="D686" s="126"/>
    </row>
    <row r="687" spans="1:4" ht="13.5" thickBot="1">
      <c r="A687" s="111"/>
      <c r="B687" s="111"/>
      <c r="C687" s="111"/>
      <c r="D687" s="126"/>
    </row>
    <row r="688" spans="1:4" ht="13.5" thickBot="1">
      <c r="A688" s="111"/>
      <c r="B688" s="111"/>
      <c r="C688" s="111"/>
      <c r="D688" s="126"/>
    </row>
    <row r="689" spans="1:4" ht="13.5" thickBot="1">
      <c r="A689" s="111"/>
      <c r="B689" s="111"/>
      <c r="C689" s="111"/>
      <c r="D689" s="126"/>
    </row>
    <row r="690" spans="1:4" ht="13.5" thickBot="1">
      <c r="A690" s="111"/>
      <c r="B690" s="111"/>
      <c r="C690" s="111"/>
      <c r="D690" s="126"/>
    </row>
    <row r="691" spans="1:4" ht="13.5" thickBot="1">
      <c r="A691" s="111"/>
      <c r="B691" s="111"/>
      <c r="C691" s="111"/>
      <c r="D691" s="126"/>
    </row>
    <row r="692" spans="1:4" ht="13.5" thickBot="1">
      <c r="A692" s="111"/>
      <c r="B692" s="111"/>
      <c r="C692" s="111"/>
      <c r="D692" s="126"/>
    </row>
    <row r="693" spans="1:4" ht="13.5" thickBot="1">
      <c r="A693" s="111"/>
      <c r="B693" s="111"/>
      <c r="C693" s="111"/>
      <c r="D693" s="126"/>
    </row>
    <row r="694" spans="1:4" ht="13.5" thickBot="1">
      <c r="A694" s="111"/>
      <c r="B694" s="111"/>
      <c r="C694" s="111"/>
      <c r="D694" s="126"/>
    </row>
    <row r="695" spans="1:4" ht="13.5" thickBot="1">
      <c r="A695" s="111"/>
      <c r="B695" s="111"/>
      <c r="C695" s="111"/>
      <c r="D695" s="126"/>
    </row>
    <row r="696" spans="1:4" ht="13.5" thickBot="1">
      <c r="A696" s="111"/>
      <c r="B696" s="111"/>
      <c r="C696" s="111"/>
      <c r="D696" s="126"/>
    </row>
    <row r="697" spans="1:4" ht="13.5" thickBot="1">
      <c r="A697" s="111"/>
      <c r="B697" s="111"/>
      <c r="C697" s="111"/>
      <c r="D697" s="126"/>
    </row>
    <row r="698" spans="1:4" ht="13.5" thickBot="1">
      <c r="A698" s="111"/>
      <c r="B698" s="111"/>
      <c r="C698" s="111"/>
      <c r="D698" s="126"/>
    </row>
    <row r="699" spans="1:4" ht="13.5" thickBot="1">
      <c r="A699" s="111"/>
      <c r="B699" s="111"/>
      <c r="C699" s="111"/>
      <c r="D699" s="126"/>
    </row>
    <row r="700" spans="1:4" ht="13.5" thickBot="1">
      <c r="A700" s="111"/>
      <c r="B700" s="111"/>
      <c r="C700" s="111"/>
      <c r="D700" s="126"/>
    </row>
    <row r="701" spans="1:4" ht="13.5" thickBot="1">
      <c r="A701" s="111"/>
      <c r="B701" s="111"/>
      <c r="C701" s="111"/>
      <c r="D701" s="126"/>
    </row>
    <row r="702" spans="1:4" ht="13.5" thickBot="1">
      <c r="A702" s="111"/>
      <c r="B702" s="111"/>
      <c r="C702" s="111"/>
      <c r="D702" s="126"/>
    </row>
    <row r="703" spans="1:4" ht="13.5" thickBot="1">
      <c r="A703" s="111"/>
      <c r="B703" s="111"/>
      <c r="C703" s="111"/>
      <c r="D703" s="126"/>
    </row>
    <row r="704" spans="1:4" ht="13.5" thickBot="1">
      <c r="A704" s="111"/>
      <c r="B704" s="111"/>
      <c r="C704" s="111"/>
      <c r="D704" s="126"/>
    </row>
    <row r="705" spans="1:4" ht="13.5" thickBot="1">
      <c r="A705" s="111"/>
      <c r="B705" s="111"/>
      <c r="C705" s="111"/>
      <c r="D705" s="126"/>
    </row>
    <row r="706" spans="1:4" ht="13.5" thickBot="1">
      <c r="A706" s="111"/>
      <c r="B706" s="111"/>
      <c r="C706" s="111"/>
      <c r="D706" s="126"/>
    </row>
    <row r="707" spans="1:4" ht="13.5" thickBot="1">
      <c r="A707" s="111"/>
      <c r="B707" s="111"/>
      <c r="C707" s="111"/>
      <c r="D707" s="126"/>
    </row>
    <row r="708" spans="1:4" ht="13.5" thickBot="1">
      <c r="A708" s="111"/>
      <c r="B708" s="111"/>
      <c r="C708" s="111"/>
      <c r="D708" s="126"/>
    </row>
    <row r="709" spans="1:4" ht="13.5" thickBot="1">
      <c r="A709" s="111"/>
      <c r="B709" s="111"/>
      <c r="C709" s="111"/>
      <c r="D709" s="126"/>
    </row>
    <row r="710" spans="1:4" ht="13.5" thickBot="1">
      <c r="A710" s="111"/>
      <c r="B710" s="111"/>
      <c r="C710" s="111"/>
      <c r="D710" s="126"/>
    </row>
    <row r="711" spans="1:4" ht="13.5" thickBot="1">
      <c r="A711" s="111"/>
      <c r="B711" s="111"/>
      <c r="C711" s="111"/>
      <c r="D711" s="126"/>
    </row>
    <row r="712" spans="1:4" ht="13.5" thickBot="1">
      <c r="A712" s="111"/>
      <c r="B712" s="111"/>
      <c r="C712" s="111"/>
      <c r="D712" s="126"/>
    </row>
    <row r="713" spans="1:4" ht="13.5" thickBot="1">
      <c r="A713" s="111"/>
      <c r="B713" s="111"/>
      <c r="C713" s="111"/>
      <c r="D713" s="126"/>
    </row>
    <row r="714" spans="1:4" ht="13.5" thickBot="1">
      <c r="A714" s="111"/>
      <c r="B714" s="111"/>
      <c r="C714" s="111"/>
      <c r="D714" s="126"/>
    </row>
    <row r="715" spans="1:4" ht="13.5" thickBot="1">
      <c r="A715" s="111"/>
      <c r="B715" s="111"/>
      <c r="C715" s="111"/>
      <c r="D715" s="126"/>
    </row>
    <row r="716" spans="1:4" ht="13.5" thickBot="1">
      <c r="A716" s="111"/>
      <c r="B716" s="111"/>
      <c r="C716" s="111"/>
      <c r="D716" s="126"/>
    </row>
    <row r="717" spans="1:4" ht="13.5" thickBot="1">
      <c r="A717" s="111"/>
      <c r="B717" s="111"/>
      <c r="C717" s="111"/>
      <c r="D717" s="126"/>
    </row>
    <row r="718" spans="1:4" ht="13.5" thickBot="1">
      <c r="A718" s="111"/>
      <c r="B718" s="111"/>
      <c r="C718" s="111"/>
      <c r="D718" s="126"/>
    </row>
    <row r="719" spans="1:4" ht="13.5" thickBot="1">
      <c r="A719" s="111"/>
      <c r="B719" s="111"/>
      <c r="C719" s="111"/>
      <c r="D719" s="126"/>
    </row>
    <row r="720" spans="1:4" ht="13.5" thickBot="1">
      <c r="A720" s="111"/>
      <c r="B720" s="111"/>
      <c r="C720" s="111"/>
      <c r="D720" s="126"/>
    </row>
    <row r="721" spans="1:4" ht="13.5" thickBot="1">
      <c r="A721" s="111"/>
      <c r="B721" s="111"/>
      <c r="C721" s="111"/>
      <c r="D721" s="126"/>
    </row>
    <row r="722" spans="1:4" ht="13.5" thickBot="1">
      <c r="A722" s="111"/>
      <c r="B722" s="111"/>
      <c r="C722" s="111"/>
      <c r="D722" s="126"/>
    </row>
    <row r="723" spans="1:4" ht="13.5" thickBot="1">
      <c r="A723" s="111"/>
      <c r="B723" s="111"/>
      <c r="C723" s="111"/>
      <c r="D723" s="126"/>
    </row>
    <row r="724" spans="1:4" ht="13.5" thickBot="1">
      <c r="A724" s="111"/>
      <c r="B724" s="111"/>
      <c r="C724" s="111"/>
      <c r="D724" s="126"/>
    </row>
    <row r="725" spans="1:4" ht="13.5" thickBot="1">
      <c r="A725" s="111"/>
      <c r="B725" s="111"/>
      <c r="C725" s="111"/>
      <c r="D725" s="126"/>
    </row>
    <row r="726" spans="1:4" ht="13.5" thickBot="1">
      <c r="A726" s="111"/>
      <c r="B726" s="111"/>
      <c r="C726" s="111"/>
      <c r="D726" s="126"/>
    </row>
    <row r="727" spans="1:4" ht="13.5" thickBot="1">
      <c r="A727" s="111"/>
      <c r="B727" s="111"/>
      <c r="C727" s="111"/>
      <c r="D727" s="126"/>
    </row>
    <row r="728" spans="1:4" ht="13.5" thickBot="1">
      <c r="A728" s="111"/>
      <c r="B728" s="111"/>
      <c r="C728" s="111"/>
      <c r="D728" s="126"/>
    </row>
    <row r="729" spans="1:4" ht="13.5" thickBot="1">
      <c r="A729" s="111"/>
      <c r="B729" s="111"/>
      <c r="C729" s="111"/>
      <c r="D729" s="126"/>
    </row>
    <row r="730" spans="1:4" ht="13.5" thickBot="1">
      <c r="A730" s="111"/>
      <c r="B730" s="111"/>
      <c r="C730" s="111"/>
      <c r="D730" s="126"/>
    </row>
    <row r="731" spans="1:4" ht="13.5" thickBot="1">
      <c r="A731" s="111"/>
      <c r="B731" s="111"/>
      <c r="C731" s="111"/>
      <c r="D731" s="126"/>
    </row>
    <row r="732" spans="1:4" ht="13.5" thickBot="1">
      <c r="A732" s="111"/>
      <c r="B732" s="111"/>
      <c r="C732" s="111"/>
      <c r="D732" s="126"/>
    </row>
    <row r="733" spans="1:4" ht="13.5" thickBot="1">
      <c r="A733" s="111"/>
      <c r="B733" s="111"/>
      <c r="C733" s="111"/>
      <c r="D733" s="126"/>
    </row>
    <row r="734" spans="1:4" ht="13.5" thickBot="1">
      <c r="A734" s="111"/>
      <c r="B734" s="111"/>
      <c r="C734" s="111"/>
      <c r="D734" s="126"/>
    </row>
    <row r="735" spans="1:4" ht="13.5" thickBot="1">
      <c r="A735" s="111"/>
      <c r="B735" s="111"/>
      <c r="C735" s="111"/>
      <c r="D735" s="126"/>
    </row>
    <row r="736" spans="1:4" ht="13.5" thickBot="1">
      <c r="A736" s="111"/>
      <c r="B736" s="111"/>
      <c r="C736" s="111"/>
      <c r="D736" s="126"/>
    </row>
    <row r="737" spans="1:4" ht="13.5" thickBot="1">
      <c r="A737" s="111"/>
      <c r="B737" s="111"/>
      <c r="C737" s="111"/>
      <c r="D737" s="126"/>
    </row>
    <row r="738" spans="1:4" ht="13.5" thickBot="1">
      <c r="A738" s="111"/>
      <c r="B738" s="111"/>
      <c r="C738" s="111"/>
      <c r="D738" s="126"/>
    </row>
    <row r="739" spans="1:4" ht="13.5" thickBot="1">
      <c r="A739" s="111"/>
      <c r="B739" s="111"/>
      <c r="C739" s="111"/>
      <c r="D739" s="126"/>
    </row>
    <row r="740" spans="1:4" ht="13.5" thickBot="1">
      <c r="A740" s="111"/>
      <c r="B740" s="111"/>
      <c r="C740" s="111"/>
      <c r="D740" s="126"/>
    </row>
    <row r="741" spans="1:4" ht="13.5" thickBot="1">
      <c r="A741" s="111"/>
      <c r="B741" s="111"/>
      <c r="C741" s="111"/>
      <c r="D741" s="126"/>
    </row>
    <row r="742" spans="1:4" ht="13.5" thickBot="1">
      <c r="A742" s="111"/>
      <c r="B742" s="111"/>
      <c r="C742" s="111"/>
      <c r="D742" s="126"/>
    </row>
    <row r="743" spans="1:4" ht="13.5" thickBot="1">
      <c r="A743" s="111"/>
      <c r="B743" s="111"/>
      <c r="C743" s="111"/>
      <c r="D743" s="126"/>
    </row>
    <row r="744" spans="1:4" ht="13.5" thickBot="1">
      <c r="A744" s="111"/>
      <c r="B744" s="111"/>
      <c r="C744" s="111"/>
      <c r="D744" s="126"/>
    </row>
    <row r="745" spans="1:4" ht="13.5" thickBot="1">
      <c r="A745" s="111"/>
      <c r="B745" s="111"/>
      <c r="C745" s="111"/>
      <c r="D745" s="126"/>
    </row>
    <row r="746" spans="1:4" ht="13.5" thickBot="1">
      <c r="A746" s="111"/>
      <c r="B746" s="111"/>
      <c r="C746" s="111"/>
      <c r="D746" s="126"/>
    </row>
    <row r="747" spans="1:4" ht="13.5" thickBot="1">
      <c r="A747" s="111"/>
      <c r="B747" s="111"/>
      <c r="C747" s="111"/>
      <c r="D747" s="126"/>
    </row>
    <row r="748" spans="1:4" ht="13.5" thickBot="1">
      <c r="A748" s="111"/>
      <c r="B748" s="111"/>
      <c r="C748" s="111"/>
      <c r="D748" s="126"/>
    </row>
    <row r="749" spans="1:4" ht="13.5" thickBot="1">
      <c r="A749" s="111"/>
      <c r="B749" s="111"/>
      <c r="C749" s="111"/>
      <c r="D749" s="126"/>
    </row>
    <row r="750" spans="1:4" ht="13.5" thickBot="1">
      <c r="A750" s="111"/>
      <c r="B750" s="111"/>
      <c r="C750" s="111"/>
      <c r="D750" s="126"/>
    </row>
    <row r="751" spans="1:4" ht="13.5" thickBot="1">
      <c r="A751" s="111"/>
      <c r="B751" s="111"/>
      <c r="C751" s="111"/>
      <c r="D751" s="126"/>
    </row>
    <row r="752" spans="1:4" ht="13.5" thickBot="1">
      <c r="A752" s="111"/>
      <c r="B752" s="111"/>
      <c r="C752" s="111"/>
      <c r="D752" s="126"/>
    </row>
    <row r="753" spans="1:4" ht="13.5" thickBot="1">
      <c r="A753" s="111"/>
      <c r="B753" s="111"/>
      <c r="C753" s="111"/>
      <c r="D753" s="126"/>
    </row>
    <row r="754" spans="1:4" ht="13.5" thickBot="1">
      <c r="A754" s="111"/>
      <c r="B754" s="111"/>
      <c r="C754" s="111"/>
      <c r="D754" s="126"/>
    </row>
    <row r="755" spans="1:4" ht="13.5" thickBot="1">
      <c r="A755" s="111"/>
      <c r="B755" s="111"/>
      <c r="C755" s="111"/>
      <c r="D755" s="126"/>
    </row>
    <row r="756" spans="1:4" ht="13.5" thickBot="1">
      <c r="A756" s="111"/>
      <c r="B756" s="111"/>
      <c r="C756" s="111"/>
      <c r="D756" s="126"/>
    </row>
    <row r="757" spans="1:4" ht="13.5" thickBot="1">
      <c r="A757" s="111"/>
      <c r="B757" s="111"/>
      <c r="C757" s="111"/>
      <c r="D757" s="126"/>
    </row>
    <row r="758" spans="1:4" ht="13.5" thickBot="1">
      <c r="A758" s="111"/>
      <c r="B758" s="111"/>
      <c r="C758" s="111"/>
      <c r="D758" s="126"/>
    </row>
    <row r="759" spans="1:4" ht="13.5" thickBot="1">
      <c r="A759" s="111"/>
      <c r="B759" s="111"/>
      <c r="C759" s="111"/>
      <c r="D759" s="126"/>
    </row>
    <row r="760" spans="1:4" ht="13.5" thickBot="1">
      <c r="A760" s="111"/>
      <c r="B760" s="111"/>
      <c r="C760" s="111"/>
      <c r="D760" s="126"/>
    </row>
    <row r="761" spans="1:4" ht="13.5" thickBot="1">
      <c r="A761" s="111"/>
      <c r="B761" s="111"/>
      <c r="C761" s="111"/>
      <c r="D761" s="126"/>
    </row>
    <row r="762" spans="1:4" ht="13.5" thickBot="1">
      <c r="A762" s="111"/>
      <c r="B762" s="111"/>
      <c r="C762" s="111"/>
      <c r="D762" s="126"/>
    </row>
    <row r="763" spans="1:4" ht="13.5" thickBot="1">
      <c r="A763" s="111"/>
      <c r="B763" s="111"/>
      <c r="C763" s="111"/>
      <c r="D763" s="126"/>
    </row>
    <row r="764" spans="1:4" ht="13.5" thickBot="1">
      <c r="A764" s="111"/>
      <c r="B764" s="111"/>
      <c r="C764" s="111"/>
      <c r="D764" s="126"/>
    </row>
    <row r="765" spans="1:4" ht="13.5" thickBot="1">
      <c r="A765" s="111"/>
      <c r="B765" s="111"/>
      <c r="C765" s="111"/>
      <c r="D765" s="126"/>
    </row>
    <row r="766" spans="1:4" ht="13.5" thickBot="1">
      <c r="A766" s="111"/>
      <c r="B766" s="111"/>
      <c r="C766" s="111"/>
      <c r="D766" s="126"/>
    </row>
    <row r="767" spans="1:4" ht="13.5" thickBot="1">
      <c r="A767" s="111"/>
      <c r="B767" s="111"/>
      <c r="C767" s="111"/>
      <c r="D767" s="126"/>
    </row>
    <row r="768" spans="1:4" ht="13.5" thickBot="1">
      <c r="A768" s="111"/>
      <c r="B768" s="111"/>
      <c r="C768" s="111"/>
      <c r="D768" s="126"/>
    </row>
    <row r="769" spans="1:4" ht="13.5" thickBot="1">
      <c r="A769" s="111"/>
      <c r="B769" s="111"/>
      <c r="C769" s="111"/>
      <c r="D769" s="126"/>
    </row>
    <row r="770" spans="1:4" ht="13.5" thickBot="1">
      <c r="A770" s="111"/>
      <c r="B770" s="111"/>
      <c r="C770" s="111"/>
      <c r="D770" s="126"/>
    </row>
    <row r="771" spans="1:4" ht="13.5" thickBot="1">
      <c r="A771" s="111"/>
      <c r="B771" s="111"/>
      <c r="C771" s="111"/>
      <c r="D771" s="126"/>
    </row>
    <row r="772" spans="1:4" ht="13.5" thickBot="1">
      <c r="A772" s="111"/>
      <c r="B772" s="111"/>
      <c r="C772" s="111"/>
      <c r="D772" s="126"/>
    </row>
    <row r="773" spans="1:4" ht="13.5" thickBot="1">
      <c r="A773" s="111"/>
      <c r="B773" s="111"/>
      <c r="C773" s="111"/>
      <c r="D773" s="126"/>
    </row>
    <row r="774" spans="1:4" ht="13.5" thickBot="1">
      <c r="A774" s="111"/>
      <c r="B774" s="111"/>
      <c r="C774" s="111"/>
      <c r="D774" s="126"/>
    </row>
    <row r="775" spans="1:4" ht="13.5" thickBot="1">
      <c r="A775" s="111"/>
      <c r="B775" s="111"/>
      <c r="C775" s="111"/>
      <c r="D775" s="126"/>
    </row>
    <row r="776" spans="1:4" ht="13.5" thickBot="1">
      <c r="A776" s="111"/>
      <c r="B776" s="111"/>
      <c r="C776" s="111"/>
      <c r="D776" s="126"/>
    </row>
    <row r="777" spans="1:4" ht="13.5" thickBot="1">
      <c r="A777" s="111"/>
      <c r="B777" s="111"/>
      <c r="C777" s="111"/>
      <c r="D777" s="126"/>
    </row>
    <row r="778" spans="1:4" ht="13.5" thickBot="1">
      <c r="A778" s="111"/>
      <c r="B778" s="111"/>
      <c r="C778" s="111"/>
      <c r="D778" s="126"/>
    </row>
    <row r="779" spans="1:4" ht="13.5" thickBot="1">
      <c r="A779" s="111"/>
      <c r="B779" s="111"/>
      <c r="C779" s="111"/>
      <c r="D779" s="126"/>
    </row>
    <row r="780" spans="1:4" ht="13.5" thickBot="1">
      <c r="A780" s="111"/>
      <c r="B780" s="111"/>
      <c r="C780" s="111"/>
      <c r="D780" s="126"/>
    </row>
    <row r="781" spans="1:4" ht="13.5" thickBot="1">
      <c r="A781" s="111"/>
      <c r="B781" s="111"/>
      <c r="C781" s="111"/>
      <c r="D781" s="126"/>
    </row>
    <row r="782" spans="1:4" ht="13.5" thickBot="1">
      <c r="A782" s="111"/>
      <c r="B782" s="111"/>
      <c r="C782" s="111"/>
      <c r="D782" s="126"/>
    </row>
    <row r="783" spans="1:4" ht="13.5" thickBot="1">
      <c r="A783" s="111"/>
      <c r="B783" s="111"/>
      <c r="C783" s="111"/>
      <c r="D783" s="126"/>
    </row>
    <row r="784" spans="1:4" ht="13.5" thickBot="1">
      <c r="A784" s="111"/>
      <c r="B784" s="111"/>
      <c r="C784" s="111"/>
      <c r="D784" s="126"/>
    </row>
    <row r="785" spans="1:4" ht="13.5" thickBot="1">
      <c r="A785" s="111"/>
      <c r="B785" s="111"/>
      <c r="C785" s="111"/>
      <c r="D785" s="126"/>
    </row>
    <row r="786" spans="1:4" ht="13.5" thickBot="1">
      <c r="A786" s="111"/>
      <c r="B786" s="111"/>
      <c r="C786" s="111"/>
      <c r="D786" s="126"/>
    </row>
    <row r="787" spans="1:4" ht="13.5" thickBot="1">
      <c r="A787" s="111"/>
      <c r="B787" s="111"/>
      <c r="C787" s="111"/>
      <c r="D787" s="126"/>
    </row>
    <row r="788" spans="1:4" ht="13.5" thickBot="1">
      <c r="A788" s="111"/>
      <c r="B788" s="111"/>
      <c r="C788" s="111"/>
      <c r="D788" s="126"/>
    </row>
    <row r="789" spans="1:4" ht="13.5" thickBot="1">
      <c r="A789" s="111"/>
      <c r="B789" s="111"/>
      <c r="C789" s="111"/>
      <c r="D789" s="126"/>
    </row>
    <row r="790" spans="1:4" ht="13.5" thickBot="1">
      <c r="A790" s="111"/>
      <c r="B790" s="111"/>
      <c r="C790" s="111"/>
      <c r="D790" s="126"/>
    </row>
    <row r="791" spans="1:4" ht="13.5" thickBot="1">
      <c r="A791" s="111"/>
      <c r="B791" s="111"/>
      <c r="C791" s="111"/>
      <c r="D791" s="126"/>
    </row>
    <row r="792" spans="1:4" ht="13.5" thickBot="1">
      <c r="A792" s="111"/>
      <c r="B792" s="111"/>
      <c r="C792" s="111"/>
      <c r="D792" s="126"/>
    </row>
    <row r="793" spans="1:4" ht="13.5" thickBot="1">
      <c r="A793" s="111"/>
      <c r="B793" s="111"/>
      <c r="C793" s="111"/>
      <c r="D793" s="126"/>
    </row>
    <row r="794" spans="1:4" ht="13.5" thickBot="1">
      <c r="A794" s="111"/>
      <c r="B794" s="111"/>
      <c r="C794" s="111"/>
      <c r="D794" s="126"/>
    </row>
    <row r="795" spans="1:4" ht="13.5" thickBot="1">
      <c r="A795" s="111"/>
      <c r="B795" s="111"/>
      <c r="C795" s="111"/>
      <c r="D795" s="126"/>
    </row>
    <row r="796" spans="1:4" ht="13.5" thickBot="1">
      <c r="A796" s="111"/>
      <c r="B796" s="111"/>
      <c r="C796" s="111"/>
      <c r="D796" s="126"/>
    </row>
    <row r="797" spans="1:4" ht="13.5" thickBot="1">
      <c r="A797" s="111"/>
      <c r="B797" s="111"/>
      <c r="C797" s="111"/>
      <c r="D797" s="126"/>
    </row>
    <row r="798" spans="1:4" ht="13.5" thickBot="1">
      <c r="A798" s="111"/>
      <c r="B798" s="111"/>
      <c r="C798" s="111"/>
      <c r="D798" s="126"/>
    </row>
    <row r="799" spans="1:4" ht="13.5" thickBot="1">
      <c r="A799" s="111"/>
      <c r="B799" s="111"/>
      <c r="C799" s="111"/>
      <c r="D799" s="126"/>
    </row>
    <row r="800" spans="1:4" ht="13.5" thickBot="1">
      <c r="A800" s="111"/>
      <c r="B800" s="111"/>
      <c r="C800" s="111"/>
      <c r="D800" s="126"/>
    </row>
    <row r="801" spans="1:4" ht="13.5" thickBot="1">
      <c r="A801" s="111"/>
      <c r="B801" s="111"/>
      <c r="C801" s="111"/>
      <c r="D801" s="126"/>
    </row>
    <row r="802" spans="1:4" ht="13.5" thickBot="1">
      <c r="A802" s="111"/>
      <c r="B802" s="111"/>
      <c r="C802" s="111"/>
      <c r="D802" s="126"/>
    </row>
    <row r="803" spans="1:4" ht="13.5" thickBot="1">
      <c r="A803" s="111"/>
      <c r="B803" s="111"/>
      <c r="C803" s="111"/>
      <c r="D803" s="126"/>
    </row>
    <row r="804" spans="1:4" ht="13.5" thickBot="1">
      <c r="A804" s="111"/>
      <c r="B804" s="111"/>
      <c r="C804" s="111"/>
      <c r="D804" s="126"/>
    </row>
    <row r="805" spans="1:4" ht="13.5" thickBot="1">
      <c r="A805" s="111"/>
      <c r="B805" s="111"/>
      <c r="C805" s="111"/>
      <c r="D805" s="126"/>
    </row>
    <row r="806" spans="1:4" ht="13.5" thickBot="1">
      <c r="A806" s="111"/>
      <c r="B806" s="111"/>
      <c r="C806" s="111"/>
      <c r="D806" s="126"/>
    </row>
    <row r="807" spans="1:4" ht="13.5" thickBot="1">
      <c r="A807" s="111"/>
      <c r="B807" s="111"/>
      <c r="C807" s="111"/>
      <c r="D807" s="126"/>
    </row>
    <row r="808" spans="1:4" ht="13.5" thickBot="1">
      <c r="A808" s="111"/>
      <c r="B808" s="111"/>
      <c r="C808" s="111"/>
      <c r="D808" s="126"/>
    </row>
    <row r="809" spans="1:4" ht="13.5" thickBot="1">
      <c r="A809" s="111"/>
      <c r="B809" s="111"/>
      <c r="C809" s="111"/>
      <c r="D809" s="126"/>
    </row>
    <row r="810" spans="1:4" ht="13.5" thickBot="1">
      <c r="A810" s="111"/>
      <c r="B810" s="111"/>
      <c r="C810" s="111"/>
      <c r="D810" s="126"/>
    </row>
    <row r="811" spans="1:4" ht="13.5" thickBot="1">
      <c r="A811" s="111"/>
      <c r="B811" s="111"/>
      <c r="C811" s="111"/>
      <c r="D811" s="126"/>
    </row>
    <row r="812" spans="1:4" ht="13.5" thickBot="1">
      <c r="A812" s="111"/>
      <c r="B812" s="111"/>
      <c r="C812" s="111"/>
      <c r="D812" s="126"/>
    </row>
    <row r="813" spans="1:4" ht="13.5" thickBot="1">
      <c r="A813" s="111"/>
      <c r="B813" s="111"/>
      <c r="C813" s="111"/>
      <c r="D813" s="126"/>
    </row>
    <row r="814" spans="1:4" ht="13.5" thickBot="1">
      <c r="A814" s="111"/>
      <c r="B814" s="111"/>
      <c r="C814" s="111"/>
      <c r="D814" s="126"/>
    </row>
    <row r="815" spans="1:4" ht="13.5" thickBot="1">
      <c r="A815" s="111"/>
      <c r="B815" s="111"/>
      <c r="C815" s="111"/>
      <c r="D815" s="126"/>
    </row>
    <row r="816" spans="1:4" ht="13.5" thickBot="1">
      <c r="A816" s="111"/>
      <c r="B816" s="111"/>
      <c r="C816" s="111"/>
      <c r="D816" s="126"/>
    </row>
    <row r="817" spans="1:4" ht="13.5" thickBot="1">
      <c r="A817" s="111"/>
      <c r="B817" s="111"/>
      <c r="C817" s="111"/>
      <c r="D817" s="126"/>
    </row>
    <row r="818" spans="1:4" ht="13.5" thickBot="1">
      <c r="A818" s="111"/>
      <c r="B818" s="111"/>
      <c r="C818" s="111"/>
      <c r="D818" s="126"/>
    </row>
    <row r="819" spans="1:4" ht="13.5" thickBot="1">
      <c r="A819" s="111"/>
      <c r="B819" s="111"/>
      <c r="C819" s="111"/>
      <c r="D819" s="126"/>
    </row>
    <row r="820" spans="1:4" ht="13.5" thickBot="1">
      <c r="A820" s="111"/>
      <c r="B820" s="111"/>
      <c r="C820" s="111"/>
      <c r="D820" s="126"/>
    </row>
    <row r="821" spans="1:4" ht="13.5" thickBot="1">
      <c r="A821" s="111"/>
      <c r="B821" s="111"/>
      <c r="C821" s="111"/>
      <c r="D821" s="126"/>
    </row>
    <row r="822" spans="1:4" ht="13.5" thickBot="1">
      <c r="A822" s="111"/>
      <c r="B822" s="111"/>
      <c r="C822" s="111"/>
      <c r="D822" s="126"/>
    </row>
    <row r="823" spans="1:4" ht="13.5" thickBot="1">
      <c r="A823" s="111"/>
      <c r="B823" s="111"/>
      <c r="C823" s="111"/>
      <c r="D823" s="126"/>
    </row>
    <row r="824" spans="1:4" ht="13.5" thickBot="1">
      <c r="A824" s="111"/>
      <c r="B824" s="111"/>
      <c r="C824" s="111"/>
      <c r="D824" s="126"/>
    </row>
    <row r="825" spans="1:4" ht="13.5" thickBot="1">
      <c r="A825" s="111"/>
      <c r="B825" s="111"/>
      <c r="C825" s="111"/>
      <c r="D825" s="126"/>
    </row>
    <row r="826" spans="1:4" ht="13.5" thickBot="1">
      <c r="A826" s="111"/>
      <c r="B826" s="111"/>
      <c r="C826" s="111"/>
      <c r="D826" s="126"/>
    </row>
    <row r="827" spans="1:4" ht="13.5" thickBot="1">
      <c r="A827" s="111"/>
      <c r="B827" s="111"/>
      <c r="C827" s="111"/>
      <c r="D827" s="126"/>
    </row>
    <row r="828" spans="1:4" ht="13.5" thickBot="1">
      <c r="A828" s="111"/>
      <c r="B828" s="111"/>
      <c r="C828" s="111"/>
      <c r="D828" s="126"/>
    </row>
    <row r="829" spans="1:4" ht="13.5" thickBot="1">
      <c r="A829" s="111"/>
      <c r="B829" s="111"/>
      <c r="C829" s="111"/>
      <c r="D829" s="126"/>
    </row>
    <row r="830" spans="1:4" ht="13.5" thickBot="1">
      <c r="A830" s="111"/>
      <c r="B830" s="111"/>
      <c r="C830" s="111"/>
      <c r="D830" s="126"/>
    </row>
    <row r="831" spans="1:4" ht="13.5" thickBot="1">
      <c r="A831" s="111"/>
      <c r="B831" s="111"/>
      <c r="C831" s="111"/>
      <c r="D831" s="126"/>
    </row>
    <row r="832" spans="1:4" ht="13.5" thickBot="1">
      <c r="A832" s="111"/>
      <c r="B832" s="111"/>
      <c r="C832" s="111"/>
      <c r="D832" s="126"/>
    </row>
    <row r="833" spans="1:4" ht="13.5" thickBot="1">
      <c r="A833" s="111"/>
      <c r="B833" s="111"/>
      <c r="C833" s="111"/>
      <c r="D833" s="126"/>
    </row>
    <row r="834" spans="1:4" ht="13.5" thickBot="1">
      <c r="A834" s="111"/>
      <c r="B834" s="111"/>
      <c r="C834" s="111"/>
      <c r="D834" s="126"/>
    </row>
    <row r="835" spans="1:4" ht="13.5" thickBot="1">
      <c r="A835" s="111"/>
      <c r="B835" s="111"/>
      <c r="C835" s="111"/>
      <c r="D835" s="126"/>
    </row>
    <row r="836" spans="1:4" ht="13.5" thickBot="1">
      <c r="A836" s="111"/>
      <c r="B836" s="111"/>
      <c r="C836" s="111"/>
      <c r="D836" s="126"/>
    </row>
    <row r="837" spans="1:4" ht="13.5" thickBot="1">
      <c r="A837" s="111"/>
      <c r="B837" s="111"/>
      <c r="C837" s="111"/>
      <c r="D837" s="126"/>
    </row>
    <row r="838" spans="1:4" ht="13.5" thickBot="1">
      <c r="A838" s="111"/>
      <c r="B838" s="111"/>
      <c r="C838" s="111"/>
      <c r="D838" s="126"/>
    </row>
    <row r="839" spans="1:4" ht="13.5" thickBot="1">
      <c r="A839" s="111"/>
      <c r="B839" s="111"/>
      <c r="C839" s="111"/>
      <c r="D839" s="126"/>
    </row>
    <row r="840" spans="1:4" ht="13.5" thickBot="1">
      <c r="A840" s="111"/>
      <c r="B840" s="111"/>
      <c r="C840" s="111"/>
      <c r="D840" s="126"/>
    </row>
    <row r="841" spans="1:4" ht="13.5" thickBot="1">
      <c r="A841" s="111"/>
      <c r="B841" s="111"/>
      <c r="C841" s="111"/>
      <c r="D841" s="126"/>
    </row>
    <row r="842" spans="1:4" ht="13.5" thickBot="1">
      <c r="A842" s="111"/>
      <c r="B842" s="111"/>
      <c r="C842" s="111"/>
      <c r="D842" s="126"/>
    </row>
    <row r="843" spans="1:4" ht="13.5" thickBot="1">
      <c r="A843" s="111"/>
      <c r="B843" s="111"/>
      <c r="C843" s="111"/>
      <c r="D843" s="126"/>
    </row>
    <row r="844" spans="1:4" ht="13.5" thickBot="1">
      <c r="A844" s="111"/>
      <c r="B844" s="111"/>
      <c r="C844" s="111"/>
      <c r="D844" s="126"/>
    </row>
    <row r="845" spans="1:4" ht="13.5" thickBot="1">
      <c r="A845" s="111"/>
      <c r="B845" s="111"/>
      <c r="C845" s="111"/>
      <c r="D845" s="126"/>
    </row>
    <row r="846" spans="1:4" ht="13.5" thickBot="1">
      <c r="A846" s="111"/>
      <c r="B846" s="111"/>
      <c r="C846" s="111"/>
      <c r="D846" s="126"/>
    </row>
    <row r="847" spans="1:4" ht="13.5" thickBot="1">
      <c r="A847" s="111"/>
      <c r="B847" s="111"/>
      <c r="C847" s="111"/>
      <c r="D847" s="126"/>
    </row>
    <row r="848" spans="1:4" ht="13.5" thickBot="1">
      <c r="A848" s="111"/>
      <c r="B848" s="111"/>
      <c r="C848" s="111"/>
      <c r="D848" s="126"/>
    </row>
    <row r="849" spans="1:4" ht="13.5" thickBot="1">
      <c r="A849" s="111"/>
      <c r="B849" s="111"/>
      <c r="C849" s="111"/>
      <c r="D849" s="126"/>
    </row>
    <row r="850" spans="1:4" ht="13.5" thickBot="1">
      <c r="A850" s="111"/>
      <c r="B850" s="111"/>
      <c r="C850" s="111"/>
      <c r="D850" s="126"/>
    </row>
    <row r="851" spans="1:4" ht="13.5" thickBot="1">
      <c r="A851" s="111"/>
      <c r="B851" s="111"/>
      <c r="C851" s="111"/>
      <c r="D851" s="126"/>
    </row>
    <row r="852" spans="1:4" ht="13.5" thickBot="1">
      <c r="A852" s="111"/>
      <c r="B852" s="111"/>
      <c r="C852" s="111"/>
      <c r="D852" s="126"/>
    </row>
    <row r="853" spans="1:4" ht="13.5" thickBot="1">
      <c r="A853" s="111"/>
      <c r="B853" s="111"/>
      <c r="C853" s="111"/>
      <c r="D853" s="126"/>
    </row>
    <row r="854" spans="1:4" ht="13.5" thickBot="1">
      <c r="A854" s="111"/>
      <c r="B854" s="111"/>
      <c r="C854" s="111"/>
      <c r="D854" s="126"/>
    </row>
    <row r="855" spans="1:4" ht="13.5" thickBot="1">
      <c r="A855" s="111"/>
      <c r="B855" s="111"/>
      <c r="C855" s="111"/>
      <c r="D855" s="126"/>
    </row>
    <row r="856" spans="1:4" ht="13.5" thickBot="1">
      <c r="A856" s="111"/>
      <c r="B856" s="111"/>
      <c r="C856" s="111"/>
      <c r="D856" s="126"/>
    </row>
    <row r="857" spans="1:4" ht="13.5" thickBot="1">
      <c r="A857" s="111"/>
      <c r="B857" s="111"/>
      <c r="C857" s="111"/>
      <c r="D857" s="126"/>
    </row>
    <row r="858" spans="1:4" ht="13.5" thickBot="1">
      <c r="A858" s="111"/>
      <c r="B858" s="111"/>
      <c r="C858" s="111"/>
      <c r="D858" s="126"/>
    </row>
    <row r="859" spans="1:4" ht="13.5" thickBot="1">
      <c r="A859" s="111"/>
      <c r="B859" s="111"/>
      <c r="C859" s="111"/>
      <c r="D859" s="126"/>
    </row>
    <row r="860" spans="1:4" ht="13.5" thickBot="1">
      <c r="A860" s="111"/>
      <c r="B860" s="111"/>
      <c r="C860" s="111"/>
      <c r="D860" s="126"/>
    </row>
    <row r="861" spans="1:4" ht="13.5" thickBot="1">
      <c r="A861" s="111"/>
      <c r="B861" s="111"/>
      <c r="C861" s="111"/>
      <c r="D861" s="126"/>
    </row>
    <row r="862" spans="1:4" ht="13.5" thickBot="1">
      <c r="A862" s="111"/>
      <c r="B862" s="111"/>
      <c r="C862" s="111"/>
      <c r="D862" s="126"/>
    </row>
    <row r="863" spans="1:4" ht="13.5" thickBot="1">
      <c r="A863" s="111"/>
      <c r="B863" s="111"/>
      <c r="C863" s="111"/>
      <c r="D863" s="126"/>
    </row>
    <row r="864" spans="1:4" ht="13.5" thickBot="1">
      <c r="A864" s="111"/>
      <c r="B864" s="111"/>
      <c r="C864" s="111"/>
      <c r="D864" s="126"/>
    </row>
    <row r="865" spans="1:4" ht="13.5" thickBot="1">
      <c r="A865" s="111"/>
      <c r="B865" s="111"/>
      <c r="C865" s="111"/>
      <c r="D865" s="126"/>
    </row>
    <row r="866" spans="1:4" ht="13.5" thickBot="1">
      <c r="A866" s="111"/>
      <c r="B866" s="111"/>
      <c r="C866" s="111"/>
      <c r="D866" s="126"/>
    </row>
    <row r="867" spans="1:4" ht="13.5" thickBot="1">
      <c r="A867" s="111"/>
      <c r="B867" s="111"/>
      <c r="C867" s="111"/>
      <c r="D867" s="126"/>
    </row>
    <row r="868" spans="1:4" ht="13.5" thickBot="1">
      <c r="A868" s="111"/>
      <c r="B868" s="111"/>
      <c r="C868" s="111"/>
      <c r="D868" s="126"/>
    </row>
    <row r="869" spans="1:4" ht="13.5" thickBot="1">
      <c r="A869" s="111"/>
      <c r="B869" s="111"/>
      <c r="C869" s="111"/>
      <c r="D869" s="126"/>
    </row>
    <row r="870" spans="1:4" ht="13.5" thickBot="1">
      <c r="A870" s="111"/>
      <c r="B870" s="111"/>
      <c r="C870" s="111"/>
      <c r="D870" s="126"/>
    </row>
    <row r="871" spans="1:4" ht="13.5" thickBot="1">
      <c r="A871" s="111"/>
      <c r="B871" s="111"/>
      <c r="C871" s="111"/>
      <c r="D871" s="126"/>
    </row>
    <row r="872" spans="1:4" ht="13.5" thickBot="1">
      <c r="A872" s="111"/>
      <c r="B872" s="111"/>
      <c r="C872" s="111"/>
      <c r="D872" s="126"/>
    </row>
    <row r="873" spans="1:4" ht="13.5" thickBot="1">
      <c r="A873" s="111"/>
      <c r="B873" s="111"/>
      <c r="C873" s="111"/>
      <c r="D873" s="126"/>
    </row>
    <row r="874" spans="1:4" ht="13.5" thickBot="1">
      <c r="A874" s="111"/>
      <c r="B874" s="111"/>
      <c r="C874" s="111"/>
      <c r="D874" s="126"/>
    </row>
    <row r="875" spans="1:4" ht="13.5" thickBot="1">
      <c r="A875" s="111"/>
      <c r="B875" s="111"/>
      <c r="C875" s="111"/>
      <c r="D875" s="126"/>
    </row>
    <row r="876" spans="1:4" ht="13.5" thickBot="1">
      <c r="A876" s="111"/>
      <c r="B876" s="111"/>
      <c r="C876" s="111"/>
      <c r="D876" s="126"/>
    </row>
    <row r="877" spans="1:4" ht="13.5" thickBot="1">
      <c r="A877" s="111"/>
      <c r="B877" s="111"/>
      <c r="C877" s="111"/>
      <c r="D877" s="126"/>
    </row>
    <row r="878" spans="1:4" ht="13.5" thickBot="1">
      <c r="A878" s="111"/>
      <c r="B878" s="111"/>
      <c r="C878" s="111"/>
      <c r="D878" s="126"/>
    </row>
    <row r="879" spans="1:4" ht="13.5" thickBot="1">
      <c r="A879" s="111"/>
      <c r="B879" s="111"/>
      <c r="C879" s="111"/>
      <c r="D879" s="126"/>
    </row>
    <row r="880" spans="1:4" ht="13.5" thickBot="1">
      <c r="A880" s="111"/>
      <c r="B880" s="111"/>
      <c r="C880" s="111"/>
      <c r="D880" s="126"/>
    </row>
    <row r="881" spans="1:4" ht="13.5" thickBot="1">
      <c r="A881" s="111"/>
      <c r="B881" s="111"/>
      <c r="C881" s="111"/>
      <c r="D881" s="126"/>
    </row>
    <row r="882" spans="1:4" ht="13.5" thickBot="1">
      <c r="A882" s="111"/>
      <c r="B882" s="111"/>
      <c r="C882" s="111"/>
      <c r="D882" s="126"/>
    </row>
    <row r="883" spans="1:4" ht="13.5" thickBot="1">
      <c r="A883" s="111"/>
      <c r="B883" s="111"/>
      <c r="C883" s="111"/>
      <c r="D883" s="126"/>
    </row>
    <row r="884" spans="1:4" ht="13.5" thickBot="1">
      <c r="A884" s="111"/>
      <c r="B884" s="111"/>
      <c r="C884" s="111"/>
      <c r="D884" s="126"/>
    </row>
    <row r="885" spans="1:4" ht="13.5" thickBot="1">
      <c r="A885" s="111"/>
      <c r="B885" s="111"/>
      <c r="C885" s="111"/>
      <c r="D885" s="126"/>
    </row>
    <row r="886" spans="1:4" ht="13.5" thickBot="1">
      <c r="A886" s="111"/>
      <c r="B886" s="111"/>
      <c r="C886" s="111"/>
      <c r="D886" s="126"/>
    </row>
    <row r="887" spans="1:4" ht="13.5" thickBot="1">
      <c r="A887" s="111"/>
      <c r="B887" s="111"/>
      <c r="C887" s="111"/>
      <c r="D887" s="126"/>
    </row>
    <row r="888" spans="1:4" ht="13.5" thickBot="1">
      <c r="A888" s="111"/>
      <c r="B888" s="111"/>
      <c r="C888" s="111"/>
      <c r="D888" s="126"/>
    </row>
    <row r="889" spans="1:4" ht="13.5" thickBot="1">
      <c r="A889" s="111"/>
      <c r="B889" s="111"/>
      <c r="C889" s="111"/>
      <c r="D889" s="126"/>
    </row>
    <row r="890" spans="1:4" ht="13.5" thickBot="1">
      <c r="A890" s="111"/>
      <c r="B890" s="111"/>
      <c r="C890" s="111"/>
      <c r="D890" s="126"/>
    </row>
    <row r="891" spans="1:4" ht="13.5" thickBot="1">
      <c r="A891" s="111"/>
      <c r="B891" s="111"/>
      <c r="C891" s="111"/>
      <c r="D891" s="126"/>
    </row>
    <row r="892" spans="1:4" ht="13.5" thickBot="1">
      <c r="A892" s="111"/>
      <c r="B892" s="111"/>
      <c r="C892" s="111"/>
      <c r="D892" s="126"/>
    </row>
    <row r="893" spans="1:4" ht="13.5" thickBot="1">
      <c r="A893" s="111"/>
      <c r="B893" s="111"/>
      <c r="C893" s="111"/>
      <c r="D893" s="126"/>
    </row>
    <row r="894" spans="1:4" ht="13.5" thickBot="1">
      <c r="A894" s="111"/>
      <c r="B894" s="111"/>
      <c r="C894" s="111"/>
      <c r="D894" s="126"/>
    </row>
    <row r="895" spans="1:4" ht="13.5" thickBot="1">
      <c r="A895" s="111"/>
      <c r="B895" s="111"/>
      <c r="C895" s="111"/>
      <c r="D895" s="126"/>
    </row>
    <row r="896" spans="1:4" ht="13.5" thickBot="1">
      <c r="A896" s="111"/>
      <c r="B896" s="111"/>
      <c r="C896" s="111"/>
      <c r="D896" s="126"/>
    </row>
    <row r="897" spans="1:4" ht="13.5" thickBot="1">
      <c r="A897" s="111"/>
      <c r="B897" s="111"/>
      <c r="C897" s="111"/>
      <c r="D897" s="126"/>
    </row>
    <row r="898" spans="1:4" ht="13.5" thickBot="1">
      <c r="A898" s="111"/>
      <c r="B898" s="111"/>
      <c r="C898" s="111"/>
      <c r="D898" s="126"/>
    </row>
    <row r="899" spans="1:4" ht="13.5" thickBot="1">
      <c r="A899" s="111"/>
      <c r="B899" s="111"/>
      <c r="C899" s="111"/>
      <c r="D899" s="126"/>
    </row>
    <row r="900" spans="1:4" ht="13.5" thickBot="1">
      <c r="A900" s="111"/>
      <c r="B900" s="111"/>
      <c r="C900" s="111"/>
      <c r="D900" s="126"/>
    </row>
    <row r="901" spans="1:4" ht="13.5" thickBot="1">
      <c r="A901" s="111"/>
      <c r="B901" s="111"/>
      <c r="C901" s="111"/>
      <c r="D901" s="126"/>
    </row>
    <row r="902" spans="1:4" ht="13.5" thickBot="1">
      <c r="A902" s="111"/>
      <c r="B902" s="111"/>
      <c r="C902" s="111"/>
      <c r="D902" s="126"/>
    </row>
    <row r="903" spans="1:4" ht="13.5" thickBot="1">
      <c r="A903" s="111"/>
      <c r="B903" s="111"/>
      <c r="C903" s="111"/>
      <c r="D903" s="126"/>
    </row>
    <row r="904" spans="1:4" ht="13.5" thickBot="1">
      <c r="A904" s="111"/>
      <c r="B904" s="111"/>
      <c r="C904" s="111"/>
      <c r="D904" s="126"/>
    </row>
    <row r="905" spans="1:4" ht="13.5" thickBot="1">
      <c r="A905" s="111"/>
      <c r="B905" s="111"/>
      <c r="C905" s="111"/>
      <c r="D905" s="126"/>
    </row>
    <row r="906" spans="1:4" ht="13.5" thickBot="1">
      <c r="A906" s="111"/>
      <c r="B906" s="111"/>
      <c r="C906" s="111"/>
      <c r="D906" s="126"/>
    </row>
    <row r="907" spans="1:4" ht="13.5" thickBot="1">
      <c r="A907" s="111"/>
      <c r="B907" s="111"/>
      <c r="C907" s="111"/>
      <c r="D907" s="126"/>
    </row>
    <row r="908" spans="1:4" ht="13.5" thickBot="1">
      <c r="A908" s="111"/>
      <c r="B908" s="111"/>
      <c r="C908" s="111"/>
      <c r="D908" s="126"/>
    </row>
    <row r="909" spans="1:4" ht="13.5" thickBot="1">
      <c r="A909" s="111"/>
      <c r="B909" s="111"/>
      <c r="C909" s="111"/>
      <c r="D909" s="126"/>
    </row>
    <row r="910" spans="1:4" ht="13.5" thickBot="1">
      <c r="A910" s="111"/>
      <c r="B910" s="111"/>
      <c r="C910" s="111"/>
      <c r="D910" s="126"/>
    </row>
    <row r="911" spans="1:4" ht="13.5" thickBot="1">
      <c r="A911" s="111"/>
      <c r="B911" s="111"/>
      <c r="C911" s="111"/>
      <c r="D911" s="126"/>
    </row>
    <row r="912" spans="1:4" ht="13.5" thickBot="1">
      <c r="A912" s="111"/>
      <c r="B912" s="111"/>
      <c r="C912" s="111"/>
      <c r="D912" s="126"/>
    </row>
    <row r="913" spans="1:4" ht="13.5" thickBot="1">
      <c r="A913" s="111"/>
      <c r="B913" s="111"/>
      <c r="C913" s="111"/>
      <c r="D913" s="126"/>
    </row>
    <row r="914" spans="1:4" ht="13.5" thickBot="1">
      <c r="A914" s="111"/>
      <c r="B914" s="111"/>
      <c r="C914" s="111"/>
      <c r="D914" s="126"/>
    </row>
    <row r="915" spans="1:4" ht="13.5" thickBot="1">
      <c r="A915" s="111"/>
      <c r="B915" s="111"/>
      <c r="C915" s="111"/>
      <c r="D915" s="126"/>
    </row>
    <row r="916" spans="1:4" ht="13.5" thickBot="1">
      <c r="A916" s="111"/>
      <c r="B916" s="111"/>
      <c r="C916" s="111"/>
      <c r="D916" s="126"/>
    </row>
    <row r="917" spans="1:4" ht="13.5" thickBot="1">
      <c r="A917" s="111"/>
      <c r="B917" s="111"/>
      <c r="C917" s="111"/>
      <c r="D917" s="126"/>
    </row>
    <row r="918" spans="1:4" ht="13.5" thickBot="1">
      <c r="A918" s="111"/>
      <c r="B918" s="111"/>
      <c r="C918" s="111"/>
      <c r="D918" s="126"/>
    </row>
    <row r="919" spans="1:4" ht="13.5" thickBot="1">
      <c r="A919" s="111"/>
      <c r="B919" s="111"/>
      <c r="C919" s="111"/>
      <c r="D919" s="126"/>
    </row>
    <row r="920" spans="1:4" ht="13.5" thickBot="1">
      <c r="A920" s="111"/>
      <c r="B920" s="111"/>
      <c r="C920" s="111"/>
      <c r="D920" s="126"/>
    </row>
    <row r="921" spans="1:4" ht="13.5" thickBot="1">
      <c r="A921" s="111"/>
      <c r="B921" s="111"/>
      <c r="C921" s="111"/>
      <c r="D921" s="126"/>
    </row>
    <row r="922" spans="1:4" ht="13.5" thickBot="1">
      <c r="A922" s="111"/>
      <c r="B922" s="111"/>
      <c r="C922" s="111"/>
      <c r="D922" s="126"/>
    </row>
    <row r="923" spans="1:4" ht="13.5" thickBot="1">
      <c r="A923" s="111"/>
      <c r="B923" s="111"/>
      <c r="C923" s="111"/>
      <c r="D923" s="126"/>
    </row>
    <row r="924" spans="1:4" ht="13.5" thickBot="1">
      <c r="A924" s="111"/>
      <c r="B924" s="111"/>
      <c r="C924" s="111"/>
      <c r="D924" s="126"/>
    </row>
    <row r="925" spans="1:4" ht="13.5" thickBot="1">
      <c r="A925" s="111"/>
      <c r="B925" s="111"/>
      <c r="C925" s="111"/>
      <c r="D925" s="126"/>
    </row>
    <row r="926" spans="1:4" ht="13.5" thickBot="1">
      <c r="A926" s="111"/>
      <c r="B926" s="111"/>
      <c r="C926" s="111"/>
      <c r="D926" s="126"/>
    </row>
    <row r="927" spans="1:4" ht="13.5" thickBot="1">
      <c r="A927" s="111"/>
      <c r="B927" s="111"/>
      <c r="C927" s="111"/>
      <c r="D927" s="126"/>
    </row>
    <row r="928" spans="1:4" ht="13.5" thickBot="1">
      <c r="A928" s="111"/>
      <c r="B928" s="111"/>
      <c r="C928" s="111"/>
      <c r="D928" s="126"/>
    </row>
    <row r="929" spans="1:4" ht="13.5" thickBot="1">
      <c r="A929" s="111"/>
      <c r="B929" s="111"/>
      <c r="C929" s="111"/>
      <c r="D929" s="126"/>
    </row>
    <row r="930" spans="1:4" ht="13.5" thickBot="1">
      <c r="A930" s="111"/>
      <c r="B930" s="111"/>
      <c r="C930" s="111"/>
      <c r="D930" s="126"/>
    </row>
    <row r="931" spans="1:4" ht="13.5" thickBot="1">
      <c r="A931" s="111"/>
      <c r="B931" s="111"/>
      <c r="C931" s="111"/>
      <c r="D931" s="126"/>
    </row>
    <row r="932" spans="1:4" ht="13.5" thickBot="1">
      <c r="A932" s="111"/>
      <c r="B932" s="111"/>
      <c r="C932" s="111"/>
      <c r="D932" s="126"/>
    </row>
    <row r="933" spans="1:4" ht="13.5" thickBot="1">
      <c r="A933" s="111"/>
      <c r="B933" s="111"/>
      <c r="C933" s="111"/>
      <c r="D933" s="126"/>
    </row>
    <row r="934" spans="1:4" ht="13.5" thickBot="1">
      <c r="A934" s="111"/>
      <c r="B934" s="111"/>
      <c r="C934" s="111"/>
      <c r="D934" s="126"/>
    </row>
    <row r="935" spans="1:4" ht="13.5" thickBot="1">
      <c r="A935" s="111"/>
      <c r="B935" s="111"/>
      <c r="C935" s="111"/>
      <c r="D935" s="126"/>
    </row>
    <row r="936" spans="1:4" ht="13.5" thickBot="1">
      <c r="A936" s="111"/>
      <c r="B936" s="111"/>
      <c r="C936" s="111"/>
      <c r="D936" s="126"/>
    </row>
    <row r="937" spans="1:4" ht="13.5" thickBot="1">
      <c r="A937" s="111"/>
      <c r="B937" s="111"/>
      <c r="C937" s="111"/>
      <c r="D937" s="126"/>
    </row>
    <row r="938" spans="1:4" ht="13.5" thickBot="1">
      <c r="A938" s="111"/>
      <c r="B938" s="111"/>
      <c r="C938" s="111"/>
      <c r="D938" s="126"/>
    </row>
    <row r="939" spans="1:4" ht="13.5" thickBot="1">
      <c r="A939" s="111"/>
      <c r="B939" s="111"/>
      <c r="C939" s="111"/>
      <c r="D939" s="126"/>
    </row>
    <row r="940" spans="1:4" ht="13.5" thickBot="1">
      <c r="A940" s="111"/>
      <c r="B940" s="111"/>
      <c r="C940" s="111"/>
      <c r="D940" s="126"/>
    </row>
    <row r="941" spans="1:4" ht="13.5" thickBot="1">
      <c r="A941" s="111"/>
      <c r="B941" s="111"/>
      <c r="C941" s="111"/>
      <c r="D941" s="126"/>
    </row>
    <row r="942" spans="1:4" ht="13.5" thickBot="1">
      <c r="A942" s="111"/>
      <c r="B942" s="111"/>
      <c r="C942" s="111"/>
      <c r="D942" s="126"/>
    </row>
    <row r="943" spans="1:4" ht="13.5" thickBot="1">
      <c r="A943" s="111"/>
      <c r="B943" s="111"/>
      <c r="C943" s="111"/>
      <c r="D943" s="126"/>
    </row>
    <row r="944" spans="1:4" ht="13.5" thickBot="1">
      <c r="A944" s="111"/>
      <c r="B944" s="111"/>
      <c r="C944" s="111"/>
      <c r="D944" s="126"/>
    </row>
    <row r="945" spans="1:4" ht="13.5" thickBot="1">
      <c r="A945" s="111"/>
      <c r="B945" s="111"/>
      <c r="C945" s="111"/>
      <c r="D945" s="126"/>
    </row>
    <row r="946" spans="1:4" ht="13.5" thickBot="1">
      <c r="A946" s="111"/>
      <c r="B946" s="111"/>
      <c r="C946" s="111"/>
      <c r="D946" s="126"/>
    </row>
    <row r="947" spans="1:4" ht="13.5" thickBot="1">
      <c r="A947" s="111"/>
      <c r="B947" s="111"/>
      <c r="C947" s="111"/>
      <c r="D947" s="126"/>
    </row>
    <row r="948" spans="1:4" ht="13.5" thickBot="1">
      <c r="A948" s="111"/>
      <c r="B948" s="111"/>
      <c r="C948" s="111"/>
      <c r="D948" s="126"/>
    </row>
    <row r="949" spans="1:4" ht="13.5" thickBot="1">
      <c r="A949" s="111"/>
      <c r="B949" s="111"/>
      <c r="C949" s="111"/>
      <c r="D949" s="126"/>
    </row>
    <row r="950" spans="1:4" ht="13.5" thickBot="1">
      <c r="A950" s="111"/>
      <c r="B950" s="111"/>
      <c r="C950" s="111"/>
      <c r="D950" s="126"/>
    </row>
    <row r="951" spans="1:4" ht="13.5" thickBot="1">
      <c r="A951" s="111"/>
      <c r="B951" s="111"/>
      <c r="C951" s="111"/>
      <c r="D951" s="126"/>
    </row>
    <row r="952" spans="1:4" ht="13.5" thickBot="1">
      <c r="A952" s="111"/>
      <c r="B952" s="111"/>
      <c r="C952" s="111"/>
      <c r="D952" s="126"/>
    </row>
    <row r="953" spans="1:4" ht="13.5" thickBot="1">
      <c r="A953" s="111"/>
      <c r="B953" s="111"/>
      <c r="C953" s="111"/>
      <c r="D953" s="126"/>
    </row>
    <row r="954" spans="1:4" ht="13.5" thickBot="1">
      <c r="A954" s="111"/>
      <c r="B954" s="111"/>
      <c r="C954" s="111"/>
      <c r="D954" s="126"/>
    </row>
    <row r="955" spans="1:4" ht="13.5" thickBot="1">
      <c r="A955" s="111"/>
      <c r="B955" s="111"/>
      <c r="C955" s="111"/>
      <c r="D955" s="126"/>
    </row>
    <row r="956" spans="1:4" ht="13.5" thickBot="1">
      <c r="A956" s="111"/>
      <c r="B956" s="111"/>
      <c r="C956" s="111"/>
      <c r="D956" s="126"/>
    </row>
    <row r="957" spans="1:4" ht="13.5" thickBot="1">
      <c r="A957" s="111"/>
      <c r="B957" s="111"/>
      <c r="C957" s="111"/>
      <c r="D957" s="126"/>
    </row>
    <row r="958" spans="1:4" ht="13.5" thickBot="1">
      <c r="A958" s="111"/>
      <c r="B958" s="111"/>
      <c r="C958" s="111"/>
      <c r="D958" s="126"/>
    </row>
    <row r="959" spans="1:4" ht="13.5" thickBot="1">
      <c r="A959" s="111"/>
      <c r="B959" s="111"/>
      <c r="C959" s="111"/>
      <c r="D959" s="126"/>
    </row>
    <row r="960" spans="1:4" ht="13.5" thickBot="1">
      <c r="A960" s="111"/>
      <c r="B960" s="111"/>
      <c r="C960" s="111"/>
      <c r="D960" s="126"/>
    </row>
    <row r="961" spans="1:4" ht="13.5" thickBot="1">
      <c r="A961" s="111"/>
      <c r="B961" s="111"/>
      <c r="C961" s="111"/>
      <c r="D961" s="126"/>
    </row>
    <row r="962" spans="1:4" ht="13.5" thickBot="1">
      <c r="A962" s="111"/>
      <c r="B962" s="111"/>
      <c r="C962" s="111"/>
      <c r="D962" s="126"/>
    </row>
    <row r="963" spans="1:4" ht="13.5" thickBot="1">
      <c r="A963" s="111"/>
      <c r="B963" s="111"/>
      <c r="C963" s="111"/>
      <c r="D963" s="126"/>
    </row>
    <row r="964" spans="1:4" ht="13.5" thickBot="1">
      <c r="A964" s="111"/>
      <c r="B964" s="111"/>
      <c r="C964" s="111"/>
      <c r="D964" s="126"/>
    </row>
    <row r="965" spans="1:4" ht="13.5" thickBot="1">
      <c r="A965" s="111"/>
      <c r="B965" s="111"/>
      <c r="C965" s="111"/>
      <c r="D965" s="126"/>
    </row>
    <row r="966" spans="1:4" ht="13.5" thickBot="1">
      <c r="A966" s="111"/>
      <c r="B966" s="111"/>
      <c r="C966" s="111"/>
      <c r="D966" s="126"/>
    </row>
    <row r="967" spans="1:4" ht="13.5" thickBot="1">
      <c r="A967" s="111"/>
      <c r="B967" s="111"/>
      <c r="C967" s="111"/>
      <c r="D967" s="126"/>
    </row>
    <row r="968" spans="1:4" ht="13.5" thickBot="1">
      <c r="A968" s="111"/>
      <c r="B968" s="111"/>
      <c r="C968" s="111"/>
      <c r="D968" s="126"/>
    </row>
    <row r="969" spans="1:4" ht="13.5" thickBot="1">
      <c r="A969" s="111"/>
      <c r="B969" s="111"/>
      <c r="C969" s="111"/>
      <c r="D969" s="126"/>
    </row>
    <row r="970" spans="1:4" ht="13.5" thickBot="1">
      <c r="A970" s="111"/>
      <c r="B970" s="111"/>
      <c r="C970" s="111"/>
      <c r="D970" s="126"/>
    </row>
    <row r="971" spans="1:4" ht="13.5" thickBot="1">
      <c r="A971" s="111"/>
      <c r="B971" s="111"/>
      <c r="C971" s="111"/>
      <c r="D971" s="126"/>
    </row>
    <row r="972" spans="1:4" ht="13.5" thickBot="1">
      <c r="A972" s="111"/>
      <c r="B972" s="111"/>
      <c r="C972" s="111"/>
      <c r="D972" s="126"/>
    </row>
    <row r="973" spans="1:4" ht="13.5" thickBot="1">
      <c r="A973" s="111"/>
      <c r="B973" s="111"/>
      <c r="C973" s="111"/>
      <c r="D973" s="126"/>
    </row>
    <row r="974" spans="1:4" ht="13.5" thickBot="1">
      <c r="A974" s="111"/>
      <c r="B974" s="111"/>
      <c r="C974" s="111"/>
      <c r="D974" s="126"/>
    </row>
    <row r="975" spans="1:4" ht="13.5" thickBot="1">
      <c r="A975" s="111"/>
      <c r="B975" s="111"/>
      <c r="C975" s="111"/>
      <c r="D975" s="126"/>
    </row>
    <row r="976" spans="1:4" ht="13.5" thickBot="1">
      <c r="A976" s="111"/>
      <c r="B976" s="111"/>
      <c r="C976" s="111"/>
      <c r="D976" s="126"/>
    </row>
    <row r="977" spans="1:4" ht="13.5" thickBot="1">
      <c r="A977" s="111"/>
      <c r="B977" s="111"/>
      <c r="C977" s="111"/>
      <c r="D977" s="126"/>
    </row>
    <row r="978" spans="1:4" ht="13.5" thickBot="1">
      <c r="A978" s="111"/>
      <c r="B978" s="111"/>
      <c r="C978" s="111"/>
      <c r="D978" s="126"/>
    </row>
    <row r="979" spans="1:4" ht="13.5" thickBot="1">
      <c r="A979" s="111"/>
      <c r="B979" s="111"/>
      <c r="C979" s="111"/>
      <c r="D979" s="126"/>
    </row>
    <row r="980" spans="1:4" ht="13.5" thickBot="1">
      <c r="A980" s="111"/>
      <c r="B980" s="111"/>
      <c r="C980" s="111"/>
      <c r="D980" s="126"/>
    </row>
    <row r="981" spans="1:4" ht="13.5" thickBot="1">
      <c r="A981" s="111"/>
      <c r="B981" s="111"/>
      <c r="C981" s="111"/>
      <c r="D981" s="126"/>
    </row>
    <row r="982" spans="1:4" ht="13.5" thickBot="1">
      <c r="A982" s="111"/>
      <c r="B982" s="111"/>
      <c r="C982" s="111"/>
      <c r="D982" s="126"/>
    </row>
    <row r="983" spans="1:4" ht="13.5" thickBot="1">
      <c r="A983" s="111"/>
      <c r="B983" s="111"/>
      <c r="C983" s="111"/>
      <c r="D983" s="126"/>
    </row>
    <row r="984" spans="1:4" ht="13.5" thickBot="1">
      <c r="A984" s="111"/>
      <c r="B984" s="111"/>
      <c r="C984" s="111"/>
      <c r="D984" s="126"/>
    </row>
    <row r="985" spans="1:4" ht="13.5" thickBot="1">
      <c r="A985" s="111"/>
      <c r="B985" s="111"/>
      <c r="C985" s="111"/>
      <c r="D985" s="126"/>
    </row>
    <row r="986" spans="1:4" ht="13.5" thickBot="1">
      <c r="A986" s="111"/>
      <c r="B986" s="111"/>
      <c r="C986" s="111"/>
      <c r="D986" s="126"/>
    </row>
    <row r="987" spans="1:4" ht="13.5" thickBot="1">
      <c r="A987" s="111"/>
      <c r="B987" s="111"/>
      <c r="C987" s="111"/>
      <c r="D987" s="126"/>
    </row>
    <row r="988" spans="1:4" ht="13.5" thickBot="1">
      <c r="A988" s="111"/>
      <c r="B988" s="111"/>
      <c r="C988" s="111"/>
      <c r="D988" s="126"/>
    </row>
    <row r="989" spans="1:4" ht="13.5" thickBot="1">
      <c r="A989" s="111"/>
      <c r="B989" s="111"/>
      <c r="C989" s="111"/>
      <c r="D989" s="126"/>
    </row>
    <row r="990" spans="1:4" ht="13.5" thickBot="1">
      <c r="A990" s="111"/>
      <c r="B990" s="111"/>
      <c r="C990" s="111"/>
      <c r="D990" s="126"/>
    </row>
    <row r="991" spans="1:4" ht="13.5" thickBot="1">
      <c r="A991" s="111"/>
      <c r="B991" s="111"/>
      <c r="C991" s="111"/>
      <c r="D991" s="126"/>
    </row>
    <row r="992" spans="1:4" ht="13.5" thickBot="1">
      <c r="A992" s="111"/>
      <c r="B992" s="111"/>
      <c r="C992" s="111"/>
      <c r="D992" s="126"/>
    </row>
    <row r="993" spans="1:4" ht="13.5" thickBot="1">
      <c r="A993" s="111"/>
      <c r="B993" s="111"/>
      <c r="C993" s="111"/>
      <c r="D993" s="126"/>
    </row>
    <row r="994" spans="1:4" ht="13.5" thickBot="1">
      <c r="A994" s="111"/>
      <c r="B994" s="111"/>
      <c r="C994" s="111"/>
      <c r="D994" s="126"/>
    </row>
    <row r="995" spans="1:4" ht="13.5" thickBot="1">
      <c r="A995" s="111"/>
      <c r="B995" s="111"/>
      <c r="C995" s="111"/>
      <c r="D995" s="126"/>
    </row>
    <row r="996" spans="1:4" ht="13.5" thickBot="1">
      <c r="A996" s="111"/>
      <c r="B996" s="111"/>
      <c r="C996" s="111"/>
      <c r="D996" s="126"/>
    </row>
    <row r="997" spans="1:4" ht="13.5" thickBot="1">
      <c r="A997" s="111"/>
      <c r="B997" s="111"/>
      <c r="C997" s="111"/>
      <c r="D997" s="126"/>
    </row>
    <row r="998" spans="1:4" ht="13.5" thickBot="1">
      <c r="A998" s="111"/>
      <c r="B998" s="111"/>
      <c r="C998" s="111"/>
      <c r="D998" s="126"/>
    </row>
    <row r="999" spans="1:4" ht="13.5" thickBot="1">
      <c r="A999" s="111"/>
      <c r="B999" s="111"/>
      <c r="C999" s="111"/>
      <c r="D999" s="126"/>
    </row>
    <row r="1000" spans="1:4" ht="13.5" thickBot="1">
      <c r="A1000" s="111"/>
      <c r="B1000" s="111"/>
      <c r="C1000" s="111"/>
      <c r="D1000" s="126"/>
    </row>
  </sheetData>
  <sheetProtection sheet="1" objects="1" scenarios="1" selectLockedCells="1"/>
  <mergeCells count="1">
    <mergeCell ref="A1:E1"/>
  </mergeCells>
  <dataValidations count="1">
    <dataValidation type="list" allowBlank="1" showErrorMessage="1" sqref="A3:A14 A16:A43" xr:uid="{08385072-E478-4CAC-BFA4-C141314094C3}">
      <formula1>"Chaat,Chinese,Breads,Drinks &amp; Beverage,Grill Special,Kulfi,North Indian,South Indian,Specials,Sweets,Namkeen"</formula1>
    </dataValidation>
  </dataValidations>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theme="6"/>
    <outlinePr summaryBelow="0" summaryRight="0"/>
  </sheetPr>
  <dimension ref="A1:G1021"/>
  <sheetViews>
    <sheetView topLeftCell="A19" workbookViewId="0">
      <selection activeCell="B31" sqref="B31"/>
    </sheetView>
  </sheetViews>
  <sheetFormatPr defaultColWidth="12.5703125" defaultRowHeight="15.75" customHeight="1"/>
  <cols>
    <col min="1" max="1" width="15.42578125" customWidth="1"/>
    <col min="2" max="2" width="28.85546875" bestFit="1" customWidth="1"/>
    <col min="3" max="3" width="16.85546875" customWidth="1"/>
    <col min="4" max="4" width="14.5703125" customWidth="1"/>
    <col min="5" max="5" width="15.42578125" customWidth="1"/>
  </cols>
  <sheetData>
    <row r="1" spans="1:5" ht="20.25">
      <c r="A1" s="280" t="s">
        <v>104</v>
      </c>
      <c r="B1" s="265"/>
      <c r="C1" s="265"/>
      <c r="D1" s="265"/>
      <c r="E1" s="265"/>
    </row>
    <row r="2" spans="1:5" ht="15.75" customHeight="1">
      <c r="A2" s="73" t="s">
        <v>125</v>
      </c>
      <c r="B2" s="74" t="s">
        <v>126</v>
      </c>
      <c r="C2" s="74" t="s">
        <v>8</v>
      </c>
      <c r="D2" s="74" t="s">
        <v>127</v>
      </c>
      <c r="E2" s="75" t="s">
        <v>128</v>
      </c>
    </row>
    <row r="3" spans="1:5" ht="15.75" customHeight="1">
      <c r="A3" s="71"/>
      <c r="B3" s="46"/>
      <c r="C3" s="46"/>
      <c r="D3" s="47"/>
      <c r="E3" s="72" t="str">
        <f>IF(C3="","",IFERROR(VLOOKUP(C3,'ITEM LIST'!B:M,12,0)*D3,0))</f>
        <v/>
      </c>
    </row>
    <row r="4" spans="1:5" ht="15.75" customHeight="1">
      <c r="A4" s="71" t="s">
        <v>104</v>
      </c>
      <c r="B4" s="46" t="s">
        <v>667</v>
      </c>
      <c r="C4" s="46" t="s">
        <v>575</v>
      </c>
      <c r="D4" s="47">
        <v>20</v>
      </c>
      <c r="E4" s="72">
        <f>IF(C4="","",IFERROR(VLOOKUP(C4,'ITEM LIST'!B:M,12,0)*D4,0))</f>
        <v>3.5999999999999996</v>
      </c>
    </row>
    <row r="5" spans="1:5" ht="15.75" customHeight="1">
      <c r="A5" s="71" t="s">
        <v>104</v>
      </c>
      <c r="B5" s="46" t="s">
        <v>667</v>
      </c>
      <c r="C5" s="46" t="s">
        <v>543</v>
      </c>
      <c r="D5" s="47">
        <v>100</v>
      </c>
      <c r="E5" s="72">
        <f>IF(C5="","",IFERROR(VLOOKUP(C5,'ITEM LIST'!B:M,12,0)*D5,0))</f>
        <v>28.955000000000002</v>
      </c>
    </row>
    <row r="6" spans="1:5" ht="15.75" customHeight="1">
      <c r="A6" s="71" t="s">
        <v>104</v>
      </c>
      <c r="B6" s="46" t="s">
        <v>667</v>
      </c>
      <c r="C6" s="46" t="s">
        <v>62</v>
      </c>
      <c r="D6" s="47">
        <v>25</v>
      </c>
      <c r="E6" s="72">
        <f>IF(C6="","",IFERROR(VLOOKUP(C6,'ITEM LIST'!B:M,12,0)*D6,0))</f>
        <v>3</v>
      </c>
    </row>
    <row r="7" spans="1:5" ht="15.75" customHeight="1">
      <c r="A7" s="71" t="s">
        <v>104</v>
      </c>
      <c r="B7" s="46" t="s">
        <v>667</v>
      </c>
      <c r="C7" s="46" t="s">
        <v>292</v>
      </c>
      <c r="D7" s="47">
        <v>150</v>
      </c>
      <c r="E7" s="72">
        <f>IF(C7="","",IFERROR(VLOOKUP(C7,'ITEM LIST'!B:M,12,0)*D7,0))</f>
        <v>7.2</v>
      </c>
    </row>
    <row r="8" spans="1:5" ht="15.75" customHeight="1">
      <c r="A8" s="71" t="s">
        <v>104</v>
      </c>
      <c r="B8" s="46" t="s">
        <v>667</v>
      </c>
      <c r="C8" s="46" t="s">
        <v>576</v>
      </c>
      <c r="D8" s="47">
        <v>20</v>
      </c>
      <c r="E8" s="72">
        <f>IF(C8="","",IFERROR(VLOOKUP(C8,'ITEM LIST'!B:M,12,0)*D8,0))</f>
        <v>0.4</v>
      </c>
    </row>
    <row r="9" spans="1:5" ht="15.75" customHeight="1">
      <c r="A9" s="71" t="s">
        <v>104</v>
      </c>
      <c r="B9" s="46" t="s">
        <v>667</v>
      </c>
      <c r="C9" s="46" t="s">
        <v>574</v>
      </c>
      <c r="D9" s="47">
        <v>50</v>
      </c>
      <c r="E9" s="72">
        <f>IF(C9="","",IFERROR(VLOOKUP(C9,'ITEM LIST'!B:M,12,0)*D9,0))</f>
        <v>3.5825000000000005</v>
      </c>
    </row>
    <row r="10" spans="1:5" ht="15.75" customHeight="1">
      <c r="A10" s="71" t="s">
        <v>104</v>
      </c>
      <c r="B10" s="46" t="s">
        <v>371</v>
      </c>
      <c r="C10" s="46"/>
      <c r="D10" s="47"/>
      <c r="E10" s="72" t="str">
        <f>IF(C10="","",IFERROR(VLOOKUP(C10,'ITEM LIST'!B:M,12,0)*D10,0))</f>
        <v/>
      </c>
    </row>
    <row r="11" spans="1:5" ht="15.75" customHeight="1">
      <c r="A11" s="71" t="s">
        <v>104</v>
      </c>
      <c r="B11" s="46" t="s">
        <v>666</v>
      </c>
      <c r="C11" s="46" t="s">
        <v>543</v>
      </c>
      <c r="D11" s="47">
        <v>130</v>
      </c>
      <c r="E11" s="72">
        <f>IF(C11="","",IFERROR(VLOOKUP(C11,'ITEM LIST'!B:M,12,0)*D11,0))</f>
        <v>37.641500000000001</v>
      </c>
    </row>
    <row r="12" spans="1:5" ht="15.75" customHeight="1">
      <c r="A12" s="71" t="s">
        <v>104</v>
      </c>
      <c r="B12" s="46" t="s">
        <v>666</v>
      </c>
      <c r="C12" s="46" t="s">
        <v>292</v>
      </c>
      <c r="D12" s="47">
        <v>150</v>
      </c>
      <c r="E12" s="72">
        <f>IF(C12="","",IFERROR(VLOOKUP(C12,'ITEM LIST'!B:M,12,0)*D12,0))</f>
        <v>7.2</v>
      </c>
    </row>
    <row r="13" spans="1:5" ht="15.75" customHeight="1">
      <c r="A13" s="71" t="s">
        <v>104</v>
      </c>
      <c r="B13" s="46" t="s">
        <v>666</v>
      </c>
      <c r="C13" s="46" t="s">
        <v>576</v>
      </c>
      <c r="D13" s="47">
        <v>20</v>
      </c>
      <c r="E13" s="72">
        <f>IF(C13="","",IFERROR(VLOOKUP(C13,'ITEM LIST'!B:M,12,0)*D13,0))</f>
        <v>0.4</v>
      </c>
    </row>
    <row r="14" spans="1:5" ht="15.75" customHeight="1">
      <c r="A14" s="71" t="s">
        <v>104</v>
      </c>
      <c r="B14" s="46" t="s">
        <v>666</v>
      </c>
      <c r="C14" s="46" t="s">
        <v>574</v>
      </c>
      <c r="D14" s="47">
        <v>50</v>
      </c>
      <c r="E14" s="72">
        <f>IF(C14="","",IFERROR(VLOOKUP(C14,'ITEM LIST'!B:M,12,0)*D14,0))</f>
        <v>3.5825000000000005</v>
      </c>
    </row>
    <row r="15" spans="1:5" ht="15.75" customHeight="1">
      <c r="A15" s="71" t="s">
        <v>104</v>
      </c>
      <c r="B15" s="46" t="s">
        <v>666</v>
      </c>
      <c r="C15" s="46" t="s">
        <v>0</v>
      </c>
      <c r="D15" s="47">
        <v>1.35</v>
      </c>
      <c r="E15" s="72">
        <f>IF(C15="","",IFERROR(VLOOKUP(C15,'ITEM LIST'!B:M,12,0)*D15,0))</f>
        <v>1.1745000000000001</v>
      </c>
    </row>
    <row r="16" spans="1:5" ht="15.75" customHeight="1">
      <c r="A16" s="71" t="s">
        <v>104</v>
      </c>
      <c r="B16" s="46" t="s">
        <v>666</v>
      </c>
      <c r="C16" s="46" t="s">
        <v>103</v>
      </c>
      <c r="D16" s="47">
        <v>1.35</v>
      </c>
      <c r="E16" s="72">
        <f>IF(C16="","",IFERROR(VLOOKUP(C16,'ITEM LIST'!B:M,12,0)*D16,0))</f>
        <v>2.4300000000000002</v>
      </c>
    </row>
    <row r="17" spans="1:5" ht="15.75" customHeight="1">
      <c r="A17" s="71" t="s">
        <v>104</v>
      </c>
      <c r="B17" s="46" t="s">
        <v>371</v>
      </c>
      <c r="C17" s="46"/>
      <c r="D17" s="47"/>
      <c r="E17" s="72" t="str">
        <f>IF(C17="","",IFERROR(VLOOKUP(C17,'ITEM LIST'!B:M,12,0)*D17,0))</f>
        <v/>
      </c>
    </row>
    <row r="18" spans="1:5" ht="15.75" customHeight="1">
      <c r="A18" s="71" t="s">
        <v>104</v>
      </c>
      <c r="B18" s="46" t="s">
        <v>665</v>
      </c>
      <c r="C18" s="46" t="s">
        <v>421</v>
      </c>
      <c r="D18" s="47">
        <v>260</v>
      </c>
      <c r="E18" s="72">
        <f>IF(C18="","",IFERROR(VLOOKUP(C18,'ITEM LIST'!B:M,12,0)*D18,0))</f>
        <v>14.04</v>
      </c>
    </row>
    <row r="19" spans="1:5" ht="15.75" customHeight="1">
      <c r="A19" s="71" t="s">
        <v>104</v>
      </c>
      <c r="B19" s="46" t="s">
        <v>665</v>
      </c>
      <c r="C19" s="46" t="s">
        <v>577</v>
      </c>
      <c r="D19" s="47">
        <v>5</v>
      </c>
      <c r="E19" s="72">
        <f>IF(C19="","",IFERROR(VLOOKUP(C19,'ITEM LIST'!B:M,12,0)*D19,0))</f>
        <v>13</v>
      </c>
    </row>
    <row r="20" spans="1:5" ht="15.75" customHeight="1">
      <c r="A20" s="71" t="s">
        <v>104</v>
      </c>
      <c r="B20" s="46" t="s">
        <v>665</v>
      </c>
      <c r="C20" s="46" t="s">
        <v>500</v>
      </c>
      <c r="D20" s="47">
        <v>5.2</v>
      </c>
      <c r="E20" s="72">
        <f>IF(C20="","",IFERROR(VLOOKUP(C20,'ITEM LIST'!B:M,12,0)*D20,0))</f>
        <v>0.41600000000000004</v>
      </c>
    </row>
    <row r="21" spans="1:5" ht="15.75" customHeight="1">
      <c r="A21" s="71" t="s">
        <v>104</v>
      </c>
      <c r="B21" s="46" t="s">
        <v>665</v>
      </c>
      <c r="C21" s="46" t="s">
        <v>0</v>
      </c>
      <c r="D21" s="47">
        <v>3.9</v>
      </c>
      <c r="E21" s="72">
        <f>IF(C21="","",IFERROR(VLOOKUP(C21,'ITEM LIST'!B:M,12,0)*D21,0))</f>
        <v>3.3929999999999998</v>
      </c>
    </row>
    <row r="22" spans="1:5" ht="15.75" customHeight="1">
      <c r="A22" s="71" t="s">
        <v>104</v>
      </c>
      <c r="B22" s="46" t="s">
        <v>665</v>
      </c>
      <c r="C22" s="46" t="s">
        <v>103</v>
      </c>
      <c r="D22" s="47">
        <v>3.9</v>
      </c>
      <c r="E22" s="72">
        <f>IF(C22="","",IFERROR(VLOOKUP(C22,'ITEM LIST'!B:M,12,0)*D22,0))</f>
        <v>7.02</v>
      </c>
    </row>
    <row r="23" spans="1:5" ht="15.75" customHeight="1">
      <c r="A23" s="71" t="s">
        <v>104</v>
      </c>
      <c r="B23" s="46" t="s">
        <v>665</v>
      </c>
      <c r="C23" s="46" t="s">
        <v>411</v>
      </c>
      <c r="D23" s="47">
        <v>2.5000000000000001E-2</v>
      </c>
      <c r="E23" s="72">
        <f>IF(C23="","",IFERROR(VLOOKUP(C23,'ITEM LIST'!B:M,12,0)*D23,0))</f>
        <v>2.625</v>
      </c>
    </row>
    <row r="24" spans="1:5" ht="15.75" customHeight="1">
      <c r="A24" s="71" t="s">
        <v>104</v>
      </c>
      <c r="B24" s="46" t="s">
        <v>665</v>
      </c>
      <c r="C24" s="46" t="s">
        <v>352</v>
      </c>
      <c r="D24" s="47">
        <v>5.2</v>
      </c>
      <c r="E24" s="72">
        <f>IF(C24="","",IFERROR(VLOOKUP(C24,'ITEM LIST'!B:M,12,0)*D24,0))</f>
        <v>8.32</v>
      </c>
    </row>
    <row r="25" spans="1:5" ht="15.75" customHeight="1">
      <c r="A25" s="71" t="s">
        <v>104</v>
      </c>
      <c r="B25" s="46" t="s">
        <v>665</v>
      </c>
      <c r="C25" s="46" t="s">
        <v>292</v>
      </c>
      <c r="D25" s="47">
        <v>150</v>
      </c>
      <c r="E25" s="72">
        <f>IF(C25="","",IFERROR(VLOOKUP(C25,'ITEM LIST'!B:M,12,0)*D25,0))</f>
        <v>7.2</v>
      </c>
    </row>
    <row r="26" spans="1:5" ht="15.75" customHeight="1">
      <c r="A26" s="71" t="s">
        <v>104</v>
      </c>
      <c r="B26" s="46" t="s">
        <v>665</v>
      </c>
      <c r="C26" s="46" t="s">
        <v>574</v>
      </c>
      <c r="D26" s="47">
        <v>50</v>
      </c>
      <c r="E26" s="72">
        <f>IF(C26="","",IFERROR(VLOOKUP(C26,'ITEM LIST'!B:M,12,0)*D26,0))</f>
        <v>3.5825000000000005</v>
      </c>
    </row>
    <row r="27" spans="1:5" ht="15.75" customHeight="1">
      <c r="A27" s="71" t="s">
        <v>104</v>
      </c>
      <c r="B27" s="46" t="s">
        <v>371</v>
      </c>
      <c r="C27" s="46"/>
      <c r="D27" s="47"/>
      <c r="E27" s="72" t="str">
        <f>IF(C27="","",IFERROR(VLOOKUP(C27,'ITEM LIST'!B:M,12,0)*D27,0))</f>
        <v/>
      </c>
    </row>
    <row r="28" spans="1:5" ht="15.75" customHeight="1">
      <c r="A28" s="71" t="s">
        <v>104</v>
      </c>
      <c r="B28" s="46" t="s">
        <v>664</v>
      </c>
      <c r="C28" s="46" t="s">
        <v>543</v>
      </c>
      <c r="D28" s="47">
        <v>80</v>
      </c>
      <c r="E28" s="72">
        <f>IF(C28="","",IFERROR(VLOOKUP(C28,'ITEM LIST'!B:M,12,0)*D28,0))</f>
        <v>23.164000000000001</v>
      </c>
    </row>
    <row r="29" spans="1:5" ht="15.75" customHeight="1">
      <c r="A29" s="71" t="s">
        <v>104</v>
      </c>
      <c r="B29" s="46" t="s">
        <v>664</v>
      </c>
      <c r="C29" s="46" t="s">
        <v>524</v>
      </c>
      <c r="D29" s="47">
        <v>48</v>
      </c>
      <c r="E29" s="72">
        <f>IF(C29="","",IFERROR(VLOOKUP(C29,'ITEM LIST'!B:M,12,0)*D29,0))</f>
        <v>10.56</v>
      </c>
    </row>
    <row r="30" spans="1:5" ht="15.75" customHeight="1">
      <c r="A30" s="71" t="s">
        <v>104</v>
      </c>
      <c r="B30" s="46" t="s">
        <v>664</v>
      </c>
      <c r="C30" s="46" t="s">
        <v>292</v>
      </c>
      <c r="D30" s="47">
        <v>150</v>
      </c>
      <c r="E30" s="72">
        <f>IF(C30="","",IFERROR(VLOOKUP(C30,'ITEM LIST'!B:M,12,0)*D30,0))</f>
        <v>7.2</v>
      </c>
    </row>
    <row r="31" spans="1:5" ht="15.75" customHeight="1">
      <c r="A31" s="71" t="s">
        <v>104</v>
      </c>
      <c r="B31" s="46" t="s">
        <v>664</v>
      </c>
      <c r="C31" s="46" t="s">
        <v>576</v>
      </c>
      <c r="D31" s="47">
        <v>20</v>
      </c>
      <c r="E31" s="72">
        <f>IF(C31="","",IFERROR(VLOOKUP(C31,'ITEM LIST'!B:M,12,0)*D31,0))</f>
        <v>0.4</v>
      </c>
    </row>
    <row r="32" spans="1:5" ht="15.75" customHeight="1">
      <c r="A32" s="71" t="s">
        <v>104</v>
      </c>
      <c r="B32" s="46" t="s">
        <v>664</v>
      </c>
      <c r="C32" s="46" t="s">
        <v>574</v>
      </c>
      <c r="D32" s="47">
        <v>50</v>
      </c>
      <c r="E32" s="72">
        <f>IF(C32="","",IFERROR(VLOOKUP(C32,'ITEM LIST'!B:M,12,0)*D32,0))</f>
        <v>3.5825000000000005</v>
      </c>
    </row>
    <row r="33" spans="1:7" ht="15.75" customHeight="1">
      <c r="A33" s="76"/>
      <c r="B33" s="77" t="s">
        <v>371</v>
      </c>
      <c r="C33" s="77"/>
      <c r="D33" s="78"/>
      <c r="E33" s="79"/>
    </row>
    <row r="34" spans="1:7" ht="15.75" customHeight="1">
      <c r="A34" s="1"/>
      <c r="E34" s="6" t="str">
        <f>IF(C34="","",IFERROR(VLOOKUP(C34,'ITEM LIST'!B:M,12,0)*D34,0))</f>
        <v/>
      </c>
      <c r="G34" s="3"/>
    </row>
    <row r="35" spans="1:7" ht="15.75" customHeight="1">
      <c r="A35" s="1"/>
      <c r="E35" s="6" t="str">
        <f>IF(C35="","",IFERROR(VLOOKUP(C35,'ITEM LIST'!B:M,12,0)*D35,0))</f>
        <v/>
      </c>
    </row>
    <row r="36" spans="1:7" ht="15.75" customHeight="1">
      <c r="A36" s="1"/>
      <c r="E36" s="6" t="str">
        <f>IF(C36="","",IFERROR(VLOOKUP(C36,'ITEM LIST'!B:M,12,0)*D36,0))</f>
        <v/>
      </c>
    </row>
    <row r="37" spans="1:7" ht="15.75" customHeight="1">
      <c r="A37" s="1"/>
      <c r="E37" s="6" t="str">
        <f>IF(C37="","",IFERROR(VLOOKUP(C37,'ITEM LIST'!B:M,12,0)*D37,0))</f>
        <v/>
      </c>
    </row>
    <row r="38" spans="1:7" ht="15.75" customHeight="1">
      <c r="A38" s="1"/>
      <c r="E38" s="6" t="str">
        <f>IF(C38="","",IFERROR(VLOOKUP(C38,'ITEM LIST'!B:M,12,0)*D38,0))</f>
        <v/>
      </c>
    </row>
    <row r="39" spans="1:7" ht="15.75" customHeight="1">
      <c r="A39" s="1"/>
    </row>
    <row r="40" spans="1:7" ht="15.75" customHeight="1">
      <c r="A40" s="1"/>
    </row>
    <row r="41" spans="1:7" ht="15">
      <c r="A41" s="8"/>
      <c r="B41" s="1"/>
      <c r="C41" s="7"/>
      <c r="D41" s="1"/>
    </row>
    <row r="42" spans="1:7" ht="15">
      <c r="A42" s="1"/>
      <c r="B42" s="1"/>
      <c r="C42" s="7"/>
      <c r="D42" s="1"/>
    </row>
    <row r="43" spans="1:7" ht="12.75">
      <c r="A43" s="1"/>
    </row>
    <row r="44" spans="1:7" ht="12.75">
      <c r="A44" s="1"/>
    </row>
    <row r="45" spans="1:7" ht="12.75">
      <c r="A45" s="1"/>
    </row>
    <row r="46" spans="1:7" ht="12.75">
      <c r="A46" s="1"/>
    </row>
    <row r="47" spans="1:7" ht="12.75">
      <c r="A47" s="1"/>
    </row>
    <row r="48" spans="1:7" ht="12.75">
      <c r="A48" s="1"/>
    </row>
    <row r="49" spans="1:1" ht="12.75">
      <c r="A49" s="1"/>
    </row>
    <row r="50" spans="1:1" ht="12.75">
      <c r="A50" s="1"/>
    </row>
    <row r="51" spans="1:1" ht="12.75">
      <c r="A51" s="1"/>
    </row>
    <row r="52" spans="1:1" ht="12.75">
      <c r="A52" s="1"/>
    </row>
    <row r="53" spans="1:1" ht="12.75">
      <c r="A53" s="1"/>
    </row>
    <row r="54" spans="1:1" ht="12.75">
      <c r="A54" s="1"/>
    </row>
    <row r="55" spans="1:1" ht="12.75">
      <c r="A55" s="1"/>
    </row>
    <row r="56" spans="1:1" ht="12.75">
      <c r="A56" s="1"/>
    </row>
    <row r="57" spans="1:1" ht="12.75">
      <c r="A57" s="1"/>
    </row>
    <row r="58" spans="1:1" ht="12.75">
      <c r="A58" s="1"/>
    </row>
    <row r="59" spans="1:1" ht="12.75">
      <c r="A59" s="1"/>
    </row>
    <row r="60" spans="1:1" ht="12.75">
      <c r="A60" s="1"/>
    </row>
    <row r="61" spans="1:1" ht="12.75">
      <c r="A61" s="1"/>
    </row>
    <row r="62" spans="1:1" ht="12.75">
      <c r="A62" s="1"/>
    </row>
    <row r="63" spans="1:1" ht="12.75">
      <c r="A63" s="1"/>
    </row>
    <row r="64" spans="1:1" ht="12.75">
      <c r="A64" s="1"/>
    </row>
    <row r="65" spans="1:1" ht="12.75">
      <c r="A65" s="1"/>
    </row>
    <row r="66" spans="1:1" ht="12.75">
      <c r="A66" s="1"/>
    </row>
    <row r="67" spans="1:1" ht="12.75">
      <c r="A67" s="1"/>
    </row>
    <row r="68" spans="1:1" ht="12.75">
      <c r="A68" s="1"/>
    </row>
    <row r="69" spans="1:1" ht="12.75">
      <c r="A69" s="1"/>
    </row>
    <row r="70" spans="1:1" ht="12.75">
      <c r="A70" s="1"/>
    </row>
    <row r="71" spans="1:1" ht="12.75">
      <c r="A71" s="1"/>
    </row>
    <row r="72" spans="1:1" ht="12.75">
      <c r="A72" s="1"/>
    </row>
    <row r="73" spans="1:1" ht="12.75">
      <c r="A73" s="1"/>
    </row>
    <row r="74" spans="1:1" ht="12.75">
      <c r="A74" s="1"/>
    </row>
    <row r="75" spans="1:1" ht="12.75">
      <c r="A75" s="1"/>
    </row>
    <row r="76" spans="1:1" ht="12.75">
      <c r="A76" s="1"/>
    </row>
    <row r="77" spans="1:1" ht="12.75">
      <c r="A77" s="1"/>
    </row>
    <row r="78" spans="1:1" ht="12.75">
      <c r="A78" s="1"/>
    </row>
    <row r="79" spans="1:1" ht="12.75">
      <c r="A79" s="1"/>
    </row>
    <row r="80" spans="1:1" ht="12.75">
      <c r="A80" s="1"/>
    </row>
    <row r="81" spans="1:1" ht="12.75">
      <c r="A81" s="1"/>
    </row>
    <row r="82" spans="1:1" ht="12.75">
      <c r="A82" s="1"/>
    </row>
    <row r="83" spans="1:1" ht="12.75">
      <c r="A83" s="1"/>
    </row>
    <row r="84" spans="1:1" ht="12.75">
      <c r="A84" s="1"/>
    </row>
    <row r="85" spans="1:1" ht="12.75">
      <c r="A85" s="1"/>
    </row>
    <row r="86" spans="1:1" ht="12.75">
      <c r="A86" s="1"/>
    </row>
    <row r="87" spans="1:1" ht="12.75">
      <c r="A87" s="1"/>
    </row>
    <row r="88" spans="1:1" ht="12.75">
      <c r="A88" s="1"/>
    </row>
    <row r="89" spans="1:1" ht="12.75">
      <c r="A89" s="1"/>
    </row>
    <row r="90" spans="1:1" ht="12.75">
      <c r="A90" s="1"/>
    </row>
    <row r="91" spans="1:1" ht="12.75">
      <c r="A91" s="1"/>
    </row>
    <row r="92" spans="1:1" ht="12.75">
      <c r="A92" s="1"/>
    </row>
    <row r="93" spans="1:1" ht="12.75">
      <c r="A93" s="1"/>
    </row>
    <row r="94" spans="1:1" ht="12.75">
      <c r="A94" s="1"/>
    </row>
    <row r="95" spans="1:1" ht="12.75">
      <c r="A95" s="1"/>
    </row>
    <row r="96" spans="1:1" ht="12.75">
      <c r="A96" s="1"/>
    </row>
    <row r="97" spans="1:1" ht="12.75">
      <c r="A97" s="1"/>
    </row>
    <row r="98" spans="1:1" ht="12.75">
      <c r="A98" s="1"/>
    </row>
    <row r="99" spans="1:1" ht="12.75">
      <c r="A99" s="1"/>
    </row>
    <row r="100" spans="1:1" ht="12.75">
      <c r="A100" s="1"/>
    </row>
    <row r="101" spans="1:1" ht="12.75">
      <c r="A101" s="1"/>
    </row>
    <row r="102" spans="1:1" ht="12.75">
      <c r="A102" s="1"/>
    </row>
    <row r="103" spans="1:1" ht="12.75">
      <c r="A103" s="1"/>
    </row>
    <row r="104" spans="1:1" ht="12.75">
      <c r="A104" s="1"/>
    </row>
    <row r="105" spans="1:1" ht="12.75">
      <c r="A105" s="1"/>
    </row>
    <row r="106" spans="1:1" ht="12.75">
      <c r="A106" s="1"/>
    </row>
    <row r="107" spans="1:1" ht="12.75">
      <c r="A107" s="1"/>
    </row>
    <row r="108" spans="1:1" ht="12.75">
      <c r="A108" s="1"/>
    </row>
    <row r="109" spans="1:1" ht="12.75">
      <c r="A109" s="1"/>
    </row>
    <row r="110" spans="1:1" ht="12.75">
      <c r="A110" s="1"/>
    </row>
    <row r="111" spans="1:1" ht="12.75">
      <c r="A111" s="1"/>
    </row>
    <row r="112" spans="1:1" ht="12.75">
      <c r="A112" s="1"/>
    </row>
    <row r="113" spans="1:1" ht="12.75">
      <c r="A113" s="1"/>
    </row>
    <row r="114" spans="1:1" ht="12.75">
      <c r="A114" s="1"/>
    </row>
    <row r="115" spans="1:1" ht="12.75">
      <c r="A115" s="1"/>
    </row>
    <row r="116" spans="1:1" ht="12.75">
      <c r="A116" s="1"/>
    </row>
    <row r="117" spans="1:1" ht="12.75">
      <c r="A117" s="1"/>
    </row>
    <row r="118" spans="1:1" ht="12.75">
      <c r="A118" s="1"/>
    </row>
    <row r="119" spans="1:1" ht="12.75">
      <c r="A119" s="1"/>
    </row>
    <row r="120" spans="1:1" ht="12.75">
      <c r="A120" s="1"/>
    </row>
    <row r="121" spans="1:1" ht="12.75">
      <c r="A121" s="1"/>
    </row>
    <row r="122" spans="1:1" ht="12.75">
      <c r="A122" s="1"/>
    </row>
    <row r="123" spans="1:1" ht="12.75">
      <c r="A123" s="1"/>
    </row>
    <row r="124" spans="1:1" ht="12.75">
      <c r="A124" s="1"/>
    </row>
    <row r="125" spans="1:1" ht="12.75">
      <c r="A125" s="1"/>
    </row>
    <row r="126" spans="1:1" ht="12.75">
      <c r="A126" s="1"/>
    </row>
    <row r="127" spans="1:1" ht="12.75">
      <c r="A127" s="1"/>
    </row>
    <row r="128" spans="1:1" ht="12.75">
      <c r="A128" s="1"/>
    </row>
    <row r="129" spans="1:1" ht="12.75">
      <c r="A129" s="1"/>
    </row>
    <row r="130" spans="1:1" ht="12.75">
      <c r="A130" s="1"/>
    </row>
    <row r="131" spans="1:1" ht="12.75">
      <c r="A131" s="1"/>
    </row>
    <row r="132" spans="1:1" ht="12.75">
      <c r="A132" s="1"/>
    </row>
    <row r="133" spans="1:1" ht="12.75">
      <c r="A133" s="1"/>
    </row>
    <row r="134" spans="1:1" ht="12.75">
      <c r="A134" s="1"/>
    </row>
    <row r="135" spans="1:1" ht="12.75">
      <c r="A135" s="1"/>
    </row>
    <row r="136" spans="1:1" ht="12.75">
      <c r="A136" s="1"/>
    </row>
    <row r="137" spans="1:1" ht="12.75">
      <c r="A137" s="1"/>
    </row>
    <row r="138" spans="1:1" ht="12.75">
      <c r="A138" s="1"/>
    </row>
    <row r="139" spans="1:1" ht="12.75">
      <c r="A139" s="1"/>
    </row>
    <row r="140" spans="1:1" ht="12.75">
      <c r="A140" s="1"/>
    </row>
    <row r="141" spans="1:1" ht="12.75">
      <c r="A141" s="1"/>
    </row>
    <row r="142" spans="1:1" ht="12.75">
      <c r="A142" s="1"/>
    </row>
    <row r="143" spans="1:1" ht="12.75">
      <c r="A143" s="1"/>
    </row>
    <row r="144" spans="1:1" ht="12.75">
      <c r="A144" s="1"/>
    </row>
    <row r="145" spans="1:1" ht="12.75">
      <c r="A145" s="1"/>
    </row>
    <row r="146" spans="1:1" ht="12.75">
      <c r="A146" s="1"/>
    </row>
    <row r="147" spans="1:1" ht="12.75">
      <c r="A147" s="1"/>
    </row>
    <row r="148" spans="1:1" ht="12.75">
      <c r="A148" s="1"/>
    </row>
    <row r="149" spans="1:1" ht="12.75">
      <c r="A149" s="1"/>
    </row>
    <row r="150" spans="1:1" ht="12.75">
      <c r="A150" s="1"/>
    </row>
    <row r="151" spans="1:1" ht="12.75">
      <c r="A151" s="1"/>
    </row>
    <row r="152" spans="1:1" ht="12.75">
      <c r="A152" s="1"/>
    </row>
    <row r="153" spans="1:1" ht="12.75">
      <c r="A153" s="1"/>
    </row>
    <row r="154" spans="1:1" ht="12.75">
      <c r="A154" s="1"/>
    </row>
    <row r="155" spans="1:1" ht="12.75">
      <c r="A155" s="1"/>
    </row>
    <row r="156" spans="1:1" ht="12.75">
      <c r="A156" s="1"/>
    </row>
    <row r="157" spans="1:1" ht="12.75">
      <c r="A157" s="1"/>
    </row>
    <row r="158" spans="1:1" ht="12.75">
      <c r="A158" s="1"/>
    </row>
    <row r="159" spans="1:1" ht="12.75">
      <c r="A159" s="1"/>
    </row>
    <row r="160" spans="1:1" ht="12.75">
      <c r="A160" s="1"/>
    </row>
    <row r="161" spans="1:1" ht="12.75">
      <c r="A161" s="1"/>
    </row>
    <row r="162" spans="1:1" ht="12.75">
      <c r="A162" s="1"/>
    </row>
    <row r="163" spans="1:1" ht="12.75">
      <c r="A163" s="1"/>
    </row>
    <row r="164" spans="1:1" ht="12.75">
      <c r="A164" s="1"/>
    </row>
    <row r="165" spans="1:1" ht="12.75">
      <c r="A165" s="1"/>
    </row>
    <row r="166" spans="1:1" ht="12.75">
      <c r="A166" s="1"/>
    </row>
    <row r="167" spans="1:1" ht="12.75">
      <c r="A167" s="1"/>
    </row>
    <row r="168" spans="1:1" ht="12.75">
      <c r="A168" s="1"/>
    </row>
    <row r="169" spans="1:1" ht="12.75">
      <c r="A169" s="1"/>
    </row>
    <row r="170" spans="1:1" ht="12.75">
      <c r="A170" s="1"/>
    </row>
    <row r="171" spans="1:1" ht="12.75">
      <c r="A171" s="1"/>
    </row>
    <row r="172" spans="1:1" ht="12.75">
      <c r="A172" s="1"/>
    </row>
    <row r="173" spans="1:1" ht="12.75">
      <c r="A173" s="1"/>
    </row>
    <row r="174" spans="1:1" ht="12.75">
      <c r="A174" s="1"/>
    </row>
    <row r="175" spans="1:1" ht="12.75">
      <c r="A175" s="1"/>
    </row>
    <row r="176" spans="1:1" ht="12.75">
      <c r="A176" s="1"/>
    </row>
    <row r="177" spans="1:1" ht="12.75">
      <c r="A177" s="1"/>
    </row>
    <row r="178" spans="1:1" ht="12.75">
      <c r="A178" s="1"/>
    </row>
    <row r="179" spans="1:1" ht="12.75">
      <c r="A179" s="1"/>
    </row>
    <row r="180" spans="1:1" ht="12.75">
      <c r="A180" s="1"/>
    </row>
    <row r="181" spans="1:1" ht="12.75">
      <c r="A181" s="1"/>
    </row>
    <row r="182" spans="1:1" ht="12.75">
      <c r="A182" s="1"/>
    </row>
    <row r="183" spans="1:1" ht="12.75">
      <c r="A183" s="1"/>
    </row>
    <row r="184" spans="1:1" ht="12.75">
      <c r="A184" s="1"/>
    </row>
    <row r="185" spans="1:1" ht="12.75">
      <c r="A185" s="1"/>
    </row>
    <row r="186" spans="1:1" ht="12.75">
      <c r="A186" s="1"/>
    </row>
    <row r="187" spans="1:1" ht="12.75">
      <c r="A187" s="1"/>
    </row>
    <row r="188" spans="1:1" ht="12.75">
      <c r="A188" s="1"/>
    </row>
    <row r="189" spans="1:1" ht="12.75">
      <c r="A189" s="1"/>
    </row>
    <row r="190" spans="1:1" ht="12.75">
      <c r="A190" s="1"/>
    </row>
    <row r="191" spans="1:1" ht="12.75">
      <c r="A191" s="1"/>
    </row>
    <row r="192" spans="1:1" ht="12.75">
      <c r="A192" s="1"/>
    </row>
    <row r="193" spans="1:1" ht="12.75">
      <c r="A193" s="1"/>
    </row>
    <row r="194" spans="1:1" ht="12.75">
      <c r="A194" s="1"/>
    </row>
    <row r="195" spans="1:1" ht="12.75">
      <c r="A195" s="1"/>
    </row>
    <row r="196" spans="1:1" ht="12.75">
      <c r="A196" s="1"/>
    </row>
    <row r="197" spans="1:1" ht="12.75">
      <c r="A197" s="1"/>
    </row>
    <row r="198" spans="1:1" ht="12.75">
      <c r="A198" s="1"/>
    </row>
    <row r="199" spans="1:1" ht="12.75">
      <c r="A199" s="1"/>
    </row>
    <row r="200" spans="1:1" ht="12.75">
      <c r="A200" s="1"/>
    </row>
    <row r="201" spans="1:1" ht="12.75">
      <c r="A201" s="1"/>
    </row>
    <row r="202" spans="1:1" ht="12.75">
      <c r="A202" s="1"/>
    </row>
    <row r="203" spans="1:1" ht="12.75">
      <c r="A203" s="1"/>
    </row>
    <row r="204" spans="1:1" ht="12.75">
      <c r="A204" s="1"/>
    </row>
    <row r="205" spans="1:1" ht="12.75">
      <c r="A205" s="1"/>
    </row>
    <row r="206" spans="1:1" ht="12.75">
      <c r="A206" s="1"/>
    </row>
    <row r="207" spans="1:1" ht="12.75">
      <c r="A207" s="1"/>
    </row>
    <row r="208" spans="1:1" ht="12.75">
      <c r="A208" s="1"/>
    </row>
    <row r="209" spans="1:1" ht="12.75">
      <c r="A209" s="1"/>
    </row>
    <row r="210" spans="1:1" ht="12.75">
      <c r="A210" s="1"/>
    </row>
    <row r="211" spans="1:1" ht="12.75">
      <c r="A211" s="1"/>
    </row>
    <row r="212" spans="1:1" ht="12.75">
      <c r="A212" s="1"/>
    </row>
    <row r="213" spans="1:1" ht="12.75">
      <c r="A213" s="1"/>
    </row>
    <row r="214" spans="1:1" ht="12.75">
      <c r="A214" s="1"/>
    </row>
    <row r="215" spans="1:1" ht="12.75">
      <c r="A215" s="1"/>
    </row>
    <row r="216" spans="1:1" ht="12.75">
      <c r="A216" s="1"/>
    </row>
    <row r="217" spans="1:1" ht="12.75">
      <c r="A217" s="1"/>
    </row>
    <row r="218" spans="1:1" ht="12.75">
      <c r="A218" s="1"/>
    </row>
    <row r="219" spans="1:1" ht="12.75">
      <c r="A219" s="1"/>
    </row>
    <row r="220" spans="1:1" ht="12.75">
      <c r="A220" s="1"/>
    </row>
    <row r="221" spans="1:1" ht="12.75">
      <c r="A221" s="1"/>
    </row>
    <row r="222" spans="1:1" ht="12.75">
      <c r="A222" s="1"/>
    </row>
    <row r="223" spans="1:1" ht="12.75">
      <c r="A223" s="1"/>
    </row>
    <row r="224" spans="1:1" ht="12.75">
      <c r="A224" s="1"/>
    </row>
    <row r="225" spans="1:1" ht="12.75">
      <c r="A225" s="1"/>
    </row>
    <row r="226" spans="1:1" ht="12.75">
      <c r="A226" s="1"/>
    </row>
    <row r="227" spans="1:1" ht="12.75">
      <c r="A227" s="1"/>
    </row>
    <row r="228" spans="1:1" ht="12.75">
      <c r="A228" s="1"/>
    </row>
    <row r="229" spans="1:1" ht="12.75">
      <c r="A229" s="1"/>
    </row>
    <row r="230" spans="1:1" ht="12.75">
      <c r="A230" s="1"/>
    </row>
    <row r="231" spans="1:1" ht="12.75">
      <c r="A231" s="1"/>
    </row>
    <row r="232" spans="1:1" ht="12.75">
      <c r="A232" s="1"/>
    </row>
    <row r="233" spans="1:1" ht="12.75">
      <c r="A233" s="1"/>
    </row>
    <row r="234" spans="1:1" ht="12.75">
      <c r="A234" s="1"/>
    </row>
    <row r="235" spans="1:1" ht="12.75">
      <c r="A235" s="1"/>
    </row>
    <row r="236" spans="1:1" ht="12.75">
      <c r="A236" s="1"/>
    </row>
    <row r="237" spans="1:1" ht="12.75">
      <c r="A237" s="1"/>
    </row>
    <row r="238" spans="1:1" ht="12.75">
      <c r="A238" s="1"/>
    </row>
    <row r="239" spans="1:1" ht="12.75">
      <c r="A239" s="1"/>
    </row>
    <row r="240" spans="1:1" ht="12.75">
      <c r="A240" s="1"/>
    </row>
    <row r="241" spans="1:1" ht="12.75">
      <c r="A241" s="1"/>
    </row>
    <row r="242" spans="1:1" ht="12.75">
      <c r="A242" s="1"/>
    </row>
    <row r="243" spans="1:1" ht="12.75">
      <c r="A243" s="1"/>
    </row>
    <row r="244" spans="1:1" ht="12.75">
      <c r="A244" s="1"/>
    </row>
    <row r="245" spans="1:1" ht="12.75">
      <c r="A245" s="1"/>
    </row>
    <row r="246" spans="1:1" ht="12.75">
      <c r="A246" s="1"/>
    </row>
    <row r="247" spans="1:1" ht="12.75">
      <c r="A247" s="1"/>
    </row>
    <row r="248" spans="1:1" ht="12.75">
      <c r="A248" s="1"/>
    </row>
    <row r="249" spans="1:1" ht="12.75">
      <c r="A249" s="1"/>
    </row>
    <row r="250" spans="1:1" ht="12.75">
      <c r="A250" s="1"/>
    </row>
    <row r="251" spans="1:1" ht="12.75">
      <c r="A251" s="1"/>
    </row>
    <row r="252" spans="1:1" ht="12.75">
      <c r="A252" s="1"/>
    </row>
    <row r="253" spans="1:1" ht="12.75">
      <c r="A253" s="1"/>
    </row>
    <row r="254" spans="1:1" ht="12.75">
      <c r="A254" s="1"/>
    </row>
    <row r="255" spans="1:1" ht="12.75">
      <c r="A255" s="1"/>
    </row>
    <row r="256" spans="1:1" ht="12.75">
      <c r="A256" s="1"/>
    </row>
    <row r="257" spans="1:1" ht="12.75">
      <c r="A257" s="1"/>
    </row>
    <row r="258" spans="1:1" ht="12.75">
      <c r="A258" s="1"/>
    </row>
    <row r="259" spans="1:1" ht="12.75">
      <c r="A259" s="1"/>
    </row>
    <row r="260" spans="1:1" ht="12.75">
      <c r="A260" s="1"/>
    </row>
    <row r="261" spans="1:1" ht="12.75">
      <c r="A261" s="1"/>
    </row>
    <row r="262" spans="1:1" ht="12.75">
      <c r="A262" s="1"/>
    </row>
    <row r="263" spans="1:1" ht="12.75">
      <c r="A263" s="1"/>
    </row>
    <row r="264" spans="1:1" ht="12.75">
      <c r="A264" s="1"/>
    </row>
    <row r="265" spans="1:1" ht="12.75">
      <c r="A265" s="1"/>
    </row>
    <row r="266" spans="1:1" ht="12.75">
      <c r="A266" s="1"/>
    </row>
    <row r="267" spans="1:1" ht="12.75">
      <c r="A267" s="1"/>
    </row>
    <row r="268" spans="1:1" ht="12.75">
      <c r="A268" s="1"/>
    </row>
    <row r="269" spans="1:1" ht="12.75">
      <c r="A269" s="1"/>
    </row>
    <row r="270" spans="1:1" ht="12.75">
      <c r="A270" s="1"/>
    </row>
    <row r="271" spans="1:1" ht="12.75">
      <c r="A271" s="1"/>
    </row>
    <row r="272" spans="1:1" ht="12.75">
      <c r="A272" s="1"/>
    </row>
    <row r="273" spans="1:1" ht="12.75">
      <c r="A273" s="1"/>
    </row>
    <row r="274" spans="1:1" ht="12.75">
      <c r="A274" s="1"/>
    </row>
    <row r="275" spans="1:1" ht="12.75">
      <c r="A275" s="1"/>
    </row>
    <row r="276" spans="1:1" ht="12.75">
      <c r="A276" s="1"/>
    </row>
    <row r="277" spans="1:1" ht="12.75">
      <c r="A277" s="1"/>
    </row>
    <row r="278" spans="1:1" ht="12.75">
      <c r="A278" s="1"/>
    </row>
    <row r="279" spans="1:1" ht="12.75">
      <c r="A279" s="1"/>
    </row>
    <row r="280" spans="1:1" ht="12.75">
      <c r="A280" s="1"/>
    </row>
    <row r="281" spans="1:1" ht="12.75">
      <c r="A281" s="1"/>
    </row>
    <row r="282" spans="1:1" ht="12.75">
      <c r="A282" s="1"/>
    </row>
    <row r="283" spans="1:1" ht="12.75">
      <c r="A283" s="1"/>
    </row>
    <row r="284" spans="1:1" ht="12.75">
      <c r="A284" s="1"/>
    </row>
    <row r="285" spans="1:1" ht="12.75">
      <c r="A285" s="1"/>
    </row>
    <row r="286" spans="1:1" ht="12.75">
      <c r="A286" s="1"/>
    </row>
    <row r="287" spans="1:1" ht="12.75">
      <c r="A287" s="1"/>
    </row>
    <row r="288" spans="1:1" ht="12.75">
      <c r="A288" s="1"/>
    </row>
    <row r="289" spans="1:1" ht="12.75">
      <c r="A289" s="1"/>
    </row>
    <row r="290" spans="1:1" ht="12.75">
      <c r="A290" s="1"/>
    </row>
    <row r="291" spans="1:1" ht="12.75">
      <c r="A291" s="1"/>
    </row>
    <row r="292" spans="1:1" ht="12.75">
      <c r="A292" s="1"/>
    </row>
    <row r="293" spans="1:1" ht="12.75">
      <c r="A293" s="1"/>
    </row>
    <row r="294" spans="1:1" ht="12.75">
      <c r="A294" s="1"/>
    </row>
    <row r="295" spans="1:1" ht="12.75">
      <c r="A295" s="1"/>
    </row>
    <row r="296" spans="1:1" ht="12.75">
      <c r="A296" s="1"/>
    </row>
    <row r="297" spans="1:1" ht="12.75">
      <c r="A297" s="1"/>
    </row>
    <row r="298" spans="1:1" ht="12.75">
      <c r="A298" s="1"/>
    </row>
    <row r="299" spans="1:1" ht="12.75">
      <c r="A299" s="1"/>
    </row>
    <row r="300" spans="1:1" ht="12.75">
      <c r="A300" s="1"/>
    </row>
    <row r="301" spans="1:1" ht="12.75">
      <c r="A301" s="1"/>
    </row>
    <row r="302" spans="1:1" ht="12.75">
      <c r="A302" s="1"/>
    </row>
    <row r="303" spans="1:1" ht="12.75">
      <c r="A303" s="1"/>
    </row>
    <row r="304" spans="1:1" ht="12.75">
      <c r="A304" s="1"/>
    </row>
    <row r="305" spans="1:1" ht="12.75">
      <c r="A305" s="1"/>
    </row>
    <row r="306" spans="1:1" ht="12.75">
      <c r="A306" s="1"/>
    </row>
    <row r="307" spans="1:1" ht="12.75">
      <c r="A307" s="1"/>
    </row>
    <row r="308" spans="1:1" ht="12.75">
      <c r="A308" s="1"/>
    </row>
    <row r="309" spans="1:1" ht="12.75">
      <c r="A309" s="1"/>
    </row>
    <row r="310" spans="1:1" ht="12.75">
      <c r="A310" s="1"/>
    </row>
    <row r="311" spans="1:1" ht="12.75">
      <c r="A311" s="1"/>
    </row>
    <row r="312" spans="1:1" ht="12.75">
      <c r="A312" s="1"/>
    </row>
    <row r="313" spans="1:1" ht="12.75">
      <c r="A313" s="1"/>
    </row>
    <row r="314" spans="1:1" ht="12.75">
      <c r="A314" s="1"/>
    </row>
    <row r="315" spans="1:1" ht="12.75">
      <c r="A315" s="1"/>
    </row>
    <row r="316" spans="1:1" ht="12.75">
      <c r="A316" s="1"/>
    </row>
    <row r="317" spans="1:1" ht="12.75">
      <c r="A317" s="1"/>
    </row>
    <row r="318" spans="1:1" ht="12.75">
      <c r="A318" s="1"/>
    </row>
    <row r="319" spans="1:1" ht="12.75">
      <c r="A319" s="1"/>
    </row>
    <row r="320" spans="1:1" ht="12.75">
      <c r="A320" s="1"/>
    </row>
    <row r="321" spans="1:1" ht="12.75">
      <c r="A321" s="1"/>
    </row>
    <row r="322" spans="1:1" ht="12.75">
      <c r="A322" s="1"/>
    </row>
    <row r="323" spans="1:1" ht="12.75">
      <c r="A323" s="1"/>
    </row>
    <row r="324" spans="1:1" ht="12.75">
      <c r="A324" s="1"/>
    </row>
    <row r="325" spans="1:1" ht="12.75">
      <c r="A325" s="1"/>
    </row>
    <row r="326" spans="1:1" ht="12.75">
      <c r="A326" s="1"/>
    </row>
    <row r="327" spans="1:1" ht="12.75">
      <c r="A327" s="1"/>
    </row>
    <row r="328" spans="1:1" ht="12.75">
      <c r="A328" s="1"/>
    </row>
    <row r="329" spans="1:1" ht="12.75">
      <c r="A329" s="1"/>
    </row>
    <row r="330" spans="1:1" ht="12.75">
      <c r="A330" s="1"/>
    </row>
    <row r="331" spans="1:1" ht="12.75">
      <c r="A331" s="1"/>
    </row>
    <row r="332" spans="1:1" ht="12.75">
      <c r="A332" s="1"/>
    </row>
    <row r="333" spans="1:1" ht="12.75">
      <c r="A333" s="1"/>
    </row>
    <row r="334" spans="1:1" ht="12.75">
      <c r="A334" s="1"/>
    </row>
    <row r="335" spans="1:1" ht="12.75">
      <c r="A335" s="1"/>
    </row>
    <row r="336" spans="1:1" ht="12.75">
      <c r="A336" s="1"/>
    </row>
    <row r="337" spans="1:1" ht="12.75">
      <c r="A337" s="1"/>
    </row>
    <row r="338" spans="1:1" ht="12.75">
      <c r="A338" s="1"/>
    </row>
    <row r="339" spans="1:1" ht="12.75">
      <c r="A339" s="1"/>
    </row>
    <row r="340" spans="1:1" ht="12.75">
      <c r="A340" s="1"/>
    </row>
    <row r="341" spans="1:1" ht="12.75">
      <c r="A341" s="1"/>
    </row>
    <row r="342" spans="1:1" ht="12.75">
      <c r="A342" s="1"/>
    </row>
    <row r="343" spans="1:1" ht="12.75">
      <c r="A343" s="1"/>
    </row>
    <row r="344" spans="1:1" ht="12.75">
      <c r="A344" s="1"/>
    </row>
    <row r="345" spans="1:1" ht="12.75">
      <c r="A345" s="1"/>
    </row>
    <row r="346" spans="1:1" ht="12.75">
      <c r="A346" s="1"/>
    </row>
    <row r="347" spans="1:1" ht="12.75">
      <c r="A347" s="1"/>
    </row>
    <row r="348" spans="1:1" ht="12.75">
      <c r="A348" s="1"/>
    </row>
    <row r="349" spans="1:1" ht="12.75">
      <c r="A349" s="1"/>
    </row>
    <row r="350" spans="1:1" ht="12.75">
      <c r="A350" s="1"/>
    </row>
    <row r="351" spans="1:1" ht="12.75">
      <c r="A351" s="1"/>
    </row>
    <row r="352" spans="1:1" ht="12.75">
      <c r="A352" s="1"/>
    </row>
    <row r="353" spans="1:1" ht="12.75">
      <c r="A353" s="1"/>
    </row>
    <row r="354" spans="1:1" ht="12.75">
      <c r="A354" s="1"/>
    </row>
    <row r="355" spans="1:1" ht="12.75">
      <c r="A355" s="1"/>
    </row>
    <row r="356" spans="1:1" ht="12.75">
      <c r="A356" s="1"/>
    </row>
    <row r="357" spans="1:1" ht="12.75">
      <c r="A357" s="1"/>
    </row>
    <row r="358" spans="1:1" ht="12.75">
      <c r="A358" s="1"/>
    </row>
    <row r="359" spans="1:1" ht="12.75">
      <c r="A359" s="1"/>
    </row>
    <row r="360" spans="1:1" ht="12.75">
      <c r="A360" s="1"/>
    </row>
    <row r="361" spans="1:1" ht="12.75">
      <c r="A361" s="1"/>
    </row>
    <row r="362" spans="1:1" ht="12.75">
      <c r="A362" s="1"/>
    </row>
    <row r="363" spans="1:1" ht="12.75">
      <c r="A363" s="1"/>
    </row>
    <row r="364" spans="1:1" ht="12.75">
      <c r="A364" s="1"/>
    </row>
    <row r="365" spans="1:1" ht="12.75">
      <c r="A365" s="1"/>
    </row>
    <row r="366" spans="1:1" ht="12.75">
      <c r="A366" s="1"/>
    </row>
    <row r="367" spans="1:1" ht="12.75">
      <c r="A367" s="1"/>
    </row>
    <row r="368" spans="1:1" ht="12.75">
      <c r="A368" s="1"/>
    </row>
    <row r="369" spans="1:1" ht="12.75">
      <c r="A369" s="1"/>
    </row>
    <row r="370" spans="1:1" ht="12.75">
      <c r="A370" s="1"/>
    </row>
    <row r="371" spans="1:1" ht="12.75">
      <c r="A371" s="1"/>
    </row>
    <row r="372" spans="1:1" ht="12.75">
      <c r="A372" s="1"/>
    </row>
    <row r="373" spans="1:1" ht="12.75">
      <c r="A373" s="1"/>
    </row>
    <row r="374" spans="1:1" ht="12.75">
      <c r="A374" s="1"/>
    </row>
    <row r="375" spans="1:1" ht="12.75">
      <c r="A375" s="1"/>
    </row>
    <row r="376" spans="1:1" ht="12.75">
      <c r="A376" s="1"/>
    </row>
    <row r="377" spans="1:1" ht="12.75">
      <c r="A377" s="1"/>
    </row>
    <row r="378" spans="1:1" ht="12.75">
      <c r="A378" s="1"/>
    </row>
    <row r="379" spans="1:1" ht="12.75">
      <c r="A379" s="1"/>
    </row>
    <row r="380" spans="1:1" ht="12.75">
      <c r="A380" s="1"/>
    </row>
    <row r="381" spans="1:1" ht="12.75">
      <c r="A381" s="1"/>
    </row>
    <row r="382" spans="1:1" ht="12.75">
      <c r="A382" s="1"/>
    </row>
    <row r="383" spans="1:1" ht="12.75">
      <c r="A383" s="1"/>
    </row>
    <row r="384" spans="1:1" ht="12.75">
      <c r="A384" s="1"/>
    </row>
    <row r="385" spans="1:1" ht="12.75">
      <c r="A385" s="1"/>
    </row>
    <row r="386" spans="1:1" ht="12.75">
      <c r="A386" s="1"/>
    </row>
    <row r="387" spans="1:1" ht="12.75">
      <c r="A387" s="1"/>
    </row>
    <row r="388" spans="1:1" ht="12.75">
      <c r="A388" s="1"/>
    </row>
    <row r="389" spans="1:1" ht="12.75">
      <c r="A389" s="1"/>
    </row>
    <row r="390" spans="1:1" ht="12.75">
      <c r="A390" s="1"/>
    </row>
    <row r="391" spans="1:1" ht="12.75">
      <c r="A391" s="1"/>
    </row>
    <row r="392" spans="1:1" ht="12.75">
      <c r="A392" s="1"/>
    </row>
    <row r="393" spans="1:1" ht="12.75">
      <c r="A393" s="1"/>
    </row>
    <row r="394" spans="1:1" ht="12.75">
      <c r="A394" s="1"/>
    </row>
    <row r="395" spans="1:1" ht="12.75">
      <c r="A395" s="1"/>
    </row>
    <row r="396" spans="1:1" ht="12.75">
      <c r="A396" s="1"/>
    </row>
    <row r="397" spans="1:1" ht="12.75">
      <c r="A397" s="1"/>
    </row>
    <row r="398" spans="1:1" ht="12.75">
      <c r="A398" s="1"/>
    </row>
    <row r="399" spans="1:1" ht="12.75">
      <c r="A399" s="1"/>
    </row>
    <row r="400" spans="1:1" ht="12.75">
      <c r="A400" s="1"/>
    </row>
    <row r="401" spans="1:1" ht="12.75">
      <c r="A401" s="1"/>
    </row>
    <row r="402" spans="1:1" ht="12.75">
      <c r="A402" s="1"/>
    </row>
    <row r="403" spans="1:1" ht="12.75">
      <c r="A403" s="1"/>
    </row>
    <row r="404" spans="1:1" ht="12.75">
      <c r="A404" s="1"/>
    </row>
    <row r="405" spans="1:1" ht="12.75">
      <c r="A405" s="1"/>
    </row>
    <row r="406" spans="1:1" ht="12.75">
      <c r="A406" s="1"/>
    </row>
    <row r="407" spans="1:1" ht="12.75">
      <c r="A407" s="1"/>
    </row>
    <row r="408" spans="1:1" ht="12.75">
      <c r="A408" s="1"/>
    </row>
    <row r="409" spans="1:1" ht="12.75">
      <c r="A409" s="1"/>
    </row>
    <row r="410" spans="1:1" ht="12.75">
      <c r="A410" s="1"/>
    </row>
    <row r="411" spans="1:1" ht="12.75">
      <c r="A411" s="1"/>
    </row>
    <row r="412" spans="1:1" ht="12.75">
      <c r="A412" s="1"/>
    </row>
    <row r="413" spans="1:1" ht="12.75">
      <c r="A413" s="1"/>
    </row>
    <row r="414" spans="1:1" ht="12.75">
      <c r="A414" s="1"/>
    </row>
    <row r="415" spans="1:1" ht="12.75">
      <c r="A415" s="1"/>
    </row>
    <row r="416" spans="1:1" ht="12.75">
      <c r="A416" s="1"/>
    </row>
    <row r="417" spans="1:1" ht="12.75">
      <c r="A417" s="1"/>
    </row>
    <row r="418" spans="1:1" ht="12.75">
      <c r="A418" s="1"/>
    </row>
    <row r="419" spans="1:1" ht="12.75">
      <c r="A419" s="1"/>
    </row>
    <row r="420" spans="1:1" ht="12.75">
      <c r="A420" s="1"/>
    </row>
    <row r="421" spans="1:1" ht="12.75">
      <c r="A421" s="1"/>
    </row>
    <row r="422" spans="1:1" ht="12.75">
      <c r="A422" s="1"/>
    </row>
    <row r="423" spans="1:1" ht="12.75">
      <c r="A423" s="1"/>
    </row>
    <row r="424" spans="1:1" ht="12.75">
      <c r="A424" s="1"/>
    </row>
    <row r="425" spans="1:1" ht="12.75">
      <c r="A425" s="1"/>
    </row>
    <row r="426" spans="1:1" ht="12.75">
      <c r="A426" s="1"/>
    </row>
    <row r="427" spans="1:1" ht="12.75">
      <c r="A427" s="1"/>
    </row>
    <row r="428" spans="1:1" ht="12.75">
      <c r="A428" s="1"/>
    </row>
    <row r="429" spans="1:1" ht="12.75">
      <c r="A429" s="1"/>
    </row>
    <row r="430" spans="1:1" ht="12.75">
      <c r="A430" s="1"/>
    </row>
    <row r="431" spans="1:1" ht="12.75">
      <c r="A431" s="1"/>
    </row>
    <row r="432" spans="1:1" ht="12.75">
      <c r="A432" s="1"/>
    </row>
    <row r="433" spans="1:1" ht="12.75">
      <c r="A433" s="1"/>
    </row>
    <row r="434" spans="1:1" ht="12.75">
      <c r="A434" s="1"/>
    </row>
    <row r="435" spans="1:1" ht="12.75">
      <c r="A435" s="1"/>
    </row>
    <row r="436" spans="1:1" ht="12.75">
      <c r="A436" s="1"/>
    </row>
    <row r="437" spans="1:1" ht="12.75">
      <c r="A437" s="1"/>
    </row>
    <row r="438" spans="1:1" ht="12.75">
      <c r="A438" s="1"/>
    </row>
    <row r="439" spans="1:1" ht="12.75">
      <c r="A439" s="1"/>
    </row>
    <row r="440" spans="1:1" ht="12.75">
      <c r="A440" s="1"/>
    </row>
    <row r="441" spans="1:1" ht="12.75">
      <c r="A441" s="1"/>
    </row>
    <row r="442" spans="1:1" ht="12.75">
      <c r="A442" s="1"/>
    </row>
    <row r="443" spans="1:1" ht="12.75">
      <c r="A443" s="1"/>
    </row>
    <row r="444" spans="1:1" ht="12.75">
      <c r="A444" s="1"/>
    </row>
    <row r="445" spans="1:1" ht="12.75">
      <c r="A445" s="1"/>
    </row>
    <row r="446" spans="1:1" ht="12.75">
      <c r="A446" s="1"/>
    </row>
    <row r="447" spans="1:1" ht="12.75">
      <c r="A447" s="1"/>
    </row>
    <row r="448" spans="1:1" ht="12.75">
      <c r="A448" s="1"/>
    </row>
    <row r="449" spans="1:1" ht="12.75">
      <c r="A449" s="1"/>
    </row>
    <row r="450" spans="1:1" ht="12.75">
      <c r="A450" s="1"/>
    </row>
    <row r="451" spans="1:1" ht="12.75">
      <c r="A451" s="1"/>
    </row>
    <row r="452" spans="1:1" ht="12.75">
      <c r="A452" s="1"/>
    </row>
    <row r="453" spans="1:1" ht="12.75">
      <c r="A453" s="1"/>
    </row>
    <row r="454" spans="1:1" ht="12.75">
      <c r="A454" s="1"/>
    </row>
    <row r="455" spans="1:1" ht="12.75">
      <c r="A455" s="1"/>
    </row>
    <row r="456" spans="1:1" ht="12.75">
      <c r="A456" s="1"/>
    </row>
    <row r="457" spans="1:1" ht="12.75">
      <c r="A457" s="1"/>
    </row>
    <row r="458" spans="1:1" ht="12.75">
      <c r="A458" s="1"/>
    </row>
    <row r="459" spans="1:1" ht="12.75">
      <c r="A459" s="1"/>
    </row>
    <row r="460" spans="1:1" ht="12.75">
      <c r="A460" s="1"/>
    </row>
    <row r="461" spans="1:1" ht="12.75">
      <c r="A461" s="1"/>
    </row>
    <row r="462" spans="1:1" ht="12.75">
      <c r="A462" s="1"/>
    </row>
    <row r="463" spans="1:1" ht="12.75">
      <c r="A463" s="1"/>
    </row>
    <row r="464" spans="1:1" ht="12.75">
      <c r="A464" s="1"/>
    </row>
    <row r="465" spans="1:1" ht="12.75">
      <c r="A465" s="1"/>
    </row>
    <row r="466" spans="1:1" ht="12.75">
      <c r="A466" s="1"/>
    </row>
    <row r="467" spans="1:1" ht="12.75">
      <c r="A467" s="1"/>
    </row>
    <row r="468" spans="1:1" ht="12.75">
      <c r="A468" s="1"/>
    </row>
    <row r="469" spans="1:1" ht="12.75">
      <c r="A469" s="1"/>
    </row>
    <row r="470" spans="1:1" ht="12.75">
      <c r="A470" s="1"/>
    </row>
    <row r="471" spans="1:1" ht="12.75">
      <c r="A471" s="1"/>
    </row>
    <row r="472" spans="1:1" ht="12.75">
      <c r="A472" s="1"/>
    </row>
    <row r="473" spans="1:1" ht="12.75">
      <c r="A473" s="1"/>
    </row>
    <row r="474" spans="1:1" ht="12.75">
      <c r="A474" s="1"/>
    </row>
    <row r="475" spans="1:1" ht="12.75">
      <c r="A475" s="1"/>
    </row>
    <row r="476" spans="1:1" ht="12.75">
      <c r="A476" s="1"/>
    </row>
    <row r="477" spans="1:1" ht="12.75">
      <c r="A477" s="1"/>
    </row>
    <row r="478" spans="1:1" ht="12.75">
      <c r="A478" s="1"/>
    </row>
    <row r="479" spans="1:1" ht="12.75">
      <c r="A479" s="1"/>
    </row>
    <row r="480" spans="1:1" ht="12.75">
      <c r="A480" s="1"/>
    </row>
    <row r="481" spans="1:1" ht="12.75">
      <c r="A481" s="1"/>
    </row>
    <row r="482" spans="1:1" ht="12.75">
      <c r="A482" s="1"/>
    </row>
    <row r="483" spans="1:1" ht="12.75">
      <c r="A483" s="1"/>
    </row>
    <row r="484" spans="1:1" ht="12.75">
      <c r="A484" s="1"/>
    </row>
    <row r="485" spans="1:1" ht="12.75">
      <c r="A485" s="1"/>
    </row>
    <row r="486" spans="1:1" ht="12.75">
      <c r="A486" s="1"/>
    </row>
    <row r="487" spans="1:1" ht="12.75">
      <c r="A487" s="1"/>
    </row>
    <row r="488" spans="1:1" ht="12.75">
      <c r="A488" s="1"/>
    </row>
    <row r="489" spans="1:1" ht="12.75">
      <c r="A489" s="1"/>
    </row>
    <row r="490" spans="1:1" ht="12.75">
      <c r="A490" s="1"/>
    </row>
    <row r="491" spans="1:1" ht="12.75">
      <c r="A491" s="1"/>
    </row>
    <row r="492" spans="1:1" ht="12.75">
      <c r="A492" s="1"/>
    </row>
    <row r="493" spans="1:1" ht="12.75">
      <c r="A493" s="1"/>
    </row>
    <row r="494" spans="1:1" ht="12.75">
      <c r="A494" s="1"/>
    </row>
    <row r="495" spans="1:1" ht="12.75">
      <c r="A495" s="1"/>
    </row>
    <row r="496" spans="1:1" ht="12.75">
      <c r="A496" s="1"/>
    </row>
    <row r="497" spans="1:1" ht="12.75">
      <c r="A497" s="1"/>
    </row>
    <row r="498" spans="1:1" ht="12.75">
      <c r="A498" s="1"/>
    </row>
    <row r="499" spans="1:1" ht="12.75">
      <c r="A499" s="1"/>
    </row>
    <row r="500" spans="1:1" ht="12.75">
      <c r="A500" s="1"/>
    </row>
    <row r="501" spans="1:1" ht="12.75">
      <c r="A501" s="1"/>
    </row>
    <row r="502" spans="1:1" ht="12.75">
      <c r="A502" s="1"/>
    </row>
    <row r="503" spans="1:1" ht="12.75">
      <c r="A503" s="1"/>
    </row>
    <row r="504" spans="1:1" ht="12.75">
      <c r="A504" s="1"/>
    </row>
    <row r="505" spans="1:1" ht="12.75">
      <c r="A505" s="1"/>
    </row>
    <row r="506" spans="1:1" ht="12.75">
      <c r="A506" s="1"/>
    </row>
    <row r="507" spans="1:1" ht="12.75">
      <c r="A507" s="1"/>
    </row>
    <row r="508" spans="1:1" ht="12.75">
      <c r="A508" s="1"/>
    </row>
    <row r="509" spans="1:1" ht="12.75">
      <c r="A509" s="1"/>
    </row>
    <row r="510" spans="1:1" ht="12.75">
      <c r="A510" s="1"/>
    </row>
    <row r="511" spans="1:1" ht="12.75">
      <c r="A511" s="1"/>
    </row>
    <row r="512" spans="1:1" ht="12.75">
      <c r="A512" s="1"/>
    </row>
    <row r="513" spans="1:1" ht="12.75">
      <c r="A513" s="1"/>
    </row>
    <row r="514" spans="1:1" ht="12.75">
      <c r="A514" s="1"/>
    </row>
    <row r="515" spans="1:1" ht="12.75">
      <c r="A515" s="1"/>
    </row>
    <row r="516" spans="1:1" ht="12.75">
      <c r="A516" s="1"/>
    </row>
    <row r="517" spans="1:1" ht="12.75">
      <c r="A517" s="1"/>
    </row>
    <row r="518" spans="1:1" ht="12.75">
      <c r="A518" s="1"/>
    </row>
    <row r="519" spans="1:1" ht="12.75">
      <c r="A519" s="1"/>
    </row>
    <row r="520" spans="1:1" ht="12.75">
      <c r="A520" s="1"/>
    </row>
    <row r="521" spans="1:1" ht="12.75">
      <c r="A521" s="1"/>
    </row>
    <row r="522" spans="1:1" ht="12.75">
      <c r="A522" s="1"/>
    </row>
    <row r="523" spans="1:1" ht="12.75">
      <c r="A523" s="1"/>
    </row>
    <row r="524" spans="1:1" ht="12.75">
      <c r="A524" s="1"/>
    </row>
    <row r="525" spans="1:1" ht="12.75">
      <c r="A525" s="1"/>
    </row>
    <row r="526" spans="1:1" ht="12.75">
      <c r="A526" s="1"/>
    </row>
    <row r="527" spans="1:1" ht="12.75">
      <c r="A527" s="1"/>
    </row>
    <row r="528" spans="1:1" ht="12.75">
      <c r="A528" s="1"/>
    </row>
    <row r="529" spans="1:1" ht="12.75">
      <c r="A529" s="1"/>
    </row>
    <row r="530" spans="1:1" ht="12.75">
      <c r="A530" s="1"/>
    </row>
    <row r="531" spans="1:1" ht="12.75">
      <c r="A531" s="1"/>
    </row>
    <row r="532" spans="1:1" ht="12.75">
      <c r="A532" s="1"/>
    </row>
    <row r="533" spans="1:1" ht="12.75">
      <c r="A533" s="1"/>
    </row>
    <row r="534" spans="1:1" ht="12.75">
      <c r="A534" s="1"/>
    </row>
    <row r="535" spans="1:1" ht="12.75">
      <c r="A535" s="1"/>
    </row>
    <row r="536" spans="1:1" ht="12.75">
      <c r="A536" s="1"/>
    </row>
    <row r="537" spans="1:1" ht="12.75">
      <c r="A537" s="1"/>
    </row>
    <row r="538" spans="1:1" ht="12.75">
      <c r="A538" s="1"/>
    </row>
    <row r="539" spans="1:1" ht="12.75">
      <c r="A539" s="1"/>
    </row>
    <row r="540" spans="1:1" ht="12.75">
      <c r="A540" s="1"/>
    </row>
    <row r="541" spans="1:1" ht="12.75">
      <c r="A541" s="1"/>
    </row>
    <row r="542" spans="1:1" ht="12.75">
      <c r="A542" s="1"/>
    </row>
    <row r="543" spans="1:1" ht="12.75">
      <c r="A543" s="1"/>
    </row>
    <row r="544" spans="1:1" ht="12.75">
      <c r="A544" s="1"/>
    </row>
    <row r="545" spans="1:1" ht="12.75">
      <c r="A545" s="1"/>
    </row>
    <row r="546" spans="1:1" ht="12.75">
      <c r="A546" s="1"/>
    </row>
    <row r="547" spans="1:1" ht="12.75">
      <c r="A547" s="1"/>
    </row>
    <row r="548" spans="1:1" ht="12.75">
      <c r="A548" s="1"/>
    </row>
    <row r="549" spans="1:1" ht="12.75">
      <c r="A549" s="1"/>
    </row>
    <row r="550" spans="1:1" ht="12.75">
      <c r="A550" s="1"/>
    </row>
    <row r="551" spans="1:1" ht="12.75">
      <c r="A551" s="1"/>
    </row>
    <row r="552" spans="1:1" ht="12.75">
      <c r="A552" s="1"/>
    </row>
    <row r="553" spans="1:1" ht="12.75">
      <c r="A553" s="1"/>
    </row>
    <row r="554" spans="1:1" ht="12.75">
      <c r="A554" s="1"/>
    </row>
    <row r="555" spans="1:1" ht="12.75">
      <c r="A555" s="1"/>
    </row>
    <row r="556" spans="1:1" ht="12.75">
      <c r="A556" s="1"/>
    </row>
    <row r="557" spans="1:1" ht="12.75">
      <c r="A557" s="1"/>
    </row>
    <row r="558" spans="1:1" ht="12.75">
      <c r="A558" s="1"/>
    </row>
    <row r="559" spans="1:1" ht="12.75">
      <c r="A559" s="1"/>
    </row>
    <row r="560" spans="1:1" ht="12.75">
      <c r="A560" s="1"/>
    </row>
    <row r="561" spans="1:1" ht="12.75">
      <c r="A561" s="1"/>
    </row>
    <row r="562" spans="1:1" ht="12.75">
      <c r="A562" s="1"/>
    </row>
    <row r="563" spans="1:1" ht="12.75">
      <c r="A563" s="1"/>
    </row>
    <row r="564" spans="1:1" ht="12.75">
      <c r="A564" s="1"/>
    </row>
    <row r="565" spans="1:1" ht="12.75">
      <c r="A565" s="1"/>
    </row>
    <row r="566" spans="1:1" ht="12.75">
      <c r="A566" s="1"/>
    </row>
    <row r="567" spans="1:1" ht="12.75">
      <c r="A567" s="1"/>
    </row>
    <row r="568" spans="1:1" ht="12.75">
      <c r="A568" s="1"/>
    </row>
    <row r="569" spans="1:1" ht="12.75">
      <c r="A569" s="1"/>
    </row>
    <row r="570" spans="1:1" ht="12.75">
      <c r="A570" s="1"/>
    </row>
    <row r="571" spans="1:1" ht="12.75">
      <c r="A571" s="1"/>
    </row>
    <row r="572" spans="1:1" ht="12.75">
      <c r="A572" s="1"/>
    </row>
    <row r="573" spans="1:1" ht="12.75">
      <c r="A573" s="1"/>
    </row>
    <row r="574" spans="1:1" ht="12.75">
      <c r="A574" s="1"/>
    </row>
    <row r="575" spans="1:1" ht="12.75">
      <c r="A575" s="1"/>
    </row>
    <row r="576" spans="1:1" ht="12.75">
      <c r="A576" s="1"/>
    </row>
    <row r="577" spans="1:1" ht="12.75">
      <c r="A577" s="1"/>
    </row>
    <row r="578" spans="1:1" ht="12.75">
      <c r="A578" s="1"/>
    </row>
    <row r="579" spans="1:1" ht="12.75">
      <c r="A579" s="1"/>
    </row>
    <row r="580" spans="1:1" ht="12.75">
      <c r="A580" s="1"/>
    </row>
    <row r="581" spans="1:1" ht="12.75">
      <c r="A581" s="1"/>
    </row>
    <row r="582" spans="1:1" ht="12.75">
      <c r="A582" s="1"/>
    </row>
    <row r="583" spans="1:1" ht="12.75">
      <c r="A583" s="1"/>
    </row>
    <row r="584" spans="1:1" ht="12.75">
      <c r="A584" s="1"/>
    </row>
    <row r="585" spans="1:1" ht="12.75">
      <c r="A585" s="1"/>
    </row>
    <row r="586" spans="1:1" ht="12.75">
      <c r="A586" s="1"/>
    </row>
    <row r="587" spans="1:1" ht="12.75">
      <c r="A587" s="1"/>
    </row>
    <row r="588" spans="1:1" ht="12.75">
      <c r="A588" s="1"/>
    </row>
    <row r="589" spans="1:1" ht="12.75">
      <c r="A589" s="1"/>
    </row>
    <row r="590" spans="1:1" ht="12.75">
      <c r="A590" s="1"/>
    </row>
    <row r="591" spans="1:1" ht="12.75">
      <c r="A591" s="1"/>
    </row>
    <row r="592" spans="1:1" ht="12.75">
      <c r="A592" s="1"/>
    </row>
    <row r="593" spans="1:1" ht="12.75">
      <c r="A593" s="1"/>
    </row>
    <row r="594" spans="1:1" ht="12.75">
      <c r="A594" s="1"/>
    </row>
    <row r="595" spans="1:1" ht="12.75">
      <c r="A595" s="1"/>
    </row>
    <row r="596" spans="1:1" ht="12.75">
      <c r="A596" s="1"/>
    </row>
    <row r="597" spans="1:1" ht="12.75">
      <c r="A597" s="1"/>
    </row>
    <row r="598" spans="1:1" ht="12.75">
      <c r="A598" s="1"/>
    </row>
    <row r="599" spans="1:1" ht="12.75">
      <c r="A599" s="1"/>
    </row>
    <row r="600" spans="1:1" ht="12.75">
      <c r="A600" s="1"/>
    </row>
    <row r="601" spans="1:1" ht="12.75">
      <c r="A601" s="1"/>
    </row>
    <row r="602" spans="1:1" ht="12.75">
      <c r="A602" s="1"/>
    </row>
    <row r="603" spans="1:1" ht="12.75">
      <c r="A603" s="1"/>
    </row>
    <row r="604" spans="1:1" ht="12.75">
      <c r="A604" s="1"/>
    </row>
    <row r="605" spans="1:1" ht="12.75">
      <c r="A605" s="1"/>
    </row>
    <row r="606" spans="1:1" ht="12.75">
      <c r="A606" s="1"/>
    </row>
    <row r="607" spans="1:1" ht="12.75">
      <c r="A607" s="1"/>
    </row>
    <row r="608" spans="1:1" ht="12.75">
      <c r="A608" s="1"/>
    </row>
    <row r="609" spans="1:1" ht="12.75">
      <c r="A609" s="1"/>
    </row>
    <row r="610" spans="1:1" ht="12.75">
      <c r="A610" s="1"/>
    </row>
    <row r="611" spans="1:1" ht="12.75">
      <c r="A611" s="1"/>
    </row>
    <row r="612" spans="1:1" ht="12.75">
      <c r="A612" s="1"/>
    </row>
    <row r="613" spans="1:1" ht="12.75">
      <c r="A613" s="1"/>
    </row>
    <row r="614" spans="1:1" ht="12.75">
      <c r="A614" s="1"/>
    </row>
    <row r="615" spans="1:1" ht="12.75">
      <c r="A615" s="1"/>
    </row>
    <row r="616" spans="1:1" ht="12.75">
      <c r="A616" s="1"/>
    </row>
    <row r="617" spans="1:1" ht="12.75">
      <c r="A617" s="1"/>
    </row>
    <row r="618" spans="1:1" ht="12.75">
      <c r="A618" s="1"/>
    </row>
    <row r="619" spans="1:1" ht="12.75">
      <c r="A619" s="1"/>
    </row>
    <row r="620" spans="1:1" ht="12.75">
      <c r="A620" s="1"/>
    </row>
    <row r="621" spans="1:1" ht="12.75">
      <c r="A621" s="1"/>
    </row>
    <row r="622" spans="1:1" ht="12.75">
      <c r="A622" s="1"/>
    </row>
    <row r="623" spans="1:1" ht="12.75">
      <c r="A623" s="1"/>
    </row>
    <row r="624" spans="1:1" ht="12.75">
      <c r="A624" s="1"/>
    </row>
    <row r="625" spans="1:1" ht="12.75">
      <c r="A625" s="1"/>
    </row>
    <row r="626" spans="1:1" ht="12.75">
      <c r="A626" s="1"/>
    </row>
    <row r="627" spans="1:1" ht="12.75">
      <c r="A627" s="1"/>
    </row>
    <row r="628" spans="1:1" ht="12.75">
      <c r="A628" s="1"/>
    </row>
    <row r="629" spans="1:1" ht="12.75">
      <c r="A629" s="1"/>
    </row>
    <row r="630" spans="1:1" ht="12.75">
      <c r="A630" s="1"/>
    </row>
    <row r="631" spans="1:1" ht="12.75">
      <c r="A631" s="1"/>
    </row>
    <row r="632" spans="1:1" ht="12.75">
      <c r="A632" s="1"/>
    </row>
    <row r="633" spans="1:1" ht="12.75">
      <c r="A633" s="1"/>
    </row>
    <row r="634" spans="1:1" ht="12.75">
      <c r="A634" s="1"/>
    </row>
    <row r="635" spans="1:1" ht="12.75">
      <c r="A635" s="1"/>
    </row>
    <row r="636" spans="1:1" ht="12.75">
      <c r="A636" s="1"/>
    </row>
    <row r="637" spans="1:1" ht="12.75">
      <c r="A637" s="1"/>
    </row>
    <row r="638" spans="1:1" ht="12.75">
      <c r="A638" s="1"/>
    </row>
    <row r="639" spans="1:1" ht="12.75">
      <c r="A639" s="1"/>
    </row>
    <row r="640" spans="1:1" ht="12.75">
      <c r="A640" s="1"/>
    </row>
    <row r="641" spans="1:1" ht="12.75">
      <c r="A641" s="1"/>
    </row>
    <row r="642" spans="1:1" ht="12.75">
      <c r="A642" s="1"/>
    </row>
    <row r="643" spans="1:1" ht="12.75">
      <c r="A643" s="1"/>
    </row>
    <row r="644" spans="1:1" ht="12.75">
      <c r="A644" s="1"/>
    </row>
    <row r="645" spans="1:1" ht="12.75">
      <c r="A645" s="1"/>
    </row>
    <row r="646" spans="1:1" ht="12.75">
      <c r="A646" s="1"/>
    </row>
    <row r="647" spans="1:1" ht="12.75">
      <c r="A647" s="1"/>
    </row>
    <row r="648" spans="1:1" ht="12.75">
      <c r="A648" s="1"/>
    </row>
    <row r="649" spans="1:1" ht="12.75">
      <c r="A649" s="1"/>
    </row>
    <row r="650" spans="1:1" ht="12.75">
      <c r="A650" s="1"/>
    </row>
    <row r="651" spans="1:1" ht="12.75">
      <c r="A651" s="1"/>
    </row>
    <row r="652" spans="1:1" ht="12.75">
      <c r="A652" s="1"/>
    </row>
    <row r="653" spans="1:1" ht="12.75">
      <c r="A653" s="1"/>
    </row>
    <row r="654" spans="1:1" ht="12.75">
      <c r="A654" s="1"/>
    </row>
    <row r="655" spans="1:1" ht="12.75">
      <c r="A655" s="1"/>
    </row>
    <row r="656" spans="1:1" ht="12.75">
      <c r="A656" s="1"/>
    </row>
    <row r="657" spans="1:1" ht="12.75">
      <c r="A657" s="1"/>
    </row>
    <row r="658" spans="1:1" ht="12.75">
      <c r="A658" s="1"/>
    </row>
    <row r="659" spans="1:1" ht="12.75">
      <c r="A659" s="1"/>
    </row>
    <row r="660" spans="1:1" ht="12.75">
      <c r="A660" s="1"/>
    </row>
    <row r="661" spans="1:1" ht="12.75">
      <c r="A661" s="1"/>
    </row>
    <row r="662" spans="1:1" ht="12.75">
      <c r="A662" s="1"/>
    </row>
    <row r="663" spans="1:1" ht="12.75">
      <c r="A663" s="1"/>
    </row>
    <row r="664" spans="1:1" ht="12.75">
      <c r="A664" s="1"/>
    </row>
    <row r="665" spans="1:1" ht="12.75">
      <c r="A665" s="1"/>
    </row>
    <row r="666" spans="1:1" ht="12.75">
      <c r="A666" s="1"/>
    </row>
    <row r="667" spans="1:1" ht="12.75">
      <c r="A667" s="1"/>
    </row>
    <row r="668" spans="1:1" ht="12.75">
      <c r="A668" s="1"/>
    </row>
    <row r="669" spans="1:1" ht="12.75">
      <c r="A669" s="1"/>
    </row>
    <row r="670" spans="1:1" ht="12.75">
      <c r="A670" s="1"/>
    </row>
    <row r="671" spans="1:1" ht="12.75">
      <c r="A671" s="1"/>
    </row>
    <row r="672" spans="1:1" ht="12.75">
      <c r="A672" s="1"/>
    </row>
    <row r="673" spans="1:1" ht="12.75">
      <c r="A673" s="1"/>
    </row>
    <row r="674" spans="1:1" ht="12.75">
      <c r="A674" s="1"/>
    </row>
    <row r="675" spans="1:1" ht="12.75">
      <c r="A675" s="1"/>
    </row>
    <row r="676" spans="1:1" ht="12.75">
      <c r="A676" s="1"/>
    </row>
    <row r="677" spans="1:1" ht="12.75">
      <c r="A677" s="1"/>
    </row>
    <row r="678" spans="1:1" ht="12.75">
      <c r="A678" s="1"/>
    </row>
    <row r="679" spans="1:1" ht="12.75">
      <c r="A679" s="1"/>
    </row>
    <row r="680" spans="1:1" ht="12.75">
      <c r="A680" s="1"/>
    </row>
    <row r="681" spans="1:1" ht="12.75">
      <c r="A681" s="1"/>
    </row>
    <row r="682" spans="1:1" ht="12.75">
      <c r="A682" s="1"/>
    </row>
    <row r="683" spans="1:1" ht="12.75">
      <c r="A683" s="1"/>
    </row>
    <row r="684" spans="1:1" ht="12.75">
      <c r="A684" s="1"/>
    </row>
    <row r="685" spans="1:1" ht="12.75">
      <c r="A685" s="1"/>
    </row>
    <row r="686" spans="1:1" ht="12.75">
      <c r="A686" s="1"/>
    </row>
    <row r="687" spans="1:1" ht="12.75">
      <c r="A687" s="1"/>
    </row>
    <row r="688" spans="1:1" ht="12.75">
      <c r="A688" s="1"/>
    </row>
    <row r="689" spans="1:1" ht="12.75">
      <c r="A689" s="1"/>
    </row>
    <row r="690" spans="1:1" ht="12.75">
      <c r="A690" s="1"/>
    </row>
    <row r="691" spans="1:1" ht="12.75">
      <c r="A691" s="1"/>
    </row>
    <row r="692" spans="1:1" ht="12.75">
      <c r="A692" s="1"/>
    </row>
    <row r="693" spans="1:1" ht="12.75">
      <c r="A693" s="1"/>
    </row>
    <row r="694" spans="1:1" ht="12.75">
      <c r="A694" s="1"/>
    </row>
    <row r="695" spans="1:1" ht="12.75">
      <c r="A695" s="1"/>
    </row>
    <row r="696" spans="1:1" ht="12.75">
      <c r="A696" s="1"/>
    </row>
    <row r="697" spans="1:1" ht="12.75">
      <c r="A697" s="1"/>
    </row>
    <row r="698" spans="1:1" ht="12.75">
      <c r="A698" s="1"/>
    </row>
    <row r="699" spans="1:1" ht="12.75">
      <c r="A699" s="1"/>
    </row>
    <row r="700" spans="1:1" ht="12.75">
      <c r="A700" s="1"/>
    </row>
    <row r="701" spans="1:1" ht="12.75">
      <c r="A701" s="1"/>
    </row>
    <row r="702" spans="1:1" ht="12.75">
      <c r="A702" s="1"/>
    </row>
    <row r="703" spans="1:1" ht="12.75">
      <c r="A703" s="1"/>
    </row>
    <row r="704" spans="1:1" ht="12.75">
      <c r="A704" s="1"/>
    </row>
    <row r="705" spans="1:1" ht="12.75">
      <c r="A705" s="1"/>
    </row>
    <row r="706" spans="1:1" ht="12.75">
      <c r="A706" s="1"/>
    </row>
    <row r="707" spans="1:1" ht="12.75">
      <c r="A707" s="1"/>
    </row>
    <row r="708" spans="1:1" ht="12.75">
      <c r="A708" s="1"/>
    </row>
    <row r="709" spans="1:1" ht="12.75">
      <c r="A709" s="1"/>
    </row>
    <row r="710" spans="1:1" ht="12.75">
      <c r="A710" s="1"/>
    </row>
    <row r="711" spans="1:1" ht="12.75">
      <c r="A711" s="1"/>
    </row>
    <row r="712" spans="1:1" ht="12.75">
      <c r="A712" s="1"/>
    </row>
    <row r="713" spans="1:1" ht="12.75">
      <c r="A713" s="1"/>
    </row>
    <row r="714" spans="1:1" ht="12.75">
      <c r="A714" s="1"/>
    </row>
    <row r="715" spans="1:1" ht="12.75">
      <c r="A715" s="1"/>
    </row>
    <row r="716" spans="1:1" ht="12.75">
      <c r="A716" s="1"/>
    </row>
    <row r="717" spans="1:1" ht="12.75">
      <c r="A717" s="1"/>
    </row>
    <row r="718" spans="1:1" ht="12.75">
      <c r="A718" s="1"/>
    </row>
    <row r="719" spans="1:1" ht="12.75">
      <c r="A719" s="1"/>
    </row>
    <row r="720" spans="1:1" ht="12.75">
      <c r="A720" s="1"/>
    </row>
    <row r="721" spans="1:1" ht="12.75">
      <c r="A721" s="1"/>
    </row>
    <row r="722" spans="1:1" ht="12.75">
      <c r="A722" s="1"/>
    </row>
    <row r="723" spans="1:1" ht="12.75">
      <c r="A723" s="1"/>
    </row>
    <row r="724" spans="1:1" ht="12.75">
      <c r="A724" s="1"/>
    </row>
    <row r="725" spans="1:1" ht="12.75">
      <c r="A725" s="1"/>
    </row>
    <row r="726" spans="1:1" ht="12.75">
      <c r="A726" s="1"/>
    </row>
    <row r="727" spans="1:1" ht="12.75">
      <c r="A727" s="1"/>
    </row>
    <row r="728" spans="1:1" ht="12.75">
      <c r="A728" s="1"/>
    </row>
    <row r="729" spans="1:1" ht="12.75">
      <c r="A729" s="1"/>
    </row>
    <row r="730" spans="1:1" ht="12.75">
      <c r="A730" s="1"/>
    </row>
    <row r="731" spans="1:1" ht="12.75">
      <c r="A731" s="1"/>
    </row>
    <row r="732" spans="1:1" ht="12.75">
      <c r="A732" s="1"/>
    </row>
    <row r="733" spans="1:1" ht="12.75">
      <c r="A733" s="1"/>
    </row>
    <row r="734" spans="1:1" ht="12.75">
      <c r="A734" s="1"/>
    </row>
    <row r="735" spans="1:1" ht="12.75">
      <c r="A735" s="1"/>
    </row>
    <row r="736" spans="1:1" ht="12.75">
      <c r="A736" s="1"/>
    </row>
    <row r="737" spans="1:1" ht="12.75">
      <c r="A737" s="1"/>
    </row>
    <row r="738" spans="1:1" ht="12.75">
      <c r="A738" s="1"/>
    </row>
    <row r="739" spans="1:1" ht="12.75">
      <c r="A739" s="1"/>
    </row>
    <row r="740" spans="1:1" ht="12.75">
      <c r="A740" s="1"/>
    </row>
    <row r="741" spans="1:1" ht="12.75">
      <c r="A741" s="1"/>
    </row>
    <row r="742" spans="1:1" ht="12.75">
      <c r="A742" s="1"/>
    </row>
    <row r="743" spans="1:1" ht="12.75">
      <c r="A743" s="1"/>
    </row>
    <row r="744" spans="1:1" ht="12.75">
      <c r="A744" s="1"/>
    </row>
    <row r="745" spans="1:1" ht="12.75">
      <c r="A745" s="1"/>
    </row>
    <row r="746" spans="1:1" ht="12.75">
      <c r="A746" s="1"/>
    </row>
    <row r="747" spans="1:1" ht="12.75">
      <c r="A747" s="1"/>
    </row>
    <row r="748" spans="1:1" ht="12.75">
      <c r="A748" s="1"/>
    </row>
    <row r="749" spans="1:1" ht="12.75">
      <c r="A749" s="1"/>
    </row>
    <row r="750" spans="1:1" ht="12.75">
      <c r="A750" s="1"/>
    </row>
    <row r="751" spans="1:1" ht="12.75">
      <c r="A751" s="1"/>
    </row>
    <row r="752" spans="1:1" ht="12.75">
      <c r="A752" s="1"/>
    </row>
    <row r="753" spans="1:1" ht="12.75">
      <c r="A753" s="1"/>
    </row>
    <row r="754" spans="1:1" ht="12.75">
      <c r="A754" s="1"/>
    </row>
    <row r="755" spans="1:1" ht="12.75">
      <c r="A755" s="1"/>
    </row>
    <row r="756" spans="1:1" ht="12.75">
      <c r="A756" s="1"/>
    </row>
    <row r="757" spans="1:1" ht="12.75">
      <c r="A757" s="1"/>
    </row>
    <row r="758" spans="1:1" ht="12.75">
      <c r="A758" s="1"/>
    </row>
    <row r="759" spans="1:1" ht="12.75">
      <c r="A759" s="1"/>
    </row>
    <row r="760" spans="1:1" ht="12.75">
      <c r="A760" s="1"/>
    </row>
    <row r="761" spans="1:1" ht="12.75">
      <c r="A761" s="1"/>
    </row>
    <row r="762" spans="1:1" ht="12.75">
      <c r="A762" s="1"/>
    </row>
    <row r="763" spans="1:1" ht="12.75">
      <c r="A763" s="1"/>
    </row>
    <row r="764" spans="1:1" ht="12.75">
      <c r="A764" s="1"/>
    </row>
    <row r="765" spans="1:1" ht="12.75">
      <c r="A765" s="1"/>
    </row>
    <row r="766" spans="1:1" ht="12.75">
      <c r="A766" s="1"/>
    </row>
    <row r="767" spans="1:1" ht="12.75">
      <c r="A767" s="1"/>
    </row>
    <row r="768" spans="1:1" ht="12.75">
      <c r="A768" s="1"/>
    </row>
    <row r="769" spans="1:1" ht="12.75">
      <c r="A769" s="1"/>
    </row>
    <row r="770" spans="1:1" ht="12.75">
      <c r="A770" s="1"/>
    </row>
    <row r="771" spans="1:1" ht="12.75">
      <c r="A771" s="1"/>
    </row>
    <row r="772" spans="1:1" ht="12.75">
      <c r="A772" s="1"/>
    </row>
    <row r="773" spans="1:1" ht="12.75">
      <c r="A773" s="1"/>
    </row>
    <row r="774" spans="1:1" ht="12.75">
      <c r="A774" s="1"/>
    </row>
    <row r="775" spans="1:1" ht="12.75">
      <c r="A775" s="1"/>
    </row>
    <row r="776" spans="1:1" ht="12.75">
      <c r="A776" s="1"/>
    </row>
    <row r="777" spans="1:1" ht="12.75">
      <c r="A777" s="1"/>
    </row>
    <row r="778" spans="1:1" ht="12.75">
      <c r="A778" s="1"/>
    </row>
    <row r="779" spans="1:1" ht="12.75">
      <c r="A779" s="1"/>
    </row>
    <row r="780" spans="1:1" ht="12.75">
      <c r="A780" s="1"/>
    </row>
    <row r="781" spans="1:1" ht="12.75">
      <c r="A781" s="1"/>
    </row>
    <row r="782" spans="1:1" ht="12.75">
      <c r="A782" s="1"/>
    </row>
    <row r="783" spans="1:1" ht="12.75">
      <c r="A783" s="1"/>
    </row>
    <row r="784" spans="1:1" ht="12.75">
      <c r="A784" s="1"/>
    </row>
    <row r="785" spans="1:1" ht="12.75">
      <c r="A785" s="1"/>
    </row>
    <row r="786" spans="1:1" ht="12.75">
      <c r="A786" s="1"/>
    </row>
    <row r="787" spans="1:1" ht="12.75">
      <c r="A787" s="1"/>
    </row>
    <row r="788" spans="1:1" ht="12.75">
      <c r="A788" s="1"/>
    </row>
    <row r="789" spans="1:1" ht="12.75">
      <c r="A789" s="1"/>
    </row>
    <row r="790" spans="1:1" ht="12.75">
      <c r="A790" s="1"/>
    </row>
    <row r="791" spans="1:1" ht="12.75">
      <c r="A791" s="1"/>
    </row>
    <row r="792" spans="1:1" ht="12.75">
      <c r="A792" s="1"/>
    </row>
    <row r="793" spans="1:1" ht="12.75">
      <c r="A793" s="1"/>
    </row>
    <row r="794" spans="1:1" ht="12.75">
      <c r="A794" s="1"/>
    </row>
    <row r="795" spans="1:1" ht="12.75">
      <c r="A795" s="1"/>
    </row>
    <row r="796" spans="1:1" ht="12.75">
      <c r="A796" s="1"/>
    </row>
    <row r="797" spans="1:1" ht="12.75">
      <c r="A797" s="1"/>
    </row>
    <row r="798" spans="1:1" ht="12.75">
      <c r="A798" s="1"/>
    </row>
    <row r="799" spans="1:1" ht="12.75">
      <c r="A799" s="1"/>
    </row>
    <row r="800" spans="1:1" ht="12.75">
      <c r="A800" s="1"/>
    </row>
    <row r="801" spans="1:1" ht="12.75">
      <c r="A801" s="1"/>
    </row>
    <row r="802" spans="1:1" ht="12.75">
      <c r="A802" s="1"/>
    </row>
    <row r="803" spans="1:1" ht="12.75">
      <c r="A803" s="1"/>
    </row>
    <row r="804" spans="1:1" ht="12.75">
      <c r="A804" s="1"/>
    </row>
    <row r="805" spans="1:1" ht="12.75">
      <c r="A805" s="1"/>
    </row>
    <row r="806" spans="1:1" ht="12.75">
      <c r="A806" s="1"/>
    </row>
    <row r="807" spans="1:1" ht="12.75">
      <c r="A807" s="1"/>
    </row>
    <row r="808" spans="1:1" ht="12.75">
      <c r="A808" s="1"/>
    </row>
    <row r="809" spans="1:1" ht="12.75">
      <c r="A809" s="1"/>
    </row>
    <row r="810" spans="1:1" ht="12.75">
      <c r="A810" s="1"/>
    </row>
    <row r="811" spans="1:1" ht="12.75">
      <c r="A811" s="1"/>
    </row>
    <row r="812" spans="1:1" ht="12.75">
      <c r="A812" s="1"/>
    </row>
    <row r="813" spans="1:1" ht="12.75">
      <c r="A813" s="1"/>
    </row>
    <row r="814" spans="1:1" ht="12.75">
      <c r="A814" s="1"/>
    </row>
    <row r="815" spans="1:1" ht="12.75">
      <c r="A815" s="1"/>
    </row>
    <row r="816" spans="1:1" ht="12.75">
      <c r="A816" s="1"/>
    </row>
    <row r="817" spans="1:1" ht="12.75">
      <c r="A817" s="1"/>
    </row>
    <row r="818" spans="1:1" ht="12.75">
      <c r="A818" s="1"/>
    </row>
    <row r="819" spans="1:1" ht="12.75">
      <c r="A819" s="1"/>
    </row>
    <row r="820" spans="1:1" ht="12.75">
      <c r="A820" s="1"/>
    </row>
    <row r="821" spans="1:1" ht="12.75">
      <c r="A821" s="1"/>
    </row>
    <row r="822" spans="1:1" ht="12.75">
      <c r="A822" s="1"/>
    </row>
    <row r="823" spans="1:1" ht="12.75">
      <c r="A823" s="1"/>
    </row>
    <row r="824" spans="1:1" ht="12.75">
      <c r="A824" s="1"/>
    </row>
    <row r="825" spans="1:1" ht="12.75">
      <c r="A825" s="1"/>
    </row>
    <row r="826" spans="1:1" ht="12.75">
      <c r="A826" s="1"/>
    </row>
    <row r="827" spans="1:1" ht="12.75">
      <c r="A827" s="1"/>
    </row>
    <row r="828" spans="1:1" ht="12.75">
      <c r="A828" s="1"/>
    </row>
    <row r="829" spans="1:1" ht="12.75">
      <c r="A829" s="1"/>
    </row>
    <row r="830" spans="1:1" ht="12.75">
      <c r="A830" s="1"/>
    </row>
    <row r="831" spans="1:1" ht="12.75">
      <c r="A831" s="1"/>
    </row>
    <row r="832" spans="1:1" ht="12.75">
      <c r="A832" s="1"/>
    </row>
    <row r="833" spans="1:1" ht="12.75">
      <c r="A833" s="1"/>
    </row>
    <row r="834" spans="1:1" ht="12.75">
      <c r="A834" s="1"/>
    </row>
    <row r="835" spans="1:1" ht="12.75">
      <c r="A835" s="1"/>
    </row>
    <row r="836" spans="1:1" ht="12.75">
      <c r="A836" s="1"/>
    </row>
    <row r="837" spans="1:1" ht="12.75">
      <c r="A837" s="1"/>
    </row>
    <row r="838" spans="1:1" ht="12.75">
      <c r="A838" s="1"/>
    </row>
    <row r="839" spans="1:1" ht="12.75">
      <c r="A839" s="1"/>
    </row>
    <row r="840" spans="1:1" ht="12.75">
      <c r="A840" s="1"/>
    </row>
    <row r="841" spans="1:1" ht="12.75">
      <c r="A841" s="1"/>
    </row>
    <row r="842" spans="1:1" ht="12.75">
      <c r="A842" s="1"/>
    </row>
    <row r="843" spans="1:1" ht="12.75">
      <c r="A843" s="1"/>
    </row>
    <row r="844" spans="1:1" ht="12.75">
      <c r="A844" s="1"/>
    </row>
    <row r="845" spans="1:1" ht="12.75">
      <c r="A845" s="1"/>
    </row>
    <row r="846" spans="1:1" ht="12.75">
      <c r="A846" s="1"/>
    </row>
    <row r="847" spans="1:1" ht="12.75">
      <c r="A847" s="1"/>
    </row>
    <row r="848" spans="1:1" ht="12.75">
      <c r="A848" s="1"/>
    </row>
    <row r="849" spans="1:1" ht="12.75">
      <c r="A849" s="1"/>
    </row>
    <row r="850" spans="1:1" ht="12.75">
      <c r="A850" s="1"/>
    </row>
    <row r="851" spans="1:1" ht="12.75">
      <c r="A851" s="1"/>
    </row>
    <row r="852" spans="1:1" ht="12.75">
      <c r="A852" s="1"/>
    </row>
    <row r="853" spans="1:1" ht="12.75">
      <c r="A853" s="1"/>
    </row>
    <row r="854" spans="1:1" ht="12.75">
      <c r="A854" s="1"/>
    </row>
    <row r="855" spans="1:1" ht="12.75">
      <c r="A855" s="1"/>
    </row>
    <row r="856" spans="1:1" ht="12.75">
      <c r="A856" s="1"/>
    </row>
    <row r="857" spans="1:1" ht="12.75">
      <c r="A857" s="1"/>
    </row>
    <row r="858" spans="1:1" ht="12.75">
      <c r="A858" s="1"/>
    </row>
    <row r="859" spans="1:1" ht="12.75">
      <c r="A859" s="1"/>
    </row>
    <row r="860" spans="1:1" ht="12.75">
      <c r="A860" s="1"/>
    </row>
    <row r="861" spans="1:1" ht="12.75">
      <c r="A861" s="1"/>
    </row>
    <row r="862" spans="1:1" ht="12.75">
      <c r="A862" s="1"/>
    </row>
    <row r="863" spans="1:1" ht="12.75">
      <c r="A863" s="1"/>
    </row>
    <row r="864" spans="1:1" ht="12.75">
      <c r="A864" s="1"/>
    </row>
    <row r="865" spans="1:1" ht="12.75">
      <c r="A865" s="1"/>
    </row>
    <row r="866" spans="1:1" ht="12.75">
      <c r="A866" s="1"/>
    </row>
    <row r="867" spans="1:1" ht="12.75">
      <c r="A867" s="1"/>
    </row>
    <row r="868" spans="1:1" ht="12.75">
      <c r="A868" s="1"/>
    </row>
    <row r="869" spans="1:1" ht="12.75">
      <c r="A869" s="1"/>
    </row>
    <row r="870" spans="1:1" ht="12.75">
      <c r="A870" s="1"/>
    </row>
    <row r="871" spans="1:1" ht="12.75">
      <c r="A871" s="1"/>
    </row>
    <row r="872" spans="1:1" ht="12.75">
      <c r="A872" s="1"/>
    </row>
    <row r="873" spans="1:1" ht="12.75">
      <c r="A873" s="1"/>
    </row>
    <row r="874" spans="1:1" ht="12.75">
      <c r="A874" s="1"/>
    </row>
    <row r="875" spans="1:1" ht="12.75">
      <c r="A875" s="1"/>
    </row>
    <row r="876" spans="1:1" ht="12.75">
      <c r="A876" s="1"/>
    </row>
    <row r="877" spans="1:1" ht="12.75">
      <c r="A877" s="1"/>
    </row>
    <row r="878" spans="1:1" ht="12.75">
      <c r="A878" s="1"/>
    </row>
    <row r="879" spans="1:1" ht="12.75">
      <c r="A879" s="1"/>
    </row>
    <row r="880" spans="1:1" ht="12.75">
      <c r="A880" s="1"/>
    </row>
    <row r="881" spans="1:1" ht="12.75">
      <c r="A881" s="1"/>
    </row>
    <row r="882" spans="1:1" ht="12.75">
      <c r="A882" s="1"/>
    </row>
    <row r="883" spans="1:1" ht="12.75">
      <c r="A883" s="1"/>
    </row>
    <row r="884" spans="1:1" ht="12.75">
      <c r="A884" s="1"/>
    </row>
    <row r="885" spans="1:1" ht="12.75">
      <c r="A885" s="1"/>
    </row>
    <row r="886" spans="1:1" ht="12.75">
      <c r="A886" s="1"/>
    </row>
    <row r="887" spans="1:1" ht="12.75">
      <c r="A887" s="1"/>
    </row>
    <row r="888" spans="1:1" ht="12.75">
      <c r="A888" s="1"/>
    </row>
    <row r="889" spans="1:1" ht="12.75">
      <c r="A889" s="1"/>
    </row>
    <row r="890" spans="1:1" ht="12.75">
      <c r="A890" s="1"/>
    </row>
    <row r="891" spans="1:1" ht="12.75">
      <c r="A891" s="1"/>
    </row>
    <row r="892" spans="1:1" ht="12.75">
      <c r="A892" s="1"/>
    </row>
    <row r="893" spans="1:1" ht="12.75">
      <c r="A893" s="1"/>
    </row>
    <row r="894" spans="1:1" ht="12.75">
      <c r="A894" s="1"/>
    </row>
    <row r="895" spans="1:1" ht="12.75">
      <c r="A895" s="1"/>
    </row>
    <row r="896" spans="1:1" ht="12.75">
      <c r="A896" s="1"/>
    </row>
    <row r="897" spans="1:1" ht="12.75">
      <c r="A897" s="1"/>
    </row>
    <row r="898" spans="1:1" ht="12.75">
      <c r="A898" s="1"/>
    </row>
    <row r="899" spans="1:1" ht="12.75">
      <c r="A899" s="1"/>
    </row>
    <row r="900" spans="1:1" ht="12.75">
      <c r="A900" s="1"/>
    </row>
    <row r="901" spans="1:1" ht="12.75">
      <c r="A901" s="1"/>
    </row>
    <row r="902" spans="1:1" ht="12.75">
      <c r="A902" s="1"/>
    </row>
    <row r="903" spans="1:1" ht="12.75">
      <c r="A903" s="1"/>
    </row>
    <row r="904" spans="1:1" ht="12.75">
      <c r="A904" s="1"/>
    </row>
    <row r="905" spans="1:1" ht="12.75">
      <c r="A905" s="1"/>
    </row>
    <row r="906" spans="1:1" ht="12.75">
      <c r="A906" s="1"/>
    </row>
    <row r="907" spans="1:1" ht="12.75">
      <c r="A907" s="1"/>
    </row>
    <row r="908" spans="1:1" ht="12.75">
      <c r="A908" s="1"/>
    </row>
    <row r="909" spans="1:1" ht="12.75">
      <c r="A909" s="1"/>
    </row>
    <row r="910" spans="1:1" ht="12.75">
      <c r="A910" s="1"/>
    </row>
    <row r="911" spans="1:1" ht="12.75">
      <c r="A911" s="1"/>
    </row>
    <row r="912" spans="1:1" ht="12.75">
      <c r="A912" s="1"/>
    </row>
    <row r="913" spans="1:1" ht="12.75">
      <c r="A913" s="1"/>
    </row>
    <row r="914" spans="1:1" ht="12.75">
      <c r="A914" s="1"/>
    </row>
    <row r="915" spans="1:1" ht="12.75">
      <c r="A915" s="1"/>
    </row>
    <row r="916" spans="1:1" ht="12.75">
      <c r="A916" s="1"/>
    </row>
    <row r="917" spans="1:1" ht="12.75">
      <c r="A917" s="1"/>
    </row>
    <row r="918" spans="1:1" ht="12.75">
      <c r="A918" s="1"/>
    </row>
    <row r="919" spans="1:1" ht="12.75">
      <c r="A919" s="1"/>
    </row>
    <row r="920" spans="1:1" ht="12.75">
      <c r="A920" s="1"/>
    </row>
    <row r="921" spans="1:1" ht="12.75">
      <c r="A921" s="1"/>
    </row>
    <row r="922" spans="1:1" ht="12.75">
      <c r="A922" s="1"/>
    </row>
    <row r="923" spans="1:1" ht="12.75">
      <c r="A923" s="1"/>
    </row>
    <row r="924" spans="1:1" ht="12.75">
      <c r="A924" s="1"/>
    </row>
    <row r="925" spans="1:1" ht="12.75">
      <c r="A925" s="1"/>
    </row>
    <row r="926" spans="1:1" ht="12.75">
      <c r="A926" s="1"/>
    </row>
    <row r="927" spans="1:1" ht="12.75">
      <c r="A927" s="1"/>
    </row>
    <row r="928" spans="1:1" ht="12.75">
      <c r="A928" s="1"/>
    </row>
    <row r="929" spans="1:1" ht="12.75">
      <c r="A929" s="1"/>
    </row>
    <row r="930" spans="1:1" ht="12.75">
      <c r="A930" s="1"/>
    </row>
    <row r="931" spans="1:1" ht="12.75">
      <c r="A931" s="1"/>
    </row>
    <row r="932" spans="1:1" ht="12.75">
      <c r="A932" s="1"/>
    </row>
    <row r="933" spans="1:1" ht="12.75">
      <c r="A933" s="1"/>
    </row>
    <row r="934" spans="1:1" ht="12.75">
      <c r="A934" s="1"/>
    </row>
    <row r="935" spans="1:1" ht="12.75">
      <c r="A935" s="1"/>
    </row>
    <row r="936" spans="1:1" ht="12.75">
      <c r="A936" s="1"/>
    </row>
    <row r="937" spans="1:1" ht="12.75">
      <c r="A937" s="1"/>
    </row>
    <row r="938" spans="1:1" ht="12.75">
      <c r="A938" s="1"/>
    </row>
    <row r="939" spans="1:1" ht="12.75">
      <c r="A939" s="1"/>
    </row>
    <row r="940" spans="1:1" ht="12.75">
      <c r="A940" s="1"/>
    </row>
    <row r="941" spans="1:1" ht="12.75">
      <c r="A941" s="1"/>
    </row>
    <row r="942" spans="1:1" ht="12.75">
      <c r="A942" s="1"/>
    </row>
    <row r="943" spans="1:1" ht="12.75">
      <c r="A943" s="1"/>
    </row>
    <row r="944" spans="1:1" ht="12.75">
      <c r="A944" s="1"/>
    </row>
    <row r="945" spans="1:1" ht="12.75">
      <c r="A945" s="1"/>
    </row>
    <row r="946" spans="1:1" ht="12.75">
      <c r="A946" s="1"/>
    </row>
    <row r="947" spans="1:1" ht="12.75">
      <c r="A947" s="1"/>
    </row>
    <row r="948" spans="1:1" ht="12.75">
      <c r="A948" s="1"/>
    </row>
    <row r="949" spans="1:1" ht="12.75">
      <c r="A949" s="1"/>
    </row>
    <row r="950" spans="1:1" ht="12.75">
      <c r="A950" s="1"/>
    </row>
    <row r="951" spans="1:1" ht="12.75">
      <c r="A951" s="1"/>
    </row>
    <row r="952" spans="1:1" ht="12.75">
      <c r="A952" s="1"/>
    </row>
    <row r="953" spans="1:1" ht="12.75">
      <c r="A953" s="1"/>
    </row>
    <row r="954" spans="1:1" ht="12.75">
      <c r="A954" s="1"/>
    </row>
    <row r="955" spans="1:1" ht="12.75">
      <c r="A955" s="1"/>
    </row>
    <row r="956" spans="1:1" ht="12.75">
      <c r="A956" s="1"/>
    </row>
    <row r="957" spans="1:1" ht="12.75">
      <c r="A957" s="1"/>
    </row>
    <row r="958" spans="1:1" ht="12.75">
      <c r="A958" s="1"/>
    </row>
    <row r="959" spans="1:1" ht="12.75">
      <c r="A959" s="1"/>
    </row>
    <row r="960" spans="1:1" ht="12.75">
      <c r="A960" s="1"/>
    </row>
    <row r="961" spans="1:1" ht="12.75">
      <c r="A961" s="1"/>
    </row>
    <row r="962" spans="1:1" ht="12.75">
      <c r="A962" s="1"/>
    </row>
    <row r="963" spans="1:1" ht="12.75">
      <c r="A963" s="1"/>
    </row>
    <row r="964" spans="1:1" ht="12.75">
      <c r="A964" s="1"/>
    </row>
    <row r="965" spans="1:1" ht="12.75">
      <c r="A965" s="1"/>
    </row>
    <row r="966" spans="1:1" ht="12.75">
      <c r="A966" s="1"/>
    </row>
    <row r="967" spans="1:1" ht="12.75">
      <c r="A967" s="1"/>
    </row>
    <row r="968" spans="1:1" ht="12.75">
      <c r="A968" s="1"/>
    </row>
    <row r="969" spans="1:1" ht="12.75">
      <c r="A969" s="1"/>
    </row>
    <row r="970" spans="1:1" ht="12.75">
      <c r="A970" s="1"/>
    </row>
    <row r="971" spans="1:1" ht="12.75">
      <c r="A971" s="1"/>
    </row>
    <row r="972" spans="1:1" ht="12.75">
      <c r="A972" s="1"/>
    </row>
    <row r="973" spans="1:1" ht="12.75">
      <c r="A973" s="1"/>
    </row>
    <row r="974" spans="1:1" ht="12.75">
      <c r="A974" s="1"/>
    </row>
    <row r="975" spans="1:1" ht="12.75">
      <c r="A975" s="1"/>
    </row>
    <row r="976" spans="1:1" ht="12.75">
      <c r="A976" s="1"/>
    </row>
    <row r="977" spans="1:1" ht="12.75">
      <c r="A977" s="1"/>
    </row>
    <row r="978" spans="1:1" ht="12.75">
      <c r="A978" s="1"/>
    </row>
    <row r="979" spans="1:1" ht="12.75">
      <c r="A979" s="1"/>
    </row>
    <row r="980" spans="1:1" ht="12.75">
      <c r="A980" s="1"/>
    </row>
    <row r="981" spans="1:1" ht="12.75">
      <c r="A981" s="1"/>
    </row>
    <row r="982" spans="1:1" ht="12.75">
      <c r="A982" s="1"/>
    </row>
    <row r="983" spans="1:1" ht="12.75">
      <c r="A983" s="1"/>
    </row>
    <row r="984" spans="1:1" ht="12.75">
      <c r="A984" s="1"/>
    </row>
    <row r="985" spans="1:1" ht="12.75">
      <c r="A985" s="1"/>
    </row>
    <row r="986" spans="1:1" ht="12.75">
      <c r="A986" s="1"/>
    </row>
    <row r="987" spans="1:1" ht="12.75">
      <c r="A987" s="1"/>
    </row>
    <row r="988" spans="1:1" ht="12.75">
      <c r="A988" s="1"/>
    </row>
    <row r="989" spans="1:1" ht="12.75">
      <c r="A989" s="1"/>
    </row>
    <row r="990" spans="1:1" ht="12.75">
      <c r="A990" s="1"/>
    </row>
    <row r="991" spans="1:1" ht="12.75">
      <c r="A991" s="1"/>
    </row>
    <row r="992" spans="1:1" ht="12.75">
      <c r="A992" s="1"/>
    </row>
    <row r="993" spans="1:1" ht="12.75">
      <c r="A993" s="1"/>
    </row>
    <row r="994" spans="1:1" ht="12.75">
      <c r="A994" s="1"/>
    </row>
    <row r="995" spans="1:1" ht="12.75">
      <c r="A995" s="1"/>
    </row>
    <row r="996" spans="1:1" ht="12.75">
      <c r="A996" s="1"/>
    </row>
    <row r="997" spans="1:1" ht="12.75">
      <c r="A997" s="1"/>
    </row>
    <row r="998" spans="1:1" ht="12.75">
      <c r="A998" s="1"/>
    </row>
    <row r="999" spans="1:1" ht="12.75">
      <c r="A999" s="1"/>
    </row>
    <row r="1000" spans="1:1" ht="12.75">
      <c r="A1000" s="1"/>
    </row>
    <row r="1001" spans="1:1" ht="12.75">
      <c r="A1001" s="1"/>
    </row>
    <row r="1002" spans="1:1" ht="12.75">
      <c r="A1002" s="1"/>
    </row>
    <row r="1003" spans="1:1" ht="12.75">
      <c r="A1003" s="1"/>
    </row>
    <row r="1004" spans="1:1" ht="12.75">
      <c r="A1004" s="1"/>
    </row>
    <row r="1005" spans="1:1" ht="12.75">
      <c r="A1005" s="1"/>
    </row>
    <row r="1006" spans="1:1" ht="12.75">
      <c r="A1006" s="1"/>
    </row>
    <row r="1007" spans="1:1" ht="12.75">
      <c r="A1007" s="1"/>
    </row>
    <row r="1008" spans="1:1" ht="12.75">
      <c r="A1008" s="1"/>
    </row>
    <row r="1009" spans="1:1" ht="12.75">
      <c r="A1009" s="1"/>
    </row>
    <row r="1010" spans="1:1" ht="12.75">
      <c r="A1010" s="1"/>
    </row>
    <row r="1011" spans="1:1" ht="12.75">
      <c r="A1011" s="1"/>
    </row>
    <row r="1012" spans="1:1" ht="12.75">
      <c r="A1012" s="1"/>
    </row>
    <row r="1013" spans="1:1" ht="12.75">
      <c r="A1013" s="1"/>
    </row>
    <row r="1014" spans="1:1" ht="12.75">
      <c r="A1014" s="1"/>
    </row>
    <row r="1015" spans="1:1" ht="12.75">
      <c r="A1015" s="1"/>
    </row>
    <row r="1016" spans="1:1" ht="12.75">
      <c r="A1016" s="1"/>
    </row>
    <row r="1017" spans="1:1" ht="12.75">
      <c r="A1017" s="1"/>
    </row>
    <row r="1018" spans="1:1" ht="12.75">
      <c r="A1018" s="1"/>
    </row>
    <row r="1019" spans="1:1" ht="12.75">
      <c r="A1019" s="1"/>
    </row>
    <row r="1020" spans="1:1" ht="12.75">
      <c r="A1020" s="1"/>
    </row>
    <row r="1021" spans="1:1" ht="12.75">
      <c r="A1021" s="1"/>
    </row>
  </sheetData>
  <sheetProtection formatRows="0" insertRows="0" selectLockedCells="1" sort="0" autoFilter="0"/>
  <mergeCells count="1">
    <mergeCell ref="A1:E1"/>
  </mergeCells>
  <dataValidations count="1">
    <dataValidation type="list" allowBlank="1" showErrorMessage="1" sqref="A3:A33" xr:uid="{00000000-0002-0000-0F00-000001000000}">
      <formula1>"Chaat,Chinese,Breads,Drinks &amp; Beverage,Grill Special,Kulfi,North Indian,South Indian,Specials,Sweets,Namkeen"</formula1>
    </dataValidation>
  </dataValidation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xr:uid="{00000000-0002-0000-0F00-000002000000}">
          <x14:formula1>
            <xm:f>'ITEM LIST'!$B$2:$B$493</xm:f>
          </x14:formula1>
          <xm:sqref>B41:B42</xm:sqref>
        </x14:dataValidation>
        <x14:dataValidation type="list" allowBlank="1" xr:uid="{00000000-0002-0000-0F00-000000000000}">
          <x14:formula1>
            <xm:f>'ITEM LIST'!$B:$B</xm:f>
          </x14:formula1>
          <xm:sqref>C4:C6 C27:C29 C33 C18:C24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AA581B6-533F-4232-A7B6-87C4B56FFE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Sheet7</vt:lpstr>
      <vt:lpstr>COMBINED LIST</vt:lpstr>
      <vt:lpstr>Sheet4</vt:lpstr>
      <vt:lpstr>DASHBOARD</vt:lpstr>
      <vt:lpstr>SELLING PRICE</vt:lpstr>
      <vt:lpstr>ITEM LIST</vt:lpstr>
      <vt:lpstr>SUB RECIPE LIST</vt:lpstr>
      <vt:lpstr>NORTH INDIAN</vt:lpstr>
      <vt:lpstr>SOUTH INDIAN</vt:lpstr>
      <vt:lpstr>GRILL SPECIAL</vt:lpstr>
      <vt:lpstr>BREADS</vt:lpstr>
      <vt:lpstr>CHINESE</vt:lpstr>
      <vt:lpstr>SPECIALS</vt:lpstr>
      <vt:lpstr>DRINKS</vt:lpstr>
      <vt:lpstr>CHAAT</vt:lpstr>
      <vt:lpstr>SWEETS</vt:lpstr>
      <vt:lpstr>NAMKEENS</vt:lpstr>
      <vt:lpstr>KULFI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AKSHAT</dc:creator>
  <cp:lastModifiedBy>HP</cp:lastModifiedBy>
  <dcterms:created xsi:type="dcterms:W3CDTF">2023-07-08T17:32:18Z</dcterms:created>
  <dcterms:modified xsi:type="dcterms:W3CDTF">2023-08-03T18:06:53Z</dcterms:modified>
</cp:coreProperties>
</file>